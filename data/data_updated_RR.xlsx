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https://vunl-my.sharepoint.com/personal/t_de_graaff_vu_nl/Documents/Thomas/project/meta_tourism/data/"/>
    </mc:Choice>
  </mc:AlternateContent>
  <xr:revisionPtr revIDLastSave="4760" documentId="14_{B00F1071-AFF3-584C-967B-ADEF56405F09}" xr6:coauthVersionLast="47" xr6:coauthVersionMax="47" xr10:uidLastSave="{15724F0C-5736-1941-BDC7-EBFEB55EF4BF}"/>
  <bookViews>
    <workbookView xWindow="0" yWindow="600" windowWidth="38400" windowHeight="21000" firstSheet="1" activeTab="1" xr2:uid="{00000000-000D-0000-FFFF-FFFF00000000}"/>
  </bookViews>
  <sheets>
    <sheet name="Search strategy (Scopus)" sheetId="5" r:id="rId1"/>
    <sheet name="Retrieved (Scopus)" sheetId="6" r:id="rId2"/>
    <sheet name="Studies (in sample)" sheetId="2" r:id="rId3"/>
    <sheet name="Legend" sheetId="3" r:id="rId4"/>
    <sheet name="Data" sheetId="4" r:id="rId5"/>
  </sheets>
  <definedNames>
    <definedName name="_xlnm._FilterDatabase" localSheetId="4" hidden="1">Data!$A$1:$BS$1</definedName>
    <definedName name="_xlnm._FilterDatabase" localSheetId="1" hidden="1">'Retrieved (Scopus)'!$A$1:$AG$671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2" i="4" l="1"/>
  <c r="W872" i="4"/>
  <c r="W9" i="4"/>
  <c r="G9" i="4"/>
  <c r="W8" i="4"/>
  <c r="G8" i="4"/>
  <c r="W7" i="4"/>
  <c r="G7" i="4"/>
  <c r="W6" i="4"/>
  <c r="G6" i="4"/>
  <c r="W5" i="4"/>
  <c r="G5" i="4"/>
  <c r="W4" i="4"/>
  <c r="G4" i="4"/>
  <c r="W3" i="4"/>
  <c r="G3" i="4"/>
  <c r="W2" i="4"/>
  <c r="G2" i="4"/>
  <c r="AJ3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J160" i="6"/>
  <c r="AJ161" i="6"/>
  <c r="AJ162" i="6"/>
  <c r="AJ163" i="6"/>
  <c r="AJ164" i="6"/>
  <c r="AJ165" i="6"/>
  <c r="AJ166" i="6"/>
  <c r="AJ167" i="6"/>
  <c r="AJ168" i="6"/>
  <c r="AJ169" i="6"/>
  <c r="AJ170" i="6"/>
  <c r="AJ171" i="6"/>
  <c r="AJ172" i="6"/>
  <c r="AJ173" i="6"/>
  <c r="AJ174" i="6"/>
  <c r="AJ175" i="6"/>
  <c r="AJ176" i="6"/>
  <c r="AJ177" i="6"/>
  <c r="AJ178" i="6"/>
  <c r="AJ179" i="6"/>
  <c r="AJ180" i="6"/>
  <c r="AJ181" i="6"/>
  <c r="AJ182" i="6"/>
  <c r="AJ183" i="6"/>
  <c r="AJ184" i="6"/>
  <c r="AJ185" i="6"/>
  <c r="AJ186" i="6"/>
  <c r="AJ187" i="6"/>
  <c r="AJ188" i="6"/>
  <c r="AJ189" i="6"/>
  <c r="AJ190" i="6"/>
  <c r="AJ191" i="6"/>
  <c r="AJ192" i="6"/>
  <c r="AJ193" i="6"/>
  <c r="AJ194" i="6"/>
  <c r="AJ195" i="6"/>
  <c r="AJ196" i="6"/>
  <c r="AJ197" i="6"/>
  <c r="AJ198" i="6"/>
  <c r="AJ199" i="6"/>
  <c r="AJ200" i="6"/>
  <c r="AJ201" i="6"/>
  <c r="AJ202" i="6"/>
  <c r="AJ203" i="6"/>
  <c r="AJ204" i="6"/>
  <c r="AJ205" i="6"/>
  <c r="AJ206" i="6"/>
  <c r="AJ207" i="6"/>
  <c r="AJ208" i="6"/>
  <c r="AJ209" i="6"/>
  <c r="AJ210" i="6"/>
  <c r="AJ211" i="6"/>
  <c r="AJ212" i="6"/>
  <c r="AJ213" i="6"/>
  <c r="AJ214" i="6"/>
  <c r="AJ215" i="6"/>
  <c r="AJ216" i="6"/>
  <c r="AJ217" i="6"/>
  <c r="AJ218" i="6"/>
  <c r="AJ219" i="6"/>
  <c r="AJ220" i="6"/>
  <c r="AJ221" i="6"/>
  <c r="AJ222" i="6"/>
  <c r="AJ223" i="6"/>
  <c r="AJ224" i="6"/>
  <c r="AJ225" i="6"/>
  <c r="AJ226" i="6"/>
  <c r="AJ227" i="6"/>
  <c r="AJ228" i="6"/>
  <c r="AJ229" i="6"/>
  <c r="AJ230" i="6"/>
  <c r="AJ231" i="6"/>
  <c r="AJ232" i="6"/>
  <c r="AJ233" i="6"/>
  <c r="AJ234" i="6"/>
  <c r="AJ235" i="6"/>
  <c r="AJ236" i="6"/>
  <c r="AJ237" i="6"/>
  <c r="AJ238" i="6"/>
  <c r="AJ239" i="6"/>
  <c r="AJ240" i="6"/>
  <c r="AJ241" i="6"/>
  <c r="AJ242" i="6"/>
  <c r="AJ243" i="6"/>
  <c r="AJ244" i="6"/>
  <c r="AJ245" i="6"/>
  <c r="AJ246" i="6"/>
  <c r="AJ247" i="6"/>
  <c r="AJ248" i="6"/>
  <c r="AJ249" i="6"/>
  <c r="AJ250" i="6"/>
  <c r="AJ251" i="6"/>
  <c r="AJ252" i="6"/>
  <c r="AJ253" i="6"/>
  <c r="AJ254" i="6"/>
  <c r="AJ255" i="6"/>
  <c r="AJ256" i="6"/>
  <c r="AJ257" i="6"/>
  <c r="AJ258" i="6"/>
  <c r="AJ259" i="6"/>
  <c r="AJ260" i="6"/>
  <c r="AJ261" i="6"/>
  <c r="AJ262" i="6"/>
  <c r="AJ263" i="6"/>
  <c r="AJ264" i="6"/>
  <c r="AJ265" i="6"/>
  <c r="AJ266" i="6"/>
  <c r="AJ267" i="6"/>
  <c r="AJ268" i="6"/>
  <c r="AJ269" i="6"/>
  <c r="AJ270" i="6"/>
  <c r="AJ271" i="6"/>
  <c r="AJ272" i="6"/>
  <c r="AJ273" i="6"/>
  <c r="AJ274" i="6"/>
  <c r="AJ275" i="6"/>
  <c r="AJ276" i="6"/>
  <c r="AJ277" i="6"/>
  <c r="AJ278" i="6"/>
  <c r="AJ279" i="6"/>
  <c r="AJ280" i="6"/>
  <c r="AJ281" i="6"/>
  <c r="AJ282" i="6"/>
  <c r="AJ283" i="6"/>
  <c r="AJ284" i="6"/>
  <c r="AJ285" i="6"/>
  <c r="AJ286" i="6"/>
  <c r="AJ287" i="6"/>
  <c r="AJ288" i="6"/>
  <c r="AJ289" i="6"/>
  <c r="AJ290" i="6"/>
  <c r="AJ291" i="6"/>
  <c r="AJ292" i="6"/>
  <c r="AJ293" i="6"/>
  <c r="AJ294" i="6"/>
  <c r="AJ295" i="6"/>
  <c r="AJ296" i="6"/>
  <c r="AJ297" i="6"/>
  <c r="AJ298" i="6"/>
  <c r="AJ299" i="6"/>
  <c r="AJ300" i="6"/>
  <c r="AJ301" i="6"/>
  <c r="AJ302" i="6"/>
  <c r="AJ303" i="6"/>
  <c r="AJ304" i="6"/>
  <c r="AJ305" i="6"/>
  <c r="AJ306" i="6"/>
  <c r="AJ307" i="6"/>
  <c r="AJ308" i="6"/>
  <c r="AJ309" i="6"/>
  <c r="AJ310" i="6"/>
  <c r="AJ311" i="6"/>
  <c r="AJ312" i="6"/>
  <c r="AJ313" i="6"/>
  <c r="AJ314" i="6"/>
  <c r="AJ315" i="6"/>
  <c r="AJ316" i="6"/>
  <c r="AJ317" i="6"/>
  <c r="AJ318" i="6"/>
  <c r="AJ319" i="6"/>
  <c r="AJ320" i="6"/>
  <c r="AJ321" i="6"/>
  <c r="AJ322" i="6"/>
  <c r="AJ323" i="6"/>
  <c r="AJ324" i="6"/>
  <c r="AJ325" i="6"/>
  <c r="AJ326" i="6"/>
  <c r="AJ327" i="6"/>
  <c r="AJ328" i="6"/>
  <c r="AJ329" i="6"/>
  <c r="AJ330" i="6"/>
  <c r="AJ331" i="6"/>
  <c r="AJ332" i="6"/>
  <c r="AJ333" i="6"/>
  <c r="AJ334" i="6"/>
  <c r="AJ335" i="6"/>
  <c r="AJ336" i="6"/>
  <c r="AJ337" i="6"/>
  <c r="AJ338" i="6"/>
  <c r="AJ339" i="6"/>
  <c r="AJ340" i="6"/>
  <c r="AJ341" i="6"/>
  <c r="AJ342" i="6"/>
  <c r="AJ343" i="6"/>
  <c r="AJ344" i="6"/>
  <c r="AJ345" i="6"/>
  <c r="AJ346" i="6"/>
  <c r="AJ347" i="6"/>
  <c r="AJ348" i="6"/>
  <c r="AJ349" i="6"/>
  <c r="AJ350" i="6"/>
  <c r="AJ351" i="6"/>
  <c r="AJ352" i="6"/>
  <c r="AJ353" i="6"/>
  <c r="AJ354" i="6"/>
  <c r="AJ355" i="6"/>
  <c r="AJ356" i="6"/>
  <c r="AJ357" i="6"/>
  <c r="AJ358" i="6"/>
  <c r="AJ359" i="6"/>
  <c r="AJ360" i="6"/>
  <c r="AJ361" i="6"/>
  <c r="AJ362" i="6"/>
  <c r="AJ363" i="6"/>
  <c r="AJ364" i="6"/>
  <c r="AJ365" i="6"/>
  <c r="AJ366" i="6"/>
  <c r="AJ367" i="6"/>
  <c r="AJ368" i="6"/>
  <c r="AJ369" i="6"/>
  <c r="AJ370" i="6"/>
  <c r="AJ371" i="6"/>
  <c r="AJ372" i="6"/>
  <c r="AJ373" i="6"/>
  <c r="AJ374" i="6"/>
  <c r="AJ375" i="6"/>
  <c r="AJ376" i="6"/>
  <c r="AJ377" i="6"/>
  <c r="AJ378" i="6"/>
  <c r="AJ379" i="6"/>
  <c r="AJ380" i="6"/>
  <c r="AJ381" i="6"/>
  <c r="AJ382" i="6"/>
  <c r="AJ383" i="6"/>
  <c r="AJ384" i="6"/>
  <c r="AJ385" i="6"/>
  <c r="AJ386" i="6"/>
  <c r="AJ387" i="6"/>
  <c r="AJ388" i="6"/>
  <c r="AJ389" i="6"/>
  <c r="AJ390" i="6"/>
  <c r="AJ391" i="6"/>
  <c r="AJ392" i="6"/>
  <c r="AJ393" i="6"/>
  <c r="AJ394" i="6"/>
  <c r="AJ395" i="6"/>
  <c r="AJ396" i="6"/>
  <c r="AJ397" i="6"/>
  <c r="AJ398" i="6"/>
  <c r="AJ399" i="6"/>
  <c r="AJ400" i="6"/>
  <c r="AJ401" i="6"/>
  <c r="AJ402" i="6"/>
  <c r="AJ403" i="6"/>
  <c r="AJ404" i="6"/>
  <c r="AJ405" i="6"/>
  <c r="AJ406" i="6"/>
  <c r="AJ407" i="6"/>
  <c r="AJ408" i="6"/>
  <c r="AJ409" i="6"/>
  <c r="AJ410" i="6"/>
  <c r="AJ411" i="6"/>
  <c r="AJ412" i="6"/>
  <c r="AJ413" i="6"/>
  <c r="AJ414" i="6"/>
  <c r="AJ415" i="6"/>
  <c r="AJ416" i="6"/>
  <c r="AJ417" i="6"/>
  <c r="AJ418" i="6"/>
  <c r="AJ419" i="6"/>
  <c r="AJ420" i="6"/>
  <c r="AJ421" i="6"/>
  <c r="AJ422" i="6"/>
  <c r="AJ423" i="6"/>
  <c r="AJ424" i="6"/>
  <c r="AJ425" i="6"/>
  <c r="AJ426" i="6"/>
  <c r="AJ427" i="6"/>
  <c r="AJ428" i="6"/>
  <c r="AJ429" i="6"/>
  <c r="AJ430" i="6"/>
  <c r="AJ431" i="6"/>
  <c r="AJ432" i="6"/>
  <c r="AJ433" i="6"/>
  <c r="AJ434" i="6"/>
  <c r="AJ435" i="6"/>
  <c r="AJ436" i="6"/>
  <c r="AJ437" i="6"/>
  <c r="AJ438" i="6"/>
  <c r="AJ439" i="6"/>
  <c r="AJ440" i="6"/>
  <c r="AJ441" i="6"/>
  <c r="AJ442" i="6"/>
  <c r="AJ443" i="6"/>
  <c r="AJ444" i="6"/>
  <c r="AJ445" i="6"/>
  <c r="AJ446" i="6"/>
  <c r="AJ447" i="6"/>
  <c r="AJ448" i="6"/>
  <c r="AJ449" i="6"/>
  <c r="AJ450" i="6"/>
  <c r="AJ451" i="6"/>
  <c r="AJ452" i="6"/>
  <c r="AJ453" i="6"/>
  <c r="AJ454" i="6"/>
  <c r="AJ455" i="6"/>
  <c r="AJ456" i="6"/>
  <c r="AJ457" i="6"/>
  <c r="AJ458" i="6"/>
  <c r="AJ459" i="6"/>
  <c r="AJ460" i="6"/>
  <c r="AJ461" i="6"/>
  <c r="AJ462" i="6"/>
  <c r="AJ463" i="6"/>
  <c r="AJ464" i="6"/>
  <c r="AJ465" i="6"/>
  <c r="AJ466" i="6"/>
  <c r="AJ467" i="6"/>
  <c r="AJ468" i="6"/>
  <c r="AJ469" i="6"/>
  <c r="AJ470" i="6"/>
  <c r="AJ471" i="6"/>
  <c r="AJ472" i="6"/>
  <c r="AJ473" i="6"/>
  <c r="AJ474" i="6"/>
  <c r="AJ475" i="6"/>
  <c r="AJ476" i="6"/>
  <c r="AJ477" i="6"/>
  <c r="AJ478" i="6"/>
  <c r="AJ479" i="6"/>
  <c r="AJ480" i="6"/>
  <c r="AJ481" i="6"/>
  <c r="AJ482" i="6"/>
  <c r="AJ483" i="6"/>
  <c r="AJ484" i="6"/>
  <c r="AJ485" i="6"/>
  <c r="AJ486" i="6"/>
  <c r="AJ487" i="6"/>
  <c r="AJ488" i="6"/>
  <c r="AJ489" i="6"/>
  <c r="AJ490" i="6"/>
  <c r="AJ491" i="6"/>
  <c r="AJ492" i="6"/>
  <c r="AJ493" i="6"/>
  <c r="AJ494" i="6"/>
  <c r="AJ495" i="6"/>
  <c r="AJ496" i="6"/>
  <c r="AJ497" i="6"/>
  <c r="AJ498" i="6"/>
  <c r="AJ499" i="6"/>
  <c r="AJ500" i="6"/>
  <c r="AJ501" i="6"/>
  <c r="AJ502" i="6"/>
  <c r="AJ503" i="6"/>
  <c r="AJ504" i="6"/>
  <c r="AJ505" i="6"/>
  <c r="AJ506" i="6"/>
  <c r="AJ507" i="6"/>
  <c r="AJ508" i="6"/>
  <c r="AJ509" i="6"/>
  <c r="AJ510" i="6"/>
  <c r="AJ511" i="6"/>
  <c r="AJ512" i="6"/>
  <c r="AJ513" i="6"/>
  <c r="AJ514" i="6"/>
  <c r="AJ515" i="6"/>
  <c r="AJ516" i="6"/>
  <c r="AJ517" i="6"/>
  <c r="AJ518" i="6"/>
  <c r="AJ519" i="6"/>
  <c r="AJ520" i="6"/>
  <c r="AJ521" i="6"/>
  <c r="AJ522" i="6"/>
  <c r="AJ523" i="6"/>
  <c r="AJ524" i="6"/>
  <c r="AJ525" i="6"/>
  <c r="AJ526" i="6"/>
  <c r="AJ527" i="6"/>
  <c r="AJ528" i="6"/>
  <c r="AJ529" i="6"/>
  <c r="AJ530" i="6"/>
  <c r="AJ531" i="6"/>
  <c r="AJ532" i="6"/>
  <c r="AJ533" i="6"/>
  <c r="AJ534" i="6"/>
  <c r="AJ535" i="6"/>
  <c r="AJ536" i="6"/>
  <c r="AJ537" i="6"/>
  <c r="AJ538" i="6"/>
  <c r="AJ539" i="6"/>
  <c r="AJ540" i="6"/>
  <c r="AJ541" i="6"/>
  <c r="AJ542" i="6"/>
  <c r="AJ543" i="6"/>
  <c r="AJ544" i="6"/>
  <c r="AJ545" i="6"/>
  <c r="AJ546" i="6"/>
  <c r="AJ547" i="6"/>
  <c r="AJ548" i="6"/>
  <c r="AJ549" i="6"/>
  <c r="AJ550" i="6"/>
  <c r="AJ551" i="6"/>
  <c r="AJ552" i="6"/>
  <c r="AJ553" i="6"/>
  <c r="AJ554" i="6"/>
  <c r="AJ555" i="6"/>
  <c r="AJ556" i="6"/>
  <c r="AJ557" i="6"/>
  <c r="AJ558" i="6"/>
  <c r="AJ559" i="6"/>
  <c r="AJ560" i="6"/>
  <c r="AJ561" i="6"/>
  <c r="AJ562" i="6"/>
  <c r="AJ563" i="6"/>
  <c r="AJ564" i="6"/>
  <c r="AJ565" i="6"/>
  <c r="AJ566" i="6"/>
  <c r="AJ567" i="6"/>
  <c r="AJ568" i="6"/>
  <c r="AJ569" i="6"/>
  <c r="AJ570" i="6"/>
  <c r="AJ571" i="6"/>
  <c r="AJ572" i="6"/>
  <c r="AJ573" i="6"/>
  <c r="AJ574" i="6"/>
  <c r="AJ575" i="6"/>
  <c r="AJ576" i="6"/>
  <c r="AJ577" i="6"/>
  <c r="AJ578" i="6"/>
  <c r="AJ579" i="6"/>
  <c r="AJ580" i="6"/>
  <c r="AJ581" i="6"/>
  <c r="AJ582" i="6"/>
  <c r="AJ583" i="6"/>
  <c r="AJ584" i="6"/>
  <c r="AJ585" i="6"/>
  <c r="AJ586" i="6"/>
  <c r="AJ587" i="6"/>
  <c r="AJ588" i="6"/>
  <c r="AJ589" i="6"/>
  <c r="AJ590" i="6"/>
  <c r="AJ591" i="6"/>
  <c r="AJ592" i="6"/>
  <c r="AJ593" i="6"/>
  <c r="AJ594" i="6"/>
  <c r="AJ595" i="6"/>
  <c r="AJ596" i="6"/>
  <c r="AJ597" i="6"/>
  <c r="AJ598" i="6"/>
  <c r="AJ599" i="6"/>
  <c r="AJ600" i="6"/>
  <c r="AJ601" i="6"/>
  <c r="AJ602" i="6"/>
  <c r="AJ603" i="6"/>
  <c r="AJ604" i="6"/>
  <c r="AJ605" i="6"/>
  <c r="AJ606" i="6"/>
  <c r="AJ607" i="6"/>
  <c r="AJ608" i="6"/>
  <c r="AJ609" i="6"/>
  <c r="AJ610" i="6"/>
  <c r="AJ611" i="6"/>
  <c r="AJ612" i="6"/>
  <c r="AJ613" i="6"/>
  <c r="AJ614" i="6"/>
  <c r="AJ615" i="6"/>
  <c r="AJ616" i="6"/>
  <c r="AJ617" i="6"/>
  <c r="AJ618" i="6"/>
  <c r="AJ619" i="6"/>
  <c r="AJ620" i="6"/>
  <c r="AJ621" i="6"/>
  <c r="AJ622" i="6"/>
  <c r="AJ623" i="6"/>
  <c r="AJ624" i="6"/>
  <c r="AJ625" i="6"/>
  <c r="AJ626" i="6"/>
  <c r="AJ627" i="6"/>
  <c r="AJ628" i="6"/>
  <c r="AJ629" i="6"/>
  <c r="AJ630" i="6"/>
  <c r="AJ631" i="6"/>
  <c r="AJ632" i="6"/>
  <c r="AJ633" i="6"/>
  <c r="AJ634" i="6"/>
  <c r="AJ635" i="6"/>
  <c r="AJ636" i="6"/>
  <c r="AJ637" i="6"/>
  <c r="AJ638" i="6"/>
  <c r="AJ639" i="6"/>
  <c r="AJ640" i="6"/>
  <c r="AJ641" i="6"/>
  <c r="AJ642" i="6"/>
  <c r="AJ643" i="6"/>
  <c r="AJ644" i="6"/>
  <c r="AJ645" i="6"/>
  <c r="AJ646" i="6"/>
  <c r="AJ647" i="6"/>
  <c r="AJ648" i="6"/>
  <c r="AJ649" i="6"/>
  <c r="AJ650" i="6"/>
  <c r="AJ651" i="6"/>
  <c r="AJ652" i="6"/>
  <c r="AJ653" i="6"/>
  <c r="AJ654" i="6"/>
  <c r="AJ655" i="6"/>
  <c r="AJ656" i="6"/>
  <c r="AJ657" i="6"/>
  <c r="AJ658" i="6"/>
  <c r="AJ659" i="6"/>
  <c r="AJ660" i="6"/>
  <c r="AJ661" i="6"/>
  <c r="AJ662" i="6"/>
  <c r="AJ663" i="6"/>
  <c r="AJ664" i="6"/>
  <c r="AJ665" i="6"/>
  <c r="AJ666" i="6"/>
  <c r="AJ667" i="6"/>
  <c r="AJ668" i="6"/>
  <c r="AJ669" i="6"/>
  <c r="AJ670" i="6"/>
  <c r="AJ671" i="6"/>
  <c r="W673" i="6"/>
  <c r="X673" i="6"/>
  <c r="Y673" i="6"/>
  <c r="Z673" i="6"/>
  <c r="AA673" i="6"/>
  <c r="AB673" i="6"/>
  <c r="AC673" i="6"/>
  <c r="AD673" i="6"/>
  <c r="AE673" i="6"/>
  <c r="AF673" i="6"/>
  <c r="AG673" i="6"/>
  <c r="AH673" i="6"/>
  <c r="V673" i="6"/>
  <c r="AJ2" i="6"/>
  <c r="W59" i="4"/>
  <c r="F59" i="4"/>
  <c r="W58" i="4"/>
  <c r="F58" i="4"/>
  <c r="W57" i="4"/>
  <c r="F57" i="4"/>
  <c r="W56" i="4"/>
  <c r="F56" i="4"/>
  <c r="W55" i="4"/>
  <c r="G55" i="4"/>
  <c r="W54" i="4"/>
  <c r="G54" i="4"/>
  <c r="W53" i="4"/>
  <c r="G53" i="4"/>
  <c r="W52" i="4"/>
  <c r="G52" i="4"/>
  <c r="W51" i="4"/>
  <c r="G51" i="4"/>
  <c r="W50" i="4"/>
  <c r="G50" i="4"/>
  <c r="W49" i="4"/>
  <c r="G49" i="4"/>
  <c r="W48" i="4"/>
  <c r="G48" i="4"/>
  <c r="W47" i="4"/>
  <c r="G47" i="4"/>
  <c r="W46" i="4"/>
  <c r="G46" i="4"/>
  <c r="W45" i="4"/>
  <c r="G45" i="4"/>
  <c r="W44" i="4"/>
  <c r="G44" i="4"/>
  <c r="W43" i="4"/>
  <c r="G43" i="4"/>
  <c r="W42" i="4"/>
  <c r="G42" i="4"/>
  <c r="W41" i="4"/>
  <c r="G41" i="4"/>
  <c r="W40" i="4"/>
  <c r="G40" i="4"/>
  <c r="W39" i="4"/>
  <c r="G39" i="4"/>
  <c r="W38" i="4"/>
  <c r="G38" i="4"/>
  <c r="W37" i="4"/>
  <c r="G37" i="4"/>
  <c r="W36" i="4"/>
  <c r="G36" i="4"/>
  <c r="W35" i="4"/>
  <c r="G35" i="4"/>
  <c r="W34" i="4"/>
  <c r="G34" i="4"/>
  <c r="W33" i="4"/>
  <c r="G33" i="4"/>
  <c r="W32" i="4"/>
  <c r="G32" i="4"/>
  <c r="W31" i="4"/>
  <c r="G31" i="4"/>
  <c r="W30" i="4"/>
  <c r="G30" i="4"/>
  <c r="W29" i="4"/>
  <c r="G29" i="4"/>
  <c r="W28" i="4"/>
  <c r="G28" i="4"/>
  <c r="W27" i="4"/>
  <c r="G27" i="4"/>
  <c r="W26" i="4"/>
  <c r="G26" i="4"/>
  <c r="W25" i="4"/>
  <c r="G25" i="4"/>
  <c r="W101" i="4"/>
  <c r="G101" i="4"/>
  <c r="W100" i="4"/>
  <c r="G100" i="4"/>
  <c r="W99" i="4"/>
  <c r="G99" i="4"/>
  <c r="W98" i="4"/>
  <c r="G98" i="4"/>
  <c r="W97" i="4"/>
  <c r="G97" i="4"/>
  <c r="W96" i="4"/>
  <c r="G96" i="4"/>
  <c r="W95" i="4"/>
  <c r="G95" i="4"/>
  <c r="W94" i="4"/>
  <c r="G94" i="4"/>
  <c r="W93" i="4"/>
  <c r="G93" i="4"/>
  <c r="W92" i="4"/>
  <c r="G92" i="4"/>
  <c r="W91" i="4"/>
  <c r="G91" i="4"/>
  <c r="W90" i="4"/>
  <c r="G90" i="4"/>
  <c r="W89" i="4"/>
  <c r="G89" i="4"/>
  <c r="G88" i="4"/>
  <c r="W88" i="4"/>
  <c r="W24" i="4"/>
  <c r="G24" i="4"/>
  <c r="W23" i="4"/>
  <c r="G23" i="4"/>
  <c r="W22" i="4"/>
  <c r="G22" i="4"/>
  <c r="W21" i="4"/>
  <c r="G21" i="4"/>
  <c r="W20" i="4"/>
  <c r="G20" i="4"/>
  <c r="W19" i="4"/>
  <c r="G19" i="4"/>
  <c r="W18" i="4"/>
  <c r="G18" i="4"/>
  <c r="W17" i="4"/>
  <c r="G17" i="4"/>
  <c r="W16" i="4"/>
  <c r="G16" i="4"/>
  <c r="W15" i="4"/>
  <c r="G15" i="4"/>
  <c r="G14" i="4"/>
  <c r="W14" i="4"/>
  <c r="W13" i="4"/>
  <c r="G13" i="4"/>
  <c r="W12" i="4"/>
  <c r="G12" i="4"/>
  <c r="W11" i="4"/>
  <c r="G11" i="4"/>
  <c r="W10" i="4"/>
  <c r="G10" i="4"/>
  <c r="W619" i="4"/>
  <c r="G619" i="4"/>
  <c r="W87" i="4"/>
  <c r="G87" i="4"/>
  <c r="W86" i="4"/>
  <c r="G86" i="4"/>
  <c r="W85" i="4"/>
  <c r="G85" i="4"/>
  <c r="W84" i="4"/>
  <c r="G84" i="4"/>
  <c r="W745" i="4"/>
  <c r="F745" i="4"/>
  <c r="W744" i="4"/>
  <c r="F744" i="4"/>
  <c r="W674" i="4"/>
  <c r="F674" i="4"/>
  <c r="W673" i="4"/>
  <c r="F673" i="4"/>
  <c r="F672" i="4"/>
  <c r="F671" i="4"/>
  <c r="W672" i="4"/>
  <c r="W671" i="4"/>
  <c r="W306" i="4"/>
  <c r="G306" i="4"/>
  <c r="W305" i="4"/>
  <c r="G305" i="4"/>
  <c r="W304" i="4"/>
  <c r="G304" i="4"/>
  <c r="W83" i="4"/>
  <c r="F83" i="4"/>
  <c r="W82" i="4"/>
  <c r="F82" i="4"/>
  <c r="W81" i="4"/>
  <c r="F81" i="4"/>
  <c r="W80" i="4"/>
  <c r="F80" i="4"/>
  <c r="W79" i="4"/>
  <c r="F79" i="4"/>
  <c r="W78" i="4"/>
  <c r="G78" i="4"/>
  <c r="W77" i="4"/>
  <c r="G77" i="4"/>
  <c r="W76" i="4"/>
  <c r="G76" i="4"/>
  <c r="W75" i="4"/>
  <c r="G75" i="4"/>
  <c r="W74" i="4"/>
  <c r="G74" i="4"/>
  <c r="W73" i="4"/>
  <c r="G73" i="4"/>
  <c r="W72" i="4"/>
  <c r="G72" i="4"/>
  <c r="W71" i="4"/>
  <c r="G71" i="4"/>
  <c r="W70" i="4"/>
  <c r="G70" i="4"/>
  <c r="W69" i="4"/>
  <c r="G69" i="4"/>
  <c r="W68" i="4"/>
  <c r="G68" i="4"/>
  <c r="V675" i="6" l="1"/>
  <c r="AJ673" i="6"/>
  <c r="F65" i="4"/>
  <c r="F66" i="4"/>
  <c r="F67" i="4"/>
  <c r="F64" i="4"/>
  <c r="F457" i="4"/>
  <c r="W67" i="4"/>
  <c r="W66" i="4"/>
  <c r="W65" i="4"/>
  <c r="W64" i="4"/>
  <c r="W63" i="4"/>
  <c r="G63" i="4"/>
  <c r="W62" i="4" l="1"/>
  <c r="G62" i="4"/>
  <c r="P325" i="6" l="1"/>
  <c r="P328" i="6"/>
  <c r="P374" i="6"/>
  <c r="P292" i="6"/>
  <c r="P476" i="6"/>
  <c r="P213" i="6"/>
  <c r="P271" i="6"/>
  <c r="P329" i="6"/>
  <c r="P559" i="6"/>
  <c r="P173" i="6"/>
  <c r="P330" i="6"/>
  <c r="P318" i="6"/>
  <c r="P343" i="6"/>
  <c r="P97" i="6"/>
  <c r="P668" i="6"/>
  <c r="P420" i="6"/>
  <c r="P652" i="6"/>
  <c r="P102" i="6"/>
  <c r="P260" i="6"/>
  <c r="P383" i="6"/>
  <c r="P232" i="6"/>
  <c r="P544" i="6"/>
  <c r="P558" i="6"/>
  <c r="P554" i="6"/>
  <c r="P299" i="6"/>
  <c r="P560" i="6"/>
  <c r="P567" i="6"/>
  <c r="P262" i="6"/>
  <c r="P375" i="6"/>
  <c r="P532" i="6"/>
  <c r="P505" i="6"/>
  <c r="P310" i="6"/>
  <c r="P327" i="6"/>
  <c r="P187" i="6"/>
  <c r="P573" i="6"/>
  <c r="P555" i="6"/>
  <c r="P40" i="6"/>
  <c r="P158" i="6"/>
  <c r="P556" i="6"/>
  <c r="P641" i="6"/>
  <c r="P490" i="6"/>
  <c r="P415" i="6"/>
  <c r="P198" i="6"/>
  <c r="P22" i="6"/>
  <c r="P491" i="6"/>
  <c r="P552" i="6"/>
  <c r="P508" i="6"/>
  <c r="P384" i="6"/>
  <c r="P197" i="6"/>
  <c r="P206" i="6"/>
  <c r="P15" i="6"/>
  <c r="P371" i="6"/>
  <c r="P123" i="6"/>
  <c r="P496" i="6"/>
  <c r="P425" i="6"/>
  <c r="P333" i="6"/>
  <c r="P119" i="6"/>
  <c r="P557" i="6"/>
  <c r="P416" i="6"/>
  <c r="P576" i="6"/>
  <c r="P561" i="6"/>
  <c r="P417" i="6"/>
  <c r="P107" i="6"/>
  <c r="P428" i="6"/>
  <c r="P543" i="6"/>
  <c r="P69" i="6"/>
  <c r="P127" i="6"/>
  <c r="P37" i="6"/>
  <c r="P506" i="6"/>
  <c r="P135" i="6"/>
  <c r="P24" i="6"/>
  <c r="P275" i="6"/>
  <c r="P98" i="6"/>
  <c r="P205" i="6"/>
  <c r="P423" i="6"/>
  <c r="P338" i="6"/>
  <c r="P546" i="6"/>
  <c r="P507" i="6"/>
  <c r="P214" i="6"/>
  <c r="P537" i="6"/>
  <c r="P208" i="6"/>
  <c r="P598" i="6"/>
  <c r="P372" i="6"/>
  <c r="P551" i="6"/>
  <c r="P233" i="6"/>
  <c r="P150" i="6"/>
  <c r="P174" i="6"/>
  <c r="P424" i="6"/>
  <c r="P346" i="6"/>
  <c r="P553" i="6"/>
  <c r="P498" i="6"/>
  <c r="P582" i="6"/>
  <c r="P510" i="6"/>
  <c r="P317" i="6"/>
  <c r="P536" i="6"/>
  <c r="P196" i="6"/>
  <c r="P401" i="6"/>
  <c r="P533" i="6"/>
  <c r="P65" i="6"/>
  <c r="P326" i="6"/>
  <c r="P412" i="6"/>
  <c r="P526" i="6"/>
  <c r="P55" i="6"/>
  <c r="P373" i="6"/>
  <c r="P509" i="6"/>
  <c r="P340" i="6"/>
  <c r="P379" i="6"/>
  <c r="P120" i="6"/>
  <c r="P195" i="6"/>
  <c r="P131" i="6"/>
  <c r="P608" i="6"/>
  <c r="P360" i="6"/>
  <c r="P367" i="6"/>
  <c r="P171" i="6"/>
  <c r="P599" i="6"/>
  <c r="P258" i="6"/>
  <c r="P266" i="6"/>
  <c r="P632" i="6"/>
  <c r="P465" i="6"/>
  <c r="P541" i="6"/>
  <c r="P222" i="6"/>
  <c r="P449" i="6"/>
  <c r="P151" i="6"/>
  <c r="P410" i="6"/>
  <c r="P389" i="6"/>
  <c r="P570" i="6"/>
  <c r="P382" i="6"/>
  <c r="P370" i="6"/>
  <c r="P59" i="6"/>
  <c r="P483" i="6"/>
  <c r="P31" i="6"/>
  <c r="P540" i="6"/>
  <c r="P114" i="6"/>
  <c r="P242" i="6"/>
  <c r="P388" i="6"/>
  <c r="P588" i="6"/>
  <c r="P113" i="6"/>
  <c r="P236" i="6"/>
  <c r="P169" i="6"/>
  <c r="P109" i="6"/>
  <c r="P564" i="6"/>
  <c r="P339" i="6"/>
  <c r="P563" i="6"/>
  <c r="P531" i="6"/>
  <c r="P349" i="6"/>
  <c r="P539" i="6"/>
  <c r="P366" i="6"/>
  <c r="P594" i="6"/>
  <c r="P542" i="6"/>
  <c r="P137" i="6"/>
  <c r="P160" i="6"/>
  <c r="P462" i="6"/>
  <c r="P442" i="6"/>
  <c r="P628" i="6"/>
  <c r="P595" i="6"/>
  <c r="P210" i="6"/>
  <c r="P550" i="6"/>
  <c r="P369" i="6"/>
  <c r="P545" i="6"/>
  <c r="P403" i="6"/>
  <c r="P368" i="6"/>
  <c r="P157" i="6"/>
  <c r="P186" i="6"/>
  <c r="P440" i="6"/>
  <c r="P188" i="6"/>
  <c r="P355" i="6"/>
  <c r="P170" i="6"/>
  <c r="P455" i="6"/>
  <c r="P305" i="6"/>
  <c r="P650" i="6"/>
  <c r="P352" i="6"/>
  <c r="P220" i="6"/>
  <c r="P422" i="6"/>
  <c r="P149" i="6"/>
  <c r="P640" i="6"/>
  <c r="P178" i="6"/>
  <c r="P78" i="6"/>
  <c r="P376" i="6"/>
  <c r="P361" i="6"/>
  <c r="P479" i="6"/>
  <c r="P399" i="6"/>
  <c r="P439" i="6"/>
  <c r="P392" i="6"/>
  <c r="P176" i="6"/>
  <c r="P235" i="6"/>
  <c r="P395" i="6"/>
  <c r="P444" i="6"/>
  <c r="P585" i="6"/>
  <c r="P351" i="6"/>
  <c r="P234" i="6"/>
  <c r="P241" i="6"/>
  <c r="P163" i="6"/>
  <c r="P156" i="6"/>
  <c r="P240" i="6"/>
  <c r="P472" i="6"/>
  <c r="P99" i="6"/>
  <c r="P64" i="6"/>
  <c r="P105" i="6"/>
  <c r="P535" i="6"/>
  <c r="P227" i="6"/>
  <c r="P66" i="6"/>
  <c r="P414" i="6"/>
  <c r="P223" i="6"/>
  <c r="P84" i="6"/>
  <c r="P670" i="6"/>
  <c r="P607" i="6"/>
  <c r="P649" i="6"/>
  <c r="P245" i="6"/>
  <c r="P143" i="6"/>
  <c r="P30" i="6"/>
  <c r="P118" i="6"/>
  <c r="P391" i="6"/>
  <c r="P257" i="6"/>
  <c r="P303" i="6"/>
  <c r="P216" i="6"/>
  <c r="P306" i="6"/>
  <c r="P130" i="6"/>
  <c r="P263" i="6"/>
  <c r="P35" i="6"/>
  <c r="P646" i="6"/>
  <c r="P362" i="6"/>
  <c r="P386" i="6"/>
  <c r="P290" i="6"/>
  <c r="P418" i="6"/>
  <c r="P203" i="6"/>
  <c r="P313" i="6"/>
  <c r="P525" i="6"/>
  <c r="P523" i="6"/>
  <c r="P314" i="6"/>
  <c r="P7" i="6"/>
  <c r="P238" i="6"/>
  <c r="P14" i="6"/>
  <c r="P250" i="6"/>
  <c r="P408" i="6"/>
  <c r="P181" i="6"/>
  <c r="P244" i="6"/>
  <c r="P45" i="6"/>
  <c r="P636" i="6"/>
  <c r="P493" i="6"/>
  <c r="P177" i="6"/>
  <c r="P71" i="6"/>
  <c r="P631" i="6"/>
  <c r="P58" i="6"/>
  <c r="P90" i="6"/>
  <c r="P80" i="6"/>
  <c r="P548" i="6"/>
  <c r="P237" i="6"/>
  <c r="P126" i="6"/>
  <c r="P132" i="6"/>
  <c r="P312" i="6"/>
  <c r="P547" i="6"/>
  <c r="P144" i="6"/>
  <c r="P125" i="6"/>
  <c r="P587" i="6"/>
  <c r="P647" i="6"/>
  <c r="P172" i="6"/>
  <c r="P61" i="6"/>
  <c r="P657" i="6"/>
  <c r="P357" i="6"/>
  <c r="P419" i="6"/>
  <c r="P441" i="6"/>
  <c r="P207" i="6"/>
  <c r="P147" i="6"/>
  <c r="P300" i="6"/>
  <c r="P321" i="6"/>
  <c r="P501" i="6"/>
  <c r="P503" i="6"/>
  <c r="P39" i="6"/>
  <c r="P385" i="6"/>
  <c r="P620" i="6"/>
  <c r="P614" i="6"/>
  <c r="P586" i="6"/>
  <c r="P85" i="6"/>
  <c r="P297" i="6"/>
  <c r="P592" i="6"/>
  <c r="P324" i="6"/>
  <c r="P104" i="6"/>
  <c r="P82" i="6"/>
  <c r="P400" i="6"/>
  <c r="P323" i="6"/>
  <c r="P124" i="6"/>
  <c r="P128" i="6"/>
  <c r="P589" i="6"/>
  <c r="P655" i="6"/>
  <c r="P583" i="6"/>
  <c r="P44" i="6"/>
  <c r="P165" i="6"/>
  <c r="P145" i="6"/>
  <c r="P633" i="6"/>
  <c r="P269" i="6"/>
  <c r="P602" i="6"/>
  <c r="P247" i="6"/>
  <c r="P336" i="6"/>
  <c r="P270" i="6"/>
  <c r="P577" i="6"/>
  <c r="P484" i="6"/>
  <c r="P625" i="6"/>
  <c r="P315" i="6"/>
  <c r="P168" i="6"/>
  <c r="P642" i="6"/>
  <c r="P265" i="6"/>
  <c r="P450" i="6"/>
  <c r="P154" i="6"/>
  <c r="P584" i="6"/>
  <c r="P146" i="6"/>
  <c r="P443" i="6"/>
  <c r="P634" i="6"/>
  <c r="P296" i="6"/>
  <c r="P347" i="6"/>
  <c r="P527" i="6"/>
  <c r="P34" i="6"/>
  <c r="P36" i="6"/>
  <c r="P87" i="6"/>
  <c r="P33" i="6"/>
  <c r="P549" i="6"/>
  <c r="P363" i="6"/>
  <c r="P574" i="6"/>
  <c r="P488" i="6"/>
  <c r="P194" i="6"/>
  <c r="P466" i="6"/>
  <c r="P304" i="6"/>
  <c r="P609" i="6"/>
  <c r="P454" i="6"/>
  <c r="P405" i="6"/>
  <c r="P199" i="6"/>
  <c r="P627" i="6"/>
  <c r="P47" i="6"/>
  <c r="P353" i="6"/>
  <c r="P451" i="6"/>
  <c r="P62" i="6"/>
  <c r="P495" i="6"/>
  <c r="P453" i="6"/>
  <c r="P219" i="6"/>
  <c r="P575" i="6"/>
  <c r="P96" i="6"/>
  <c r="P486" i="6"/>
  <c r="P515" i="6"/>
  <c r="P248" i="6"/>
  <c r="P274" i="6"/>
  <c r="P629" i="6"/>
  <c r="P562" i="6"/>
  <c r="P654" i="6"/>
  <c r="P511" i="6"/>
  <c r="P264" i="6"/>
  <c r="P79" i="6"/>
  <c r="P534" i="6"/>
  <c r="P463" i="6"/>
  <c r="P231" i="6"/>
  <c r="P409" i="6"/>
  <c r="P251" i="6"/>
  <c r="P254" i="6"/>
  <c r="P183" i="6"/>
  <c r="P302" i="6"/>
  <c r="P294" i="6"/>
  <c r="P291" i="6"/>
  <c r="P322" i="6"/>
  <c r="P148" i="6"/>
  <c r="P359" i="6"/>
  <c r="P411" i="6"/>
  <c r="P446" i="6"/>
  <c r="P487" i="6"/>
  <c r="P538" i="6"/>
  <c r="P356" i="6"/>
  <c r="P136" i="6"/>
  <c r="P111" i="6"/>
  <c r="P253" i="6"/>
  <c r="P604" i="6"/>
  <c r="P320" i="6"/>
  <c r="P202" i="6"/>
  <c r="P471" i="6"/>
  <c r="P635" i="6"/>
  <c r="P514" i="6"/>
  <c r="P436" i="6"/>
  <c r="P467" i="6"/>
  <c r="P18" i="6"/>
  <c r="P53" i="6"/>
  <c r="P358" i="6"/>
  <c r="P606" i="6"/>
  <c r="P504" i="6"/>
  <c r="P350" i="6"/>
  <c r="P667" i="6"/>
  <c r="P500" i="6"/>
  <c r="P624" i="6"/>
  <c r="P282" i="6"/>
  <c r="P301" i="6"/>
  <c r="P421" i="6"/>
  <c r="P645" i="6"/>
  <c r="P623" i="6"/>
  <c r="P298" i="6"/>
  <c r="P603" i="6"/>
  <c r="P665" i="6"/>
  <c r="P337" i="6"/>
  <c r="P601" i="6"/>
  <c r="P268" i="6"/>
  <c r="P406" i="6"/>
  <c r="P341" i="6"/>
  <c r="P285" i="6"/>
  <c r="P17" i="6"/>
  <c r="P217" i="6"/>
  <c r="P571" i="6"/>
  <c r="P430" i="6"/>
  <c r="P378" i="6"/>
  <c r="P485" i="6"/>
  <c r="P429" i="6"/>
  <c r="P185" i="6"/>
  <c r="P255" i="6"/>
  <c r="P228" i="6"/>
  <c r="P261" i="6"/>
  <c r="P8" i="6"/>
  <c r="P182" i="6"/>
  <c r="P230" i="6"/>
  <c r="P524" i="6"/>
  <c r="P129" i="6"/>
  <c r="P189" i="6"/>
  <c r="P267" i="6"/>
  <c r="P249" i="6"/>
  <c r="P569" i="6"/>
  <c r="P662" i="6"/>
  <c r="P334" i="6"/>
  <c r="P41" i="6"/>
  <c r="P581" i="6"/>
  <c r="P212" i="6"/>
  <c r="P10" i="6"/>
  <c r="P155" i="6"/>
  <c r="P653" i="6"/>
  <c r="P88" i="6"/>
  <c r="P464" i="6"/>
  <c r="P600" i="6"/>
  <c r="P482" i="6"/>
  <c r="P60" i="6"/>
  <c r="P520" i="6"/>
  <c r="P283" i="6"/>
  <c r="P152" i="6"/>
  <c r="P651" i="6"/>
  <c r="P193" i="6"/>
  <c r="P342" i="6"/>
  <c r="P354" i="6"/>
  <c r="P529" i="6"/>
  <c r="P70" i="6"/>
  <c r="P38" i="6"/>
  <c r="P477" i="6"/>
  <c r="P161" i="6"/>
  <c r="P133" i="6"/>
  <c r="P179" i="6"/>
  <c r="P593" i="6"/>
  <c r="P459" i="6"/>
  <c r="P513" i="6"/>
  <c r="P590" i="6"/>
  <c r="P512" i="6"/>
  <c r="P139" i="6"/>
  <c r="P461" i="6"/>
  <c r="P611" i="6"/>
  <c r="P51" i="6"/>
  <c r="P192" i="6"/>
  <c r="P284" i="6"/>
  <c r="P380" i="6"/>
  <c r="P81" i="6"/>
  <c r="P522" i="6"/>
  <c r="P293" i="6"/>
  <c r="P579" i="6"/>
  <c r="P390" i="6"/>
  <c r="P452" i="6"/>
  <c r="P456" i="6"/>
  <c r="P184" i="6"/>
  <c r="P159" i="6"/>
  <c r="P86" i="6"/>
  <c r="P204" i="6"/>
  <c r="P426" i="6"/>
  <c r="P630" i="6"/>
  <c r="P638" i="6"/>
  <c r="P91" i="6"/>
  <c r="P596" i="6"/>
  <c r="P21" i="6"/>
  <c r="P215" i="6"/>
  <c r="P481" i="6"/>
  <c r="P381" i="6"/>
  <c r="P201" i="6"/>
  <c r="P209" i="6"/>
  <c r="P13" i="6"/>
  <c r="P572" i="6"/>
  <c r="P142" i="6"/>
  <c r="P365" i="6"/>
  <c r="P211" i="6"/>
  <c r="P591" i="6"/>
  <c r="P433" i="6"/>
  <c r="P377" i="6"/>
  <c r="P72" i="6"/>
  <c r="P73" i="6"/>
  <c r="P345" i="6"/>
  <c r="P458" i="6"/>
  <c r="P239" i="6"/>
  <c r="P48" i="6"/>
  <c r="P566" i="6"/>
  <c r="P272" i="6"/>
  <c r="P643" i="6"/>
  <c r="P273" i="6"/>
  <c r="P229" i="6"/>
  <c r="P122" i="6"/>
  <c r="P565" i="6"/>
  <c r="P76" i="6"/>
  <c r="P246" i="6"/>
  <c r="P288" i="6"/>
  <c r="P77" i="6"/>
  <c r="P190" i="6"/>
  <c r="P278" i="6"/>
  <c r="P121" i="6"/>
  <c r="P663" i="6"/>
  <c r="P6" i="6"/>
  <c r="P489" i="6"/>
  <c r="P67" i="6"/>
  <c r="P580" i="6"/>
  <c r="P28" i="6"/>
  <c r="P153" i="6"/>
  <c r="P29" i="6"/>
  <c r="P664" i="6"/>
  <c r="P141" i="6"/>
  <c r="P89" i="6"/>
  <c r="P516" i="6"/>
  <c r="P50" i="6"/>
  <c r="P626" i="6"/>
  <c r="P311" i="6"/>
  <c r="P316" i="6"/>
  <c r="P74" i="6"/>
  <c r="P140" i="6"/>
  <c r="P27" i="6"/>
  <c r="P616" i="6"/>
  <c r="P289" i="6"/>
  <c r="P612" i="6"/>
  <c r="P621" i="6"/>
  <c r="P447" i="6"/>
  <c r="P221" i="6"/>
  <c r="P666" i="6"/>
  <c r="P364" i="6"/>
  <c r="P162" i="6"/>
  <c r="P460" i="6"/>
  <c r="P75" i="6"/>
  <c r="P530" i="6"/>
  <c r="P224" i="6"/>
  <c r="P175" i="6"/>
  <c r="P610" i="6"/>
  <c r="P661" i="6"/>
  <c r="P568" i="6"/>
  <c r="P445" i="6"/>
  <c r="P16" i="6"/>
  <c r="P475" i="6"/>
  <c r="P309" i="6"/>
  <c r="P49" i="6"/>
  <c r="P259" i="6"/>
  <c r="P502" i="6"/>
  <c r="P434" i="6"/>
  <c r="P435" i="6"/>
  <c r="P478" i="6"/>
  <c r="P46" i="6"/>
  <c r="P398" i="6"/>
  <c r="P448" i="6"/>
  <c r="P457" i="6"/>
  <c r="P286" i="6"/>
  <c r="P407" i="6"/>
  <c r="P413" i="6"/>
  <c r="P108" i="6"/>
  <c r="P5" i="6"/>
  <c r="P622" i="6"/>
  <c r="P191" i="6"/>
  <c r="P605" i="6"/>
  <c r="P432" i="6"/>
  <c r="P658" i="6"/>
  <c r="P2" i="6"/>
  <c r="P218" i="6"/>
  <c r="P32" i="6"/>
  <c r="P167" i="6"/>
  <c r="P3" i="6"/>
  <c r="P26" i="6"/>
  <c r="P615" i="6"/>
  <c r="P307" i="6"/>
  <c r="P95" i="6"/>
  <c r="P394" i="6"/>
  <c r="P25" i="6"/>
  <c r="P4" i="6"/>
  <c r="P669" i="6"/>
  <c r="P404" i="6"/>
  <c r="P11" i="6"/>
  <c r="P474" i="6"/>
  <c r="P431" i="6"/>
  <c r="P20" i="6"/>
  <c r="P57" i="6"/>
  <c r="P276" i="6"/>
  <c r="P63" i="6"/>
  <c r="P103" i="6"/>
  <c r="P578" i="6"/>
  <c r="P243" i="6"/>
  <c r="P597" i="6"/>
  <c r="P494" i="6"/>
  <c r="P166" i="6"/>
  <c r="P613" i="6"/>
  <c r="P528" i="6"/>
  <c r="P83" i="6"/>
  <c r="P637" i="6"/>
  <c r="P226" i="6"/>
  <c r="P344" i="6"/>
  <c r="P164" i="6"/>
  <c r="P200" i="6"/>
  <c r="P618" i="6"/>
  <c r="P138" i="6"/>
  <c r="P256" i="6"/>
  <c r="P12" i="6"/>
  <c r="P106" i="6"/>
  <c r="P54" i="6"/>
  <c r="P617" i="6"/>
  <c r="P225" i="6"/>
  <c r="P115" i="6"/>
  <c r="P117" i="6"/>
  <c r="P348" i="6"/>
  <c r="P116" i="6"/>
  <c r="P492" i="6"/>
  <c r="P396" i="6"/>
  <c r="P43" i="6"/>
  <c r="P295" i="6"/>
  <c r="P397" i="6"/>
  <c r="P438" i="6"/>
  <c r="P56" i="6"/>
  <c r="P42" i="6"/>
  <c r="P94" i="6"/>
  <c r="P93" i="6"/>
  <c r="P9" i="6"/>
  <c r="P639" i="6"/>
  <c r="P656" i="6"/>
  <c r="P332" i="6"/>
  <c r="P252" i="6"/>
  <c r="P648" i="6"/>
  <c r="P52" i="6"/>
  <c r="P279" i="6"/>
  <c r="P287" i="6"/>
  <c r="P277" i="6"/>
  <c r="P19" i="6"/>
  <c r="P101" i="6"/>
  <c r="P521" i="6"/>
  <c r="P427" i="6"/>
  <c r="P280" i="6"/>
  <c r="P92" i="6"/>
  <c r="P319" i="6"/>
  <c r="P497" i="6"/>
  <c r="P619" i="6"/>
  <c r="P518" i="6"/>
  <c r="P519" i="6"/>
  <c r="P134" i="6"/>
  <c r="P517" i="6"/>
  <c r="P468" i="6"/>
  <c r="P671" i="6"/>
  <c r="P100" i="6"/>
  <c r="P499" i="6"/>
  <c r="P469" i="6"/>
  <c r="P68" i="6"/>
  <c r="P473" i="6"/>
  <c r="P281" i="6"/>
  <c r="P470" i="6"/>
  <c r="P660" i="6"/>
  <c r="P437" i="6"/>
  <c r="P644" i="6"/>
  <c r="P659" i="6"/>
  <c r="P331" i="6"/>
  <c r="P180" i="6"/>
  <c r="P402" i="6"/>
  <c r="P23" i="6"/>
  <c r="P335" i="6"/>
  <c r="P112" i="6"/>
  <c r="P308" i="6"/>
  <c r="P387" i="6"/>
  <c r="P393" i="6"/>
  <c r="P480" i="6"/>
  <c r="P110" i="6"/>
  <c r="W670" i="4" l="1"/>
  <c r="G670" i="4"/>
  <c r="W669" i="4"/>
  <c r="G669" i="4"/>
  <c r="G668" i="4"/>
  <c r="W668" i="4"/>
  <c r="W618" i="4"/>
  <c r="F618" i="4"/>
  <c r="W617" i="4"/>
  <c r="F617" i="4"/>
  <c r="W616" i="4"/>
  <c r="F616" i="4"/>
  <c r="F615" i="4"/>
  <c r="W615" i="4"/>
  <c r="W614" i="4"/>
  <c r="G614" i="4"/>
  <c r="W613" i="4"/>
  <c r="G613" i="4"/>
  <c r="W612" i="4"/>
  <c r="G612" i="4"/>
  <c r="W611" i="4"/>
  <c r="G611" i="4"/>
  <c r="W610" i="4"/>
  <c r="G610" i="4"/>
  <c r="W609" i="4"/>
  <c r="G609" i="4"/>
  <c r="W608" i="4"/>
  <c r="G608" i="4"/>
  <c r="G607" i="4"/>
  <c r="W607" i="4"/>
  <c r="W479" i="4"/>
  <c r="G479" i="4"/>
  <c r="W478" i="4"/>
  <c r="G478" i="4"/>
  <c r="W477" i="4"/>
  <c r="G477" i="4"/>
  <c r="W476" i="4"/>
  <c r="G476" i="4"/>
  <c r="W475" i="4"/>
  <c r="G475" i="4"/>
  <c r="W474" i="4"/>
  <c r="G474" i="4"/>
  <c r="W473" i="4"/>
  <c r="G473" i="4"/>
  <c r="W472" i="4"/>
  <c r="G472" i="4"/>
  <c r="W471" i="4"/>
  <c r="G471" i="4"/>
  <c r="W470" i="4"/>
  <c r="G470" i="4"/>
  <c r="W469" i="4"/>
  <c r="G469" i="4"/>
  <c r="W468" i="4"/>
  <c r="G468" i="4"/>
  <c r="W467" i="4"/>
  <c r="G467" i="4"/>
  <c r="W466" i="4"/>
  <c r="G466" i="4"/>
  <c r="W465" i="4"/>
  <c r="G465" i="4"/>
  <c r="W464" i="4"/>
  <c r="G464" i="4"/>
  <c r="W463" i="4"/>
  <c r="G463" i="4"/>
  <c r="W462" i="4"/>
  <c r="G462" i="4"/>
  <c r="W461" i="4"/>
  <c r="G461" i="4"/>
  <c r="G460" i="4"/>
  <c r="W460" i="4"/>
  <c r="W459" i="4"/>
  <c r="F459" i="4"/>
  <c r="W458" i="4"/>
  <c r="F458" i="4"/>
  <c r="W457" i="4"/>
  <c r="F456" i="4"/>
  <c r="W456" i="4"/>
  <c r="W354" i="4"/>
  <c r="F354" i="4"/>
  <c r="W353" i="4"/>
  <c r="F353" i="4"/>
  <c r="W352" i="4"/>
  <c r="F352" i="4"/>
  <c r="F351" i="4"/>
  <c r="W351" i="4"/>
  <c r="W302" i="4"/>
  <c r="G302" i="4"/>
  <c r="W301" i="4"/>
  <c r="G301" i="4"/>
  <c r="W303" i="4"/>
  <c r="G303" i="4"/>
  <c r="W300" i="4"/>
  <c r="G300" i="4"/>
  <c r="W299" i="4"/>
  <c r="G299" i="4"/>
  <c r="W236" i="4"/>
  <c r="G236" i="4"/>
  <c r="W235" i="4"/>
  <c r="G235" i="4"/>
  <c r="W234" i="4"/>
  <c r="G234" i="4"/>
  <c r="W233" i="4"/>
  <c r="G233" i="4"/>
  <c r="W232" i="4"/>
  <c r="G232" i="4"/>
  <c r="W231" i="4"/>
  <c r="G231" i="4"/>
  <c r="W230" i="4"/>
  <c r="G230" i="4"/>
  <c r="W229" i="4"/>
  <c r="G229" i="4"/>
  <c r="W228" i="4"/>
  <c r="G228" i="4"/>
  <c r="G227" i="4"/>
  <c r="W227" i="4"/>
  <c r="W226" i="4"/>
  <c r="G226" i="4"/>
  <c r="W225" i="4"/>
  <c r="G225" i="4"/>
  <c r="W224" i="4"/>
  <c r="G224" i="4"/>
  <c r="W223" i="4"/>
  <c r="G223" i="4"/>
  <c r="W222" i="4"/>
  <c r="G222" i="4"/>
  <c r="W221" i="4"/>
  <c r="G221" i="4"/>
  <c r="W220" i="4"/>
  <c r="G220" i="4"/>
  <c r="W219" i="4"/>
  <c r="G219" i="4"/>
  <c r="W218" i="4"/>
  <c r="G218" i="4"/>
  <c r="W217" i="4"/>
  <c r="G217" i="4"/>
  <c r="W216" i="4"/>
  <c r="G216" i="4"/>
  <c r="W215" i="4"/>
  <c r="G215" i="4"/>
  <c r="W214" i="4"/>
  <c r="G214" i="4"/>
  <c r="W213" i="4"/>
  <c r="G213" i="4"/>
  <c r="W212" i="4"/>
  <c r="G212" i="4"/>
  <c r="W211" i="4"/>
  <c r="G211" i="4"/>
  <c r="W210" i="4"/>
  <c r="G210" i="4"/>
  <c r="W209" i="4"/>
  <c r="G209" i="4"/>
  <c r="W208" i="4"/>
  <c r="G208" i="4"/>
  <c r="W207" i="4"/>
  <c r="G207" i="4"/>
  <c r="W206" i="4"/>
  <c r="G206" i="4"/>
  <c r="W205" i="4"/>
  <c r="G205" i="4"/>
  <c r="W204" i="4"/>
  <c r="G204" i="4"/>
  <c r="W203" i="4"/>
  <c r="G203" i="4"/>
  <c r="W202" i="4"/>
  <c r="G202" i="4"/>
  <c r="W201" i="4"/>
  <c r="G201" i="4"/>
  <c r="W200" i="4"/>
  <c r="G200" i="4"/>
  <c r="W199" i="4"/>
  <c r="G199" i="4"/>
  <c r="W198" i="4"/>
  <c r="G198" i="4"/>
  <c r="W197" i="4"/>
  <c r="G197" i="4"/>
  <c r="W196" i="4"/>
  <c r="G196" i="4"/>
  <c r="W195" i="4"/>
  <c r="G195" i="4"/>
  <c r="W194" i="4"/>
  <c r="G194" i="4"/>
  <c r="W193" i="4"/>
  <c r="G193" i="4"/>
  <c r="W192" i="4"/>
  <c r="G192" i="4"/>
  <c r="W191" i="4"/>
  <c r="G191" i="4"/>
  <c r="W190" i="4"/>
  <c r="G190" i="4"/>
  <c r="W189" i="4"/>
  <c r="G189" i="4"/>
  <c r="W188" i="4"/>
  <c r="G188" i="4"/>
  <c r="W187" i="4"/>
  <c r="G187" i="4"/>
  <c r="W186" i="4"/>
  <c r="G186" i="4"/>
  <c r="W185" i="4"/>
  <c r="G185" i="4"/>
  <c r="W184" i="4"/>
  <c r="G184" i="4"/>
  <c r="W183" i="4"/>
  <c r="G183" i="4"/>
  <c r="W182" i="4"/>
  <c r="G182" i="4"/>
  <c r="W181" i="4"/>
  <c r="G181" i="4"/>
  <c r="W180" i="4"/>
  <c r="G180" i="4"/>
  <c r="G179" i="4"/>
  <c r="W179" i="4"/>
  <c r="W178" i="4"/>
  <c r="G178" i="4"/>
  <c r="W177" i="4"/>
  <c r="G177" i="4"/>
  <c r="W176" i="4"/>
  <c r="G176" i="4"/>
  <c r="W175" i="4"/>
  <c r="G175" i="4"/>
  <c r="W174" i="4"/>
  <c r="G174" i="4"/>
  <c r="W173" i="4"/>
  <c r="G173" i="4"/>
  <c r="W172" i="4"/>
  <c r="G172" i="4"/>
  <c r="G171" i="4"/>
  <c r="W171" i="4"/>
  <c r="W170" i="4"/>
  <c r="G170" i="4"/>
  <c r="W169" i="4"/>
  <c r="F169" i="4"/>
  <c r="W168" i="4"/>
  <c r="F168" i="4"/>
  <c r="W167" i="4"/>
  <c r="F167" i="4"/>
  <c r="W166" i="4"/>
  <c r="F166" i="4"/>
  <c r="W165" i="4"/>
  <c r="F165" i="4"/>
  <c r="W164" i="4"/>
  <c r="F164" i="4"/>
  <c r="F163" i="4"/>
  <c r="W163" i="4"/>
  <c r="W162" i="4"/>
  <c r="G162" i="4"/>
  <c r="W161" i="4"/>
  <c r="G161" i="4"/>
  <c r="W160" i="4"/>
  <c r="G160" i="4"/>
  <c r="G159" i="4"/>
  <c r="W159" i="4"/>
  <c r="W158" i="4"/>
  <c r="W157" i="4"/>
  <c r="W156" i="4"/>
  <c r="G158" i="4"/>
  <c r="G157" i="4"/>
  <c r="G156" i="4"/>
  <c r="W61" i="4" l="1"/>
  <c r="G61" i="4"/>
  <c r="G60" i="4"/>
  <c r="W60" i="4"/>
  <c r="W850" i="4"/>
  <c r="G850" i="4"/>
  <c r="W849" i="4"/>
  <c r="G849" i="4"/>
  <c r="W848" i="4"/>
  <c r="G848" i="4"/>
  <c r="W847" i="4"/>
  <c r="G847" i="4"/>
  <c r="W846" i="4"/>
  <c r="G846" i="4"/>
  <c r="G845" i="4"/>
  <c r="W845" i="4"/>
  <c r="W844" i="4"/>
  <c r="F844" i="4"/>
  <c r="W843" i="4"/>
  <c r="F843" i="4"/>
  <c r="W842" i="4"/>
  <c r="F842" i="4"/>
  <c r="W155" i="4"/>
  <c r="G155" i="4"/>
  <c r="W154" i="4"/>
  <c r="G154" i="4"/>
  <c r="W153" i="4"/>
  <c r="G153" i="4"/>
  <c r="W152" i="4"/>
  <c r="G152" i="4"/>
  <c r="W151" i="4"/>
  <c r="G151" i="4"/>
  <c r="W150" i="4"/>
  <c r="G150" i="4"/>
  <c r="W149" i="4"/>
  <c r="G149" i="4"/>
  <c r="W148" i="4"/>
  <c r="G148" i="4"/>
  <c r="W147" i="4"/>
  <c r="G147" i="4"/>
  <c r="W146" i="4"/>
  <c r="G146" i="4"/>
  <c r="W350" i="4"/>
  <c r="J350" i="4"/>
  <c r="F350" i="4"/>
  <c r="J349" i="4"/>
  <c r="W349" i="4"/>
  <c r="F349" i="4"/>
  <c r="W555" i="4"/>
  <c r="F555" i="4"/>
  <c r="W554" i="4"/>
  <c r="F554" i="4"/>
  <c r="W553" i="4"/>
  <c r="F553" i="4"/>
  <c r="W552" i="4"/>
  <c r="F552" i="4"/>
  <c r="W551" i="4"/>
  <c r="F551" i="4"/>
  <c r="W550" i="4"/>
  <c r="F550" i="4"/>
  <c r="W549" i="4"/>
  <c r="F549" i="4"/>
  <c r="W548" i="4"/>
  <c r="F548" i="4"/>
  <c r="W547" i="4"/>
  <c r="F547" i="4"/>
  <c r="W546" i="4"/>
  <c r="F546" i="4"/>
  <c r="W545" i="4"/>
  <c r="F545" i="4"/>
  <c r="W544" i="4"/>
  <c r="F544" i="4"/>
  <c r="W543" i="4"/>
  <c r="F543" i="4"/>
  <c r="W542" i="4"/>
  <c r="F542" i="4"/>
  <c r="W541" i="4"/>
  <c r="F541" i="4"/>
  <c r="W540" i="4"/>
  <c r="F540" i="4"/>
  <c r="W539" i="4"/>
  <c r="F539" i="4"/>
  <c r="W538" i="4"/>
  <c r="F538" i="4"/>
  <c r="W537" i="4"/>
  <c r="F537" i="4"/>
  <c r="W536" i="4"/>
  <c r="F536" i="4"/>
  <c r="W535" i="4"/>
  <c r="F535" i="4"/>
  <c r="W534" i="4"/>
  <c r="F534" i="4"/>
  <c r="W533" i="4"/>
  <c r="F533" i="4"/>
  <c r="W532" i="4"/>
  <c r="F532" i="4"/>
  <c r="W531" i="4"/>
  <c r="F531" i="4"/>
  <c r="W530" i="4"/>
  <c r="F530" i="4"/>
  <c r="W529" i="4"/>
  <c r="F529" i="4"/>
  <c r="W528" i="4"/>
  <c r="F528" i="4"/>
  <c r="W527" i="4"/>
  <c r="F527" i="4"/>
  <c r="W526" i="4"/>
  <c r="F526" i="4"/>
  <c r="W775" i="4"/>
  <c r="F775" i="4"/>
  <c r="W774" i="4"/>
  <c r="F774" i="4"/>
  <c r="W773" i="4"/>
  <c r="F773" i="4"/>
  <c r="W772" i="4"/>
  <c r="F772" i="4"/>
  <c r="F805" i="4" l="1"/>
  <c r="W806" i="4"/>
  <c r="F806" i="4"/>
  <c r="W805" i="4"/>
  <c r="W743" i="4"/>
  <c r="G743" i="4"/>
  <c r="G742" i="4"/>
  <c r="W742" i="4"/>
  <c r="W455" i="4"/>
  <c r="J455" i="4"/>
  <c r="F455" i="4"/>
  <c r="F454" i="4"/>
  <c r="J454" i="4"/>
  <c r="W454" i="4"/>
  <c r="W795" i="4"/>
  <c r="G795" i="4"/>
  <c r="W348" i="4"/>
  <c r="F348" i="4"/>
  <c r="W347" i="4"/>
  <c r="F347" i="4"/>
  <c r="W346" i="4"/>
  <c r="F346" i="4"/>
  <c r="W345" i="4"/>
  <c r="F345" i="4"/>
  <c r="W344" i="4"/>
  <c r="F344" i="4"/>
  <c r="W343" i="4"/>
  <c r="F343" i="4"/>
  <c r="W342" i="4"/>
  <c r="F342" i="4"/>
  <c r="F341" i="4"/>
  <c r="W341" i="4"/>
  <c r="W667" i="4"/>
  <c r="G667" i="4"/>
  <c r="W666" i="4"/>
  <c r="G666" i="4"/>
  <c r="W453" i="4"/>
  <c r="G453" i="4"/>
  <c r="F453" i="4" s="1"/>
  <c r="W452" i="4"/>
  <c r="G452" i="4"/>
  <c r="F452" i="4" s="1"/>
  <c r="W451" i="4"/>
  <c r="G451" i="4"/>
  <c r="F451" i="4" s="1"/>
  <c r="W450" i="4"/>
  <c r="G450" i="4"/>
  <c r="F450" i="4" s="1"/>
  <c r="G449" i="4"/>
  <c r="F449" i="4" s="1"/>
  <c r="W449" i="4"/>
  <c r="J771" i="4"/>
  <c r="J770" i="4"/>
  <c r="W771" i="4"/>
  <c r="G771" i="4"/>
  <c r="W770" i="4"/>
  <c r="G770" i="4"/>
  <c r="W769" i="4"/>
  <c r="J769" i="4"/>
  <c r="G769" i="4"/>
  <c r="J768" i="4"/>
  <c r="G768" i="4"/>
  <c r="W768" i="4"/>
  <c r="W841" i="4"/>
  <c r="G841" i="4"/>
  <c r="W840" i="4"/>
  <c r="G840" i="4"/>
  <c r="W802" i="4"/>
  <c r="F802" i="4"/>
  <c r="W698" i="4"/>
  <c r="F698" i="4"/>
  <c r="F697" i="4"/>
  <c r="W697" i="4"/>
  <c r="W298" i="4"/>
  <c r="F298" i="4"/>
  <c r="W297" i="4"/>
  <c r="F297" i="4"/>
  <c r="W296" i="4"/>
  <c r="F296" i="4"/>
  <c r="W295" i="4"/>
  <c r="F295" i="4"/>
  <c r="W294" i="4"/>
  <c r="F294" i="4"/>
  <c r="W293" i="4"/>
  <c r="F293" i="4"/>
  <c r="W292" i="4"/>
  <c r="F292" i="4"/>
  <c r="W291" i="4"/>
  <c r="F291" i="4"/>
  <c r="W290" i="4"/>
  <c r="F290" i="4"/>
  <c r="W289" i="4"/>
  <c r="F289" i="4"/>
  <c r="W288" i="4"/>
  <c r="F288" i="4"/>
  <c r="W287" i="4"/>
  <c r="F287" i="4"/>
  <c r="W286" i="4"/>
  <c r="F286" i="4"/>
  <c r="F285" i="4"/>
  <c r="W285" i="4"/>
  <c r="W606" i="4"/>
  <c r="F606" i="4"/>
  <c r="W605" i="4"/>
  <c r="F605" i="4"/>
  <c r="F604" i="4"/>
  <c r="W604" i="4"/>
  <c r="W665" i="4"/>
  <c r="F665" i="4"/>
  <c r="W664" i="4"/>
  <c r="F664" i="4"/>
  <c r="W696" i="4"/>
  <c r="F696" i="4"/>
  <c r="W695" i="4"/>
  <c r="F695" i="4"/>
  <c r="W694" i="4"/>
  <c r="F694" i="4"/>
  <c r="W693" i="4"/>
  <c r="F693" i="4"/>
  <c r="W692" i="4"/>
  <c r="F692" i="4"/>
  <c r="W691" i="4"/>
  <c r="F691" i="4"/>
  <c r="W786" i="4"/>
  <c r="F786" i="4"/>
  <c r="W335" i="4"/>
  <c r="F335" i="4"/>
  <c r="W334" i="4"/>
  <c r="F334" i="4"/>
  <c r="W333" i="4"/>
  <c r="F333" i="4"/>
  <c r="W332" i="4"/>
  <c r="F332" i="4"/>
  <c r="W331" i="4"/>
  <c r="F331" i="4"/>
  <c r="W330" i="4"/>
  <c r="F330" i="4"/>
  <c r="W329" i="4"/>
  <c r="F329" i="4"/>
  <c r="W328" i="4"/>
  <c r="F328" i="4"/>
  <c r="W327" i="4"/>
  <c r="F327" i="4"/>
  <c r="W326" i="4"/>
  <c r="F326" i="4"/>
  <c r="W325" i="4"/>
  <c r="F325" i="4"/>
  <c r="W324" i="4"/>
  <c r="F324" i="4"/>
  <c r="W323" i="4"/>
  <c r="F323" i="4"/>
  <c r="W322" i="4"/>
  <c r="F322" i="4"/>
  <c r="W321" i="4"/>
  <c r="F321" i="4"/>
  <c r="W320" i="4"/>
  <c r="F320" i="4"/>
  <c r="W525" i="4"/>
  <c r="G525" i="4"/>
  <c r="W524" i="4"/>
  <c r="G524" i="4"/>
  <c r="W523" i="4"/>
  <c r="G523" i="4"/>
  <c r="W522" i="4"/>
  <c r="G522" i="4"/>
  <c r="W521" i="4"/>
  <c r="G521" i="4"/>
  <c r="G520" i="4"/>
  <c r="W520" i="4"/>
  <c r="W839" i="4"/>
  <c r="F839" i="4"/>
  <c r="W838" i="4"/>
  <c r="F838" i="4"/>
  <c r="W837" i="4"/>
  <c r="F837" i="4"/>
  <c r="W836" i="4"/>
  <c r="F836" i="4"/>
  <c r="F835" i="4"/>
  <c r="W835" i="4"/>
  <c r="W603" i="4"/>
  <c r="G603" i="4"/>
  <c r="W602" i="4"/>
  <c r="G602" i="4"/>
  <c r="W601" i="4"/>
  <c r="G601" i="4"/>
  <c r="W600" i="4"/>
  <c r="G600" i="4"/>
  <c r="G599" i="4"/>
  <c r="W599" i="4"/>
  <c r="F740" i="4"/>
  <c r="F741" i="4"/>
  <c r="W741" i="4"/>
  <c r="W740" i="4"/>
  <c r="W448" i="4"/>
  <c r="F448" i="4"/>
  <c r="F447" i="4"/>
  <c r="W447" i="4"/>
  <c r="W858" i="4"/>
  <c r="G858" i="4"/>
  <c r="G857" i="4"/>
  <c r="W857" i="4"/>
  <c r="W519" i="4"/>
  <c r="G519" i="4"/>
  <c r="W518" i="4"/>
  <c r="G518" i="4"/>
  <c r="W517" i="4"/>
  <c r="G517" i="4"/>
  <c r="W516" i="4"/>
  <c r="G516" i="4"/>
  <c r="W515" i="4"/>
  <c r="G515" i="4"/>
  <c r="W514" i="4"/>
  <c r="G514" i="4"/>
  <c r="W513" i="4"/>
  <c r="G513" i="4"/>
  <c r="W512" i="4"/>
  <c r="G512" i="4"/>
  <c r="W511" i="4"/>
  <c r="G511" i="4"/>
  <c r="W510" i="4"/>
  <c r="G510" i="4"/>
  <c r="W509" i="4"/>
  <c r="G509" i="4"/>
  <c r="G508" i="4"/>
  <c r="W508" i="4"/>
  <c r="W624" i="4"/>
  <c r="F624" i="4"/>
  <c r="W625" i="4"/>
  <c r="F625" i="4"/>
  <c r="W626" i="4"/>
  <c r="F626" i="4"/>
  <c r="W627" i="4"/>
  <c r="F627" i="4"/>
  <c r="W628" i="4"/>
  <c r="F628" i="4"/>
  <c r="W629" i="4"/>
  <c r="F629" i="4"/>
  <c r="W663" i="4"/>
  <c r="G663" i="4"/>
  <c r="W834" i="4"/>
  <c r="F834" i="4"/>
  <c r="F833" i="4"/>
  <c r="W833" i="4"/>
  <c r="W832" i="4"/>
  <c r="F832" i="4"/>
  <c r="W831" i="4"/>
  <c r="F831" i="4"/>
  <c r="W830" i="4"/>
  <c r="F830" i="4"/>
  <c r="W829" i="4"/>
  <c r="F829" i="4"/>
  <c r="W828" i="4"/>
  <c r="F828" i="4"/>
  <c r="W827" i="4"/>
  <c r="F827" i="4"/>
  <c r="W826" i="4"/>
  <c r="F826" i="4"/>
  <c r="W825" i="4"/>
  <c r="F825" i="4"/>
  <c r="W824" i="4"/>
  <c r="F824" i="4"/>
  <c r="W823" i="4"/>
  <c r="F823" i="4"/>
  <c r="F822" i="4"/>
  <c r="W822" i="4"/>
  <c r="W446" i="4"/>
  <c r="G446" i="4"/>
  <c r="W445" i="4"/>
  <c r="G445" i="4"/>
  <c r="W444" i="4"/>
  <c r="G444" i="4"/>
  <c r="W443" i="4"/>
  <c r="G443" i="4"/>
  <c r="W442" i="4"/>
  <c r="G442" i="4"/>
  <c r="W441" i="4"/>
  <c r="G441" i="4"/>
  <c r="W440" i="4"/>
  <c r="G440" i="4"/>
  <c r="W439" i="4"/>
  <c r="G439" i="4"/>
  <c r="W438" i="4"/>
  <c r="G438" i="4"/>
  <c r="W437" i="4"/>
  <c r="G437" i="4"/>
  <c r="W436" i="4"/>
  <c r="G436" i="4"/>
  <c r="W435" i="4"/>
  <c r="G435" i="4"/>
  <c r="W434" i="4"/>
  <c r="G434" i="4"/>
  <c r="W433" i="4"/>
  <c r="G433" i="4"/>
  <c r="W432" i="4"/>
  <c r="G432" i="4"/>
  <c r="G431" i="4"/>
  <c r="W431" i="4"/>
  <c r="G662" i="4"/>
  <c r="W767" i="4"/>
  <c r="F767" i="4"/>
  <c r="W766" i="4"/>
  <c r="F766" i="4"/>
  <c r="W765" i="4"/>
  <c r="F765" i="4"/>
  <c r="W764" i="4"/>
  <c r="F764" i="4"/>
  <c r="F763" i="4"/>
  <c r="W763" i="4"/>
  <c r="G739" i="4"/>
  <c r="W739" i="4"/>
  <c r="W690" i="4"/>
  <c r="F690" i="4"/>
  <c r="W689" i="4"/>
  <c r="F689" i="4"/>
  <c r="W688" i="4"/>
  <c r="F688" i="4"/>
  <c r="W687" i="4"/>
  <c r="F687" i="4"/>
  <c r="W686" i="4"/>
  <c r="F686" i="4"/>
  <c r="W685" i="4"/>
  <c r="F685" i="4"/>
  <c r="W684" i="4"/>
  <c r="F684" i="4"/>
  <c r="W683" i="4"/>
  <c r="F683" i="4"/>
  <c r="W145" i="4"/>
  <c r="G145" i="4"/>
  <c r="W144" i="4"/>
  <c r="G144" i="4"/>
  <c r="W143" i="4"/>
  <c r="G143" i="4"/>
  <c r="W142" i="4"/>
  <c r="G142" i="4"/>
  <c r="W141" i="4"/>
  <c r="G141" i="4"/>
  <c r="W140" i="4"/>
  <c r="G140" i="4"/>
  <c r="W139" i="4"/>
  <c r="G139" i="4"/>
  <c r="W138" i="4"/>
  <c r="G138" i="4"/>
  <c r="W137" i="4"/>
  <c r="G137" i="4"/>
  <c r="W136" i="4"/>
  <c r="G136" i="4"/>
  <c r="W135" i="4"/>
  <c r="G135" i="4"/>
  <c r="W134" i="4"/>
  <c r="G134" i="4"/>
  <c r="W133" i="4"/>
  <c r="G133" i="4"/>
  <c r="W132" i="4"/>
  <c r="G132" i="4"/>
  <c r="W131" i="4"/>
  <c r="G131" i="4"/>
  <c r="W130" i="4"/>
  <c r="G130" i="4"/>
  <c r="W129" i="4"/>
  <c r="G129" i="4"/>
  <c r="W128" i="4"/>
  <c r="G128" i="4"/>
  <c r="G127" i="4"/>
  <c r="W127" i="4"/>
  <c r="W507" i="4"/>
  <c r="G507" i="4"/>
  <c r="W506" i="4"/>
  <c r="G506" i="4"/>
  <c r="W505" i="4"/>
  <c r="G505" i="4"/>
  <c r="W504" i="4"/>
  <c r="G504" i="4"/>
  <c r="W661" i="4"/>
  <c r="G661" i="4"/>
  <c r="W660" i="4"/>
  <c r="G660" i="4"/>
  <c r="G659" i="4"/>
  <c r="W659" i="4"/>
  <c r="W284" i="4"/>
  <c r="F284" i="4"/>
  <c r="W283" i="4"/>
  <c r="F283" i="4"/>
  <c r="F282" i="4"/>
  <c r="W282" i="4"/>
  <c r="F852" i="4"/>
  <c r="F853" i="4"/>
  <c r="F854" i="4"/>
  <c r="F855" i="4"/>
  <c r="F856" i="4"/>
  <c r="F851" i="4"/>
  <c r="W856" i="4"/>
  <c r="W855" i="4"/>
  <c r="W854" i="4"/>
  <c r="W853" i="4"/>
  <c r="W852" i="4"/>
  <c r="W851" i="4"/>
  <c r="W794" i="4" l="1"/>
  <c r="G794" i="4"/>
  <c r="W738" i="4"/>
  <c r="F738" i="4"/>
  <c r="W737" i="4"/>
  <c r="F737" i="4"/>
  <c r="F736" i="4"/>
  <c r="W736" i="4"/>
  <c r="G732" i="4"/>
  <c r="G733" i="4"/>
  <c r="G734" i="4"/>
  <c r="G735" i="4"/>
  <c r="W735" i="4"/>
  <c r="W734" i="4"/>
  <c r="W733" i="4"/>
  <c r="W732" i="4"/>
  <c r="W731" i="4"/>
  <c r="G731" i="4"/>
  <c r="W730" i="4"/>
  <c r="G730" i="4"/>
  <c r="W729" i="4"/>
  <c r="G729" i="4"/>
  <c r="W728" i="4"/>
  <c r="G728" i="4"/>
  <c r="G726" i="4"/>
  <c r="W726" i="4"/>
  <c r="G727" i="4"/>
  <c r="W727" i="4"/>
  <c r="W725" i="4"/>
  <c r="G725" i="4"/>
  <c r="W724" i="4"/>
  <c r="G724" i="4"/>
  <c r="W723" i="4"/>
  <c r="G723" i="4"/>
  <c r="W722" i="4"/>
  <c r="G722" i="4"/>
  <c r="W721" i="4"/>
  <c r="G721" i="4"/>
  <c r="W720" i="4"/>
  <c r="G720" i="4"/>
  <c r="W719" i="4"/>
  <c r="G719" i="4"/>
  <c r="W718" i="4"/>
  <c r="G718" i="4"/>
  <c r="W717" i="4"/>
  <c r="G717" i="4"/>
  <c r="G716" i="4"/>
  <c r="W716" i="4"/>
  <c r="W126" i="4" l="1"/>
  <c r="G126" i="4"/>
  <c r="W125" i="4"/>
  <c r="G125" i="4"/>
  <c r="W124" i="4"/>
  <c r="G124" i="4"/>
  <c r="W123" i="4"/>
  <c r="G123" i="4"/>
  <c r="W122" i="4"/>
  <c r="G122" i="4"/>
  <c r="G121" i="4"/>
  <c r="W121" i="4"/>
  <c r="W503" i="4"/>
  <c r="G503" i="4"/>
  <c r="W502" i="4"/>
  <c r="G502" i="4"/>
  <c r="W762" i="4" l="1"/>
  <c r="G762" i="4"/>
  <c r="W656" i="4"/>
  <c r="W713" i="4"/>
  <c r="W714" i="4"/>
  <c r="W715" i="4"/>
  <c r="W420" i="4"/>
  <c r="W421" i="4"/>
  <c r="W422" i="4"/>
  <c r="W423" i="4"/>
  <c r="W424" i="4"/>
  <c r="W425" i="4"/>
  <c r="W426" i="4"/>
  <c r="W427" i="4"/>
  <c r="W428" i="4"/>
  <c r="W429" i="4"/>
  <c r="W430" i="4"/>
  <c r="W657" i="4"/>
  <c r="W658" i="4"/>
  <c r="W278" i="4"/>
  <c r="W279" i="4"/>
  <c r="W280" i="4"/>
  <c r="W281" i="4"/>
  <c r="W761" i="4"/>
  <c r="G761" i="4"/>
  <c r="F623" i="4"/>
  <c r="W623" i="4"/>
  <c r="F621" i="4"/>
  <c r="W621" i="4"/>
  <c r="G281" i="4"/>
  <c r="G280" i="4"/>
  <c r="G279" i="4"/>
  <c r="G278" i="4"/>
  <c r="G658" i="4"/>
  <c r="G657" i="4"/>
  <c r="G430" i="4"/>
  <c r="G429" i="4"/>
  <c r="G428" i="4"/>
  <c r="G427" i="4"/>
  <c r="G426" i="4"/>
  <c r="G425" i="4"/>
  <c r="G424" i="4"/>
  <c r="G423" i="4"/>
  <c r="G422" i="4"/>
  <c r="G421" i="4"/>
  <c r="G420" i="4"/>
  <c r="F715" i="4"/>
  <c r="F714" i="4"/>
  <c r="F713" i="4"/>
  <c r="G656" i="4"/>
  <c r="W655" i="4"/>
  <c r="G655" i="4"/>
  <c r="W654" i="4"/>
  <c r="G654" i="4"/>
  <c r="W653" i="4"/>
  <c r="G653" i="4"/>
  <c r="W652" i="4"/>
  <c r="G652" i="4"/>
  <c r="W651" i="4"/>
  <c r="G651" i="4"/>
  <c r="W650" i="4"/>
  <c r="G650" i="4"/>
  <c r="W649" i="4"/>
  <c r="G649" i="4"/>
  <c r="W648" i="4"/>
  <c r="G648" i="4"/>
  <c r="W647" i="4"/>
  <c r="G647" i="4"/>
  <c r="W801" i="4"/>
  <c r="F801" i="4"/>
  <c r="W800" i="4"/>
  <c r="F800" i="4"/>
  <c r="W799" i="4"/>
  <c r="F799" i="4"/>
  <c r="W798" i="4"/>
  <c r="F798" i="4"/>
  <c r="W797" i="4"/>
  <c r="F797" i="4"/>
  <c r="F796" i="4"/>
  <c r="W796" i="4"/>
  <c r="F865" i="4"/>
  <c r="W867" i="4"/>
  <c r="F867" i="4"/>
  <c r="W866" i="4"/>
  <c r="F866" i="4"/>
  <c r="W865" i="4"/>
  <c r="W864" i="4"/>
  <c r="F864" i="4"/>
  <c r="W863" i="4"/>
  <c r="F863" i="4"/>
  <c r="W862" i="4"/>
  <c r="F862" i="4"/>
  <c r="W861" i="4"/>
  <c r="F861" i="4"/>
  <c r="W860" i="4"/>
  <c r="F860" i="4"/>
  <c r="F859" i="4"/>
  <c r="W859" i="4"/>
  <c r="W340" i="4"/>
  <c r="G340" i="4"/>
  <c r="W760" i="4"/>
  <c r="G760" i="4"/>
  <c r="W759" i="4"/>
  <c r="G759" i="4"/>
  <c r="W758" i="4"/>
  <c r="G758" i="4"/>
  <c r="W757" i="4"/>
  <c r="G757" i="4"/>
  <c r="W756" i="4"/>
  <c r="F756" i="4"/>
  <c r="W755" i="4"/>
  <c r="F755" i="4"/>
  <c r="W754" i="4"/>
  <c r="F754" i="4"/>
  <c r="W753" i="4"/>
  <c r="F753" i="4"/>
  <c r="W752" i="4"/>
  <c r="F752" i="4"/>
  <c r="W751" i="4"/>
  <c r="F751" i="4"/>
  <c r="W750" i="4"/>
  <c r="F750" i="4"/>
  <c r="W749" i="4"/>
  <c r="F749" i="4"/>
  <c r="W748" i="4"/>
  <c r="F748" i="4"/>
  <c r="W747" i="4"/>
  <c r="F747" i="4"/>
  <c r="F746" i="4"/>
  <c r="W746" i="4"/>
  <c r="W793" i="4" l="1"/>
  <c r="G793" i="4"/>
  <c r="W792" i="4"/>
  <c r="G792" i="4"/>
  <c r="W791" i="4"/>
  <c r="G791" i="4"/>
  <c r="W790" i="4"/>
  <c r="G790" i="4"/>
  <c r="W789" i="4"/>
  <c r="G789" i="4"/>
  <c r="W788" i="4"/>
  <c r="G788" i="4"/>
  <c r="W501" i="4"/>
  <c r="G501" i="4"/>
  <c r="W500" i="4"/>
  <c r="G500" i="4"/>
  <c r="W499" i="4"/>
  <c r="G499" i="4"/>
  <c r="W498" i="4"/>
  <c r="G498" i="4"/>
  <c r="W497" i="4"/>
  <c r="G497" i="4"/>
  <c r="W496" i="4"/>
  <c r="G496" i="4"/>
  <c r="W495" i="4"/>
  <c r="G495" i="4"/>
  <c r="W494" i="4"/>
  <c r="G494" i="4"/>
  <c r="W493" i="4"/>
  <c r="G493" i="4"/>
  <c r="W492" i="4"/>
  <c r="G492" i="4"/>
  <c r="W491" i="4"/>
  <c r="G491" i="4"/>
  <c r="W490" i="4"/>
  <c r="G490" i="4"/>
  <c r="W489" i="4"/>
  <c r="G489" i="4"/>
  <c r="W488" i="4"/>
  <c r="G488" i="4"/>
  <c r="W487" i="4"/>
  <c r="G487" i="4"/>
  <c r="W486" i="4"/>
  <c r="G486" i="4"/>
  <c r="W485" i="4"/>
  <c r="G485" i="4"/>
  <c r="W484" i="4"/>
  <c r="G484" i="4"/>
  <c r="W483" i="4"/>
  <c r="G483" i="4"/>
  <c r="G482" i="4"/>
  <c r="W482" i="4"/>
  <c r="W821" i="4"/>
  <c r="G821" i="4"/>
  <c r="W820" i="4"/>
  <c r="G820" i="4"/>
  <c r="W819" i="4"/>
  <c r="G819" i="4"/>
  <c r="W818" i="4"/>
  <c r="G818" i="4"/>
  <c r="G817" i="4"/>
  <c r="W817" i="4"/>
  <c r="W339" i="4"/>
  <c r="F339" i="4"/>
  <c r="W338" i="4"/>
  <c r="F338" i="4"/>
  <c r="W337" i="4"/>
  <c r="F337" i="4"/>
  <c r="F336" i="4"/>
  <c r="W336" i="4"/>
  <c r="W319" i="4"/>
  <c r="G319" i="4"/>
  <c r="W318" i="4"/>
  <c r="G318" i="4"/>
  <c r="G317" i="4"/>
  <c r="W317" i="4"/>
  <c r="W598" i="4"/>
  <c r="F598" i="4"/>
  <c r="W597" i="4"/>
  <c r="F597" i="4"/>
  <c r="W596" i="4"/>
  <c r="F596" i="4"/>
  <c r="W595" i="4"/>
  <c r="F595" i="4"/>
  <c r="F594" i="4"/>
  <c r="W594" i="4"/>
  <c r="W593" i="4"/>
  <c r="F593" i="4"/>
  <c r="W592" i="4"/>
  <c r="F592" i="4"/>
  <c r="W591" i="4"/>
  <c r="F591" i="4"/>
  <c r="W590" i="4"/>
  <c r="F590" i="4"/>
  <c r="W589" i="4"/>
  <c r="F589" i="4"/>
  <c r="W588" i="4"/>
  <c r="F588" i="4"/>
  <c r="F587" i="4"/>
  <c r="W587" i="4"/>
  <c r="W637" i="4"/>
  <c r="G637" i="4"/>
  <c r="W646" i="4"/>
  <c r="G646" i="4"/>
  <c r="W645" i="4"/>
  <c r="G645" i="4"/>
  <c r="W644" i="4"/>
  <c r="G644" i="4"/>
  <c r="W643" i="4"/>
  <c r="G643" i="4"/>
  <c r="W642" i="4"/>
  <c r="G642" i="4"/>
  <c r="W641" i="4"/>
  <c r="G641" i="4"/>
  <c r="W640" i="4"/>
  <c r="G640" i="4"/>
  <c r="W639" i="4"/>
  <c r="G639" i="4"/>
  <c r="W638" i="4"/>
  <c r="G638" i="4"/>
  <c r="W636" i="4"/>
  <c r="G636" i="4"/>
  <c r="W635" i="4"/>
  <c r="G635" i="4"/>
  <c r="W634" i="4"/>
  <c r="G634" i="4"/>
  <c r="W633" i="4"/>
  <c r="G633" i="4"/>
  <c r="W632" i="4"/>
  <c r="G632" i="4"/>
  <c r="G631" i="4"/>
  <c r="W631" i="4"/>
  <c r="W630" i="4"/>
  <c r="F630" i="4"/>
  <c r="W277" i="4"/>
  <c r="G277" i="4"/>
  <c r="W276" i="4"/>
  <c r="G276" i="4"/>
  <c r="W275" i="4"/>
  <c r="G275" i="4"/>
  <c r="G274" i="4"/>
  <c r="W274" i="4"/>
  <c r="W316" i="4"/>
  <c r="G316" i="4"/>
  <c r="W315" i="4"/>
  <c r="G315" i="4"/>
  <c r="W314" i="4"/>
  <c r="G314" i="4"/>
  <c r="W712" i="4"/>
  <c r="G712" i="4"/>
  <c r="W711" i="4"/>
  <c r="G711" i="4"/>
  <c r="W710" i="4"/>
  <c r="G710" i="4"/>
  <c r="W709" i="4"/>
  <c r="G709" i="4"/>
  <c r="W708" i="4"/>
  <c r="G708" i="4"/>
  <c r="W707" i="4"/>
  <c r="G707" i="4"/>
  <c r="G706" i="4"/>
  <c r="W706" i="4"/>
  <c r="W682" i="4"/>
  <c r="F682" i="4"/>
  <c r="W681" i="4"/>
  <c r="F681" i="4"/>
  <c r="W680" i="4"/>
  <c r="F680" i="4"/>
  <c r="W679" i="4"/>
  <c r="F679" i="4"/>
  <c r="W678" i="4"/>
  <c r="F678" i="4"/>
  <c r="W677" i="4"/>
  <c r="F677" i="4"/>
  <c r="W676" i="4"/>
  <c r="F676" i="4"/>
  <c r="F675" i="4"/>
  <c r="W675" i="4"/>
  <c r="W705" i="4"/>
  <c r="G705" i="4"/>
  <c r="W419" i="4"/>
  <c r="F419" i="4"/>
  <c r="W418" i="4"/>
  <c r="F418" i="4"/>
  <c r="W417" i="4"/>
  <c r="F417" i="4"/>
  <c r="W416" i="4"/>
  <c r="F416" i="4"/>
  <c r="W415" i="4"/>
  <c r="F415" i="4"/>
  <c r="W414" i="4"/>
  <c r="F414" i="4"/>
  <c r="W413" i="4"/>
  <c r="F413" i="4"/>
  <c r="W412" i="4"/>
  <c r="F412" i="4"/>
  <c r="W411" i="4"/>
  <c r="F411" i="4"/>
  <c r="W410" i="4"/>
  <c r="F410" i="4"/>
  <c r="W409" i="4"/>
  <c r="F409" i="4"/>
  <c r="W408" i="4"/>
  <c r="F408" i="4"/>
  <c r="W407" i="4"/>
  <c r="F407" i="4"/>
  <c r="W406" i="4"/>
  <c r="F406" i="4"/>
  <c r="W405" i="4"/>
  <c r="F405" i="4"/>
  <c r="F404" i="4"/>
  <c r="W404" i="4"/>
  <c r="W403" i="4"/>
  <c r="G403" i="4"/>
  <c r="W402" i="4"/>
  <c r="G402" i="4"/>
  <c r="W586" i="4"/>
  <c r="G586" i="4"/>
  <c r="G585" i="4"/>
  <c r="W585" i="4"/>
  <c r="W816" i="4"/>
  <c r="F816" i="4"/>
  <c r="W815" i="4"/>
  <c r="F815" i="4"/>
  <c r="W814" i="4"/>
  <c r="F814" i="4"/>
  <c r="F813" i="4"/>
  <c r="W813" i="4"/>
  <c r="W812" i="4"/>
  <c r="F812" i="4"/>
  <c r="W811" i="4"/>
  <c r="F811" i="4"/>
  <c r="W810" i="4"/>
  <c r="F810" i="4"/>
  <c r="W809" i="4"/>
  <c r="F809" i="4"/>
  <c r="W808" i="4"/>
  <c r="F808" i="4"/>
  <c r="F807" i="4"/>
  <c r="W807" i="4"/>
  <c r="F787" i="4"/>
  <c r="W787" i="4"/>
  <c r="W785" i="4"/>
  <c r="F785" i="4"/>
  <c r="W784" i="4"/>
  <c r="F784" i="4"/>
  <c r="W783" i="4"/>
  <c r="F783" i="4"/>
  <c r="W782" i="4"/>
  <c r="F782" i="4"/>
  <c r="W781" i="4"/>
  <c r="F781" i="4"/>
  <c r="W780" i="4"/>
  <c r="F780" i="4"/>
  <c r="W779" i="4"/>
  <c r="F779" i="4"/>
  <c r="W778" i="4"/>
  <c r="F778" i="4"/>
  <c r="W777" i="4"/>
  <c r="F777" i="4"/>
  <c r="F776" i="4"/>
  <c r="W776" i="4"/>
  <c r="W401" i="4"/>
  <c r="G401" i="4"/>
  <c r="W400" i="4"/>
  <c r="G400" i="4"/>
  <c r="G399" i="4"/>
  <c r="W399" i="4"/>
  <c r="W273" i="4"/>
  <c r="G273" i="4"/>
  <c r="G269" i="4"/>
  <c r="G270" i="4"/>
  <c r="G271" i="4"/>
  <c r="G272" i="4"/>
  <c r="W272" i="4"/>
  <c r="W271" i="4"/>
  <c r="W270" i="4"/>
  <c r="W269" i="4"/>
  <c r="F398" i="4"/>
  <c r="G398" i="4" s="1"/>
  <c r="W398" i="4"/>
  <c r="W397" i="4"/>
  <c r="F397" i="4"/>
  <c r="G397" i="4" s="1"/>
  <c r="W396" i="4"/>
  <c r="G396" i="4"/>
  <c r="W395" i="4"/>
  <c r="G395" i="4"/>
  <c r="W394" i="4"/>
  <c r="G394" i="4"/>
  <c r="W393" i="4"/>
  <c r="G393" i="4"/>
  <c r="W392" i="4"/>
  <c r="G392" i="4"/>
  <c r="W391" i="4"/>
  <c r="G391" i="4"/>
  <c r="W390" i="4"/>
  <c r="G390" i="4"/>
  <c r="W389" i="4"/>
  <c r="G389" i="4"/>
  <c r="W313" i="4"/>
  <c r="G313" i="4"/>
  <c r="W382" i="4"/>
  <c r="W383" i="4"/>
  <c r="W384" i="4"/>
  <c r="W385" i="4"/>
  <c r="W386" i="4"/>
  <c r="W387" i="4"/>
  <c r="W388" i="4"/>
  <c r="W312" i="4"/>
  <c r="G312" i="4"/>
  <c r="G378" i="4" l="1"/>
  <c r="G379" i="4"/>
  <c r="G380" i="4"/>
  <c r="G381" i="4"/>
  <c r="G382" i="4"/>
  <c r="G383" i="4"/>
  <c r="G384" i="4"/>
  <c r="G385" i="4"/>
  <c r="G386" i="4"/>
  <c r="G387" i="4"/>
  <c r="G388" i="4"/>
  <c r="G377" i="4"/>
  <c r="W381" i="4"/>
  <c r="W380" i="4"/>
  <c r="W379" i="4"/>
  <c r="W378" i="4"/>
  <c r="W377" i="4"/>
  <c r="F622" i="4" l="1"/>
  <c r="F620" i="4"/>
  <c r="W120" i="4" l="1"/>
  <c r="G120" i="4"/>
  <c r="W119" i="4"/>
  <c r="W118" i="4"/>
  <c r="G118" i="4"/>
  <c r="W117" i="4"/>
  <c r="G117" i="4"/>
  <c r="W116" i="4"/>
  <c r="G116" i="4"/>
  <c r="W115" i="4"/>
  <c r="G115" i="4"/>
  <c r="W114" i="4"/>
  <c r="G114" i="4"/>
  <c r="W113" i="4"/>
  <c r="G113" i="4"/>
  <c r="W112" i="4"/>
  <c r="G112" i="4"/>
  <c r="W111" i="4"/>
  <c r="G111" i="4"/>
  <c r="W110" i="4"/>
  <c r="G110" i="4"/>
  <c r="W109" i="4"/>
  <c r="G109" i="4"/>
  <c r="W108" i="4"/>
  <c r="G108" i="4"/>
  <c r="W107" i="4"/>
  <c r="G107" i="4"/>
  <c r="W106" i="4"/>
  <c r="G106" i="4"/>
  <c r="W105" i="4"/>
  <c r="G105" i="4"/>
  <c r="W104" i="4"/>
  <c r="G104" i="4"/>
  <c r="G103" i="4"/>
  <c r="W103" i="4"/>
  <c r="W268" i="4"/>
  <c r="G268" i="4"/>
  <c r="W267" i="4"/>
  <c r="G267" i="4"/>
  <c r="W266" i="4"/>
  <c r="G266" i="4"/>
  <c r="W265" i="4"/>
  <c r="G265" i="4"/>
  <c r="W264" i="4"/>
  <c r="G264" i="4"/>
  <c r="W263" i="4"/>
  <c r="G263" i="4"/>
  <c r="W262" i="4"/>
  <c r="G262" i="4"/>
  <c r="W261" i="4"/>
  <c r="G261" i="4"/>
  <c r="W260" i="4"/>
  <c r="G260" i="4"/>
  <c r="W259" i="4"/>
  <c r="G259" i="4"/>
  <c r="W258" i="4"/>
  <c r="G258" i="4"/>
  <c r="W257" i="4"/>
  <c r="G257" i="4"/>
  <c r="W256" i="4"/>
  <c r="G256" i="4"/>
  <c r="W255" i="4"/>
  <c r="G255" i="4"/>
  <c r="W254" i="4"/>
  <c r="G254" i="4"/>
  <c r="W253" i="4"/>
  <c r="G253" i="4"/>
  <c r="W252" i="4"/>
  <c r="G252" i="4"/>
  <c r="W251" i="4"/>
  <c r="G251" i="4"/>
  <c r="W250" i="4"/>
  <c r="G250" i="4"/>
  <c r="W249" i="4"/>
  <c r="G249" i="4"/>
  <c r="W584" i="4"/>
  <c r="G584" i="4"/>
  <c r="W583" i="4"/>
  <c r="G583" i="4"/>
  <c r="W582" i="4"/>
  <c r="G582" i="4"/>
  <c r="G581" i="4"/>
  <c r="W581" i="4"/>
  <c r="W481" i="4"/>
  <c r="G481" i="4"/>
  <c r="G480" i="4"/>
  <c r="W480" i="4"/>
  <c r="W248" i="4"/>
  <c r="G248" i="4"/>
  <c r="W247" i="4"/>
  <c r="G247" i="4"/>
  <c r="W246" i="4"/>
  <c r="G246" i="4"/>
  <c r="G245" i="4"/>
  <c r="W245" i="4"/>
  <c r="F366" i="4"/>
  <c r="F367" i="4"/>
  <c r="F368" i="4"/>
  <c r="F369" i="4"/>
  <c r="F370" i="4"/>
  <c r="F371" i="4"/>
  <c r="F372" i="4"/>
  <c r="F373" i="4"/>
  <c r="F374" i="4"/>
  <c r="F375" i="4"/>
  <c r="F376" i="4"/>
  <c r="F365" i="4"/>
  <c r="W376" i="4"/>
  <c r="W375" i="4"/>
  <c r="W374" i="4"/>
  <c r="W373" i="4"/>
  <c r="W372" i="4"/>
  <c r="W371" i="4"/>
  <c r="W370" i="4"/>
  <c r="W369" i="4"/>
  <c r="W368" i="4"/>
  <c r="W367" i="4"/>
  <c r="W366" i="4"/>
  <c r="W365" i="4"/>
  <c r="W364" i="4"/>
  <c r="G364" i="4"/>
  <c r="G363" i="4"/>
  <c r="W363" i="4"/>
  <c r="G243" i="4"/>
  <c r="G244" i="4"/>
  <c r="W244" i="4"/>
  <c r="W243" i="4"/>
  <c r="W311" i="4"/>
  <c r="G311" i="4"/>
  <c r="W310" i="4"/>
  <c r="G310" i="4"/>
  <c r="W309" i="4"/>
  <c r="G309" i="4"/>
  <c r="G308" i="4"/>
  <c r="W308" i="4"/>
  <c r="W622" i="4"/>
  <c r="W620" i="4"/>
  <c r="W307" i="4"/>
  <c r="G307" i="4"/>
  <c r="W242" i="4"/>
  <c r="F242" i="4"/>
  <c r="W241" i="4"/>
  <c r="F241" i="4"/>
  <c r="W240" i="4"/>
  <c r="F240" i="4"/>
  <c r="W239" i="4"/>
  <c r="F239" i="4"/>
  <c r="W238" i="4"/>
  <c r="F238" i="4"/>
  <c r="F237" i="4"/>
  <c r="W237" i="4"/>
  <c r="W704" i="4" l="1"/>
  <c r="G704" i="4"/>
  <c r="W703" i="4"/>
  <c r="G703" i="4"/>
  <c r="W702" i="4"/>
  <c r="G702" i="4"/>
  <c r="W701" i="4"/>
  <c r="G701" i="4"/>
  <c r="W700" i="4"/>
  <c r="G700" i="4"/>
  <c r="G699" i="4"/>
  <c r="W699" i="4"/>
  <c r="W871" i="4"/>
  <c r="F871" i="4"/>
  <c r="W870" i="4"/>
  <c r="F870" i="4"/>
  <c r="W869" i="4"/>
  <c r="F869" i="4"/>
  <c r="F868" i="4"/>
  <c r="W868" i="4"/>
  <c r="W580" i="4"/>
  <c r="G580" i="4"/>
  <c r="W579" i="4"/>
  <c r="G579" i="4"/>
  <c r="W578" i="4"/>
  <c r="G578" i="4"/>
  <c r="W577" i="4"/>
  <c r="G577" i="4"/>
  <c r="W576" i="4"/>
  <c r="G576" i="4"/>
  <c r="W575" i="4"/>
  <c r="G575" i="4"/>
  <c r="W574" i="4"/>
  <c r="G574" i="4"/>
  <c r="W573" i="4"/>
  <c r="G573" i="4"/>
  <c r="W572" i="4"/>
  <c r="G572" i="4"/>
  <c r="W571" i="4"/>
  <c r="G571" i="4"/>
  <c r="W570" i="4"/>
  <c r="G570" i="4"/>
  <c r="W569" i="4"/>
  <c r="G569" i="4"/>
  <c r="W568" i="4"/>
  <c r="G568" i="4"/>
  <c r="W567" i="4"/>
  <c r="G567" i="4"/>
  <c r="W566" i="4"/>
  <c r="G566" i="4"/>
  <c r="W565" i="4"/>
  <c r="G565" i="4"/>
  <c r="W564" i="4"/>
  <c r="G564" i="4"/>
  <c r="W563" i="4"/>
  <c r="G563" i="4"/>
  <c r="W562" i="4"/>
  <c r="G562" i="4"/>
  <c r="W561" i="4"/>
  <c r="G561" i="4"/>
  <c r="W560" i="4"/>
  <c r="G560" i="4"/>
  <c r="W559" i="4"/>
  <c r="G559" i="4"/>
  <c r="W558" i="4"/>
  <c r="G558" i="4"/>
  <c r="W557" i="4"/>
  <c r="G557" i="4"/>
  <c r="W556" i="4"/>
  <c r="G556" i="4"/>
  <c r="W102" i="4"/>
  <c r="G102" i="4"/>
  <c r="W362" i="4"/>
  <c r="G362" i="4"/>
  <c r="W361" i="4"/>
  <c r="G361" i="4"/>
  <c r="W360" i="4"/>
  <c r="G360" i="4"/>
  <c r="W359" i="4"/>
  <c r="G359" i="4"/>
  <c r="W358" i="4"/>
  <c r="G358" i="4"/>
  <c r="W357" i="4"/>
  <c r="G357" i="4"/>
  <c r="W356" i="4"/>
  <c r="G356" i="4"/>
  <c r="W355" i="4"/>
  <c r="G355" i="4"/>
  <c r="W804" i="4"/>
  <c r="F804" i="4"/>
  <c r="F803" i="4"/>
  <c r="W80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Elisa Panzera</author>
  </authors>
  <commentList>
    <comment ref="A8" authorId="0" shapeId="0" xr:uid="{E2F72D0F-626F-4A1D-9684-E752558F5ADA}">
      <text>
        <r>
          <rPr>
            <b/>
            <sz val="9"/>
            <color indexed="81"/>
            <rFont val="Tahoma"/>
            <family val="2"/>
          </rPr>
          <t>Elisa Panzera:</t>
        </r>
        <r>
          <rPr>
            <sz val="9"/>
            <color indexed="81"/>
            <rFont val="Tahoma"/>
            <family val="2"/>
          </rPr>
          <t xml:space="preserve">
where standard errore are not available they are obtained according to the following relation: st.err=effect size/t-statistics</t>
        </r>
      </text>
    </comment>
    <comment ref="A9" authorId="0" shapeId="0" xr:uid="{AE44748A-E08F-4874-A05A-E2DBA3B303AE}">
      <text>
        <r>
          <rPr>
            <b/>
            <sz val="9"/>
            <color rgb="FF000000"/>
            <rFont val="Tahoma"/>
            <family val="2"/>
          </rPr>
          <t>Elisa Panzera: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where t-values are not available they are obtained according to the following relation:t-value=effect size/se </t>
        </r>
      </text>
    </comment>
    <comment ref="A38" authorId="0" shapeId="0" xr:uid="{75B02B3A-3FD3-4186-92E2-20F7A527940E}">
      <text>
        <r>
          <rPr>
            <b/>
            <sz val="9"/>
            <color indexed="81"/>
            <rFont val="Tahoma"/>
            <family val="2"/>
          </rPr>
          <t>Elisa Panzera:</t>
        </r>
        <r>
          <rPr>
            <sz val="9"/>
            <color indexed="81"/>
            <rFont val="Tahoma"/>
            <family val="2"/>
          </rPr>
          <t xml:space="preserve">
where standard errore are not available they are obtained according to the following relation: st.err=effect size/t-statistics
Note: in our case the effect size is the estimate of the destination income elasticity
</t>
        </r>
      </text>
    </comment>
    <comment ref="A51" authorId="0" shapeId="0" xr:uid="{21D3377F-34E0-4AEF-8728-051A6AF83315}">
      <text>
        <r>
          <rPr>
            <b/>
            <sz val="9"/>
            <color indexed="81"/>
            <rFont val="Tahoma"/>
            <family val="2"/>
          </rPr>
          <t>Elisa Panzera:</t>
        </r>
        <r>
          <rPr>
            <sz val="9"/>
            <color indexed="81"/>
            <rFont val="Tahoma"/>
            <family val="2"/>
          </rPr>
          <t xml:space="preserve">
where standard errore are not available they are obtained according to the following relation: st.err=effect size/t-statistics
Note: in our case the effect size is the estimate of the destination income elasticity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Elisa Panzera</author>
  </authors>
  <commentList>
    <comment ref="AF1" authorId="0" shapeId="0" xr:uid="{0768156D-D624-49B3-AA60-E623D86E7DEE}">
      <text>
        <r>
          <rPr>
            <b/>
            <sz val="9"/>
            <color rgb="FF000000"/>
            <rFont val="Tahoma"/>
            <family val="2"/>
          </rPr>
          <t>Elisa Panzera: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where standard errore are not available they are obtained according to the following relation: st.err=effect size/t-statistics
</t>
        </r>
        <r>
          <rPr>
            <sz val="9"/>
            <color rgb="FF000000"/>
            <rFont val="Tahoma"/>
            <family val="2"/>
          </rPr>
          <t xml:space="preserve">Note: in our case the effect size is the estimate of the destination income elasticity
</t>
        </r>
      </text>
    </comment>
    <comment ref="AR1" authorId="0" shapeId="0" xr:uid="{DD2356EE-BE3B-472D-8B14-A6F7AA32B87F}">
      <text>
        <r>
          <rPr>
            <b/>
            <sz val="9"/>
            <color indexed="81"/>
            <rFont val="Tahoma"/>
            <family val="2"/>
          </rPr>
          <t>Elisa Panzera:</t>
        </r>
        <r>
          <rPr>
            <sz val="9"/>
            <color indexed="81"/>
            <rFont val="Tahoma"/>
            <family val="2"/>
          </rPr>
          <t xml:space="preserve">
where standard errore are not available they are obtained according to the following relation: st.err=effect size/t-statistics
Note: in our case the effect size is the estimate of the destination income elasticity
</t>
        </r>
      </text>
    </comment>
  </commentList>
</comments>
</file>

<file path=xl/sharedStrings.xml><?xml version="1.0" encoding="utf-8"?>
<sst xmlns="http://schemas.openxmlformats.org/spreadsheetml/2006/main" count="9434" uniqueCount="5400">
  <si>
    <t>Date</t>
  </si>
  <si>
    <t>January 20, 2025</t>
  </si>
  <si>
    <t>Search terms</t>
  </si>
  <si>
    <t>Advanced query</t>
  </si>
  <si>
    <t>TITLE-ABS-KEY ( "gravity model*" AND touris* )</t>
  </si>
  <si>
    <t>Search engine</t>
  </si>
  <si>
    <t>Scopus</t>
  </si>
  <si>
    <t>Limited</t>
  </si>
  <si>
    <t>English language</t>
  </si>
  <si>
    <t>Authors</t>
  </si>
  <si>
    <t>Author full names</t>
  </si>
  <si>
    <t>Author(s) ID</t>
  </si>
  <si>
    <t>Title</t>
  </si>
  <si>
    <t>Year</t>
  </si>
  <si>
    <t>Source title</t>
  </si>
  <si>
    <t>Volume</t>
  </si>
  <si>
    <t>Issue</t>
  </si>
  <si>
    <t>Art. No.</t>
  </si>
  <si>
    <t>Page start</t>
  </si>
  <si>
    <t>Page end</t>
  </si>
  <si>
    <t>Page count</t>
  </si>
  <si>
    <t>Cited by</t>
  </si>
  <si>
    <t>DOI</t>
  </si>
  <si>
    <t>Link</t>
  </si>
  <si>
    <t>Hyperlink</t>
  </si>
  <si>
    <t>Document Type</t>
  </si>
  <si>
    <t>Publication Stage</t>
  </si>
  <si>
    <t>Open Access</t>
  </si>
  <si>
    <t>Source</t>
  </si>
  <si>
    <t>EID</t>
  </si>
  <si>
    <t>In sample</t>
  </si>
  <si>
    <t>No statistical gravity model (typically more GIS related)</t>
  </si>
  <si>
    <t>No empirical estimates</t>
  </si>
  <si>
    <t>No standard errors</t>
  </si>
  <si>
    <t>No distance (sometimes because of pair fixed effects)</t>
  </si>
  <si>
    <t>Not enough variation in origin and destination</t>
  </si>
  <si>
    <t>Incorrect specification (no logs typically or (population) weighted distances)</t>
  </si>
  <si>
    <t>No English</t>
  </si>
  <si>
    <t>No paper (conference proceedings)</t>
  </si>
  <si>
    <t>Unclear specification</t>
  </si>
  <si>
    <t>Not accessible</t>
  </si>
  <si>
    <t>Spatial or termporal autocorrelation</t>
  </si>
  <si>
    <t>not for tourism (only)</t>
  </si>
  <si>
    <t>Total</t>
  </si>
  <si>
    <t>11th International Multidisciplinary Scientific Geoconference and EXPO, SGEM 2011, Volume 3</t>
  </si>
  <si>
    <t>11th International Multidisciplinary Scientific Geoconference and EXPO - Modern Management of Mine Producing, Geology and Environmental Protection, SGEM 2011</t>
  </si>
  <si>
    <t>https://www.scopus.com/inward/record.uri?eid=2-s2.0-84890694490&amp;partnerID=40&amp;md5=81dc59e8256366e478b9cb3db58d9fd4</t>
  </si>
  <si>
    <t>Conference review</t>
  </si>
  <si>
    <t>Final</t>
  </si>
  <si>
    <t>2-s2.0-84890694490</t>
  </si>
  <si>
    <t>11th International Multidisciplinary Scientific Geoconference and EXPO, SGEM 2011, Volume 2</t>
  </si>
  <si>
    <t>https://www.scopus.com/inward/record.uri?eid=2-s2.0-84890684959&amp;partnerID=40&amp;md5=51e1a17fa33df55afafa33c37f249321</t>
  </si>
  <si>
    <t>2-s2.0-84890684959</t>
  </si>
  <si>
    <t>11th International Multidisciplinary Scientific Geoconference and EXPO, SGEM 2011, Volume 1</t>
  </si>
  <si>
    <t>https://www.scopus.com/inward/record.uri?eid=2-s2.0-84890609966&amp;partnerID=40&amp;md5=7b37b394aae8fe4a81a9cd3a3a7f932c</t>
  </si>
  <si>
    <t>2-s2.0-84890609966</t>
  </si>
  <si>
    <t>Gawdiak Y.; Herriot J.; Sawhill B.K.; Holmes B.J.; Eckhause J.; Long D.; Hasan S.; Creedon J.; Ballard D.; Murphy C.; Thompson T.; Wieland F.; Marcolini M.; Moore M.; Alcabin M.</t>
  </si>
  <si>
    <t>Gawdiak, Yuri (56369231700); Herriot, Jim (36652634900); Sawhill, Bruce K. (6507594378); Holmes, Bruce J. (7102104170); Eckhause, Jeremy (24465156200); Long, Dou (36623936800); Hasan, Shahab (8345751400); Creedon, Jeremiah (55805267300); Ballard, David (51963093500); Murphy, Charles (56861655700); Thompson, Terry (7401554073); Wieland, Fred (55845429700); Marcolini, Michael (6603669763); Moore, Mark (36100367200); Alcabin, Monica (6507544275)</t>
  </si>
  <si>
    <t>56369231700; 36652634900; 6507594378; 7102104170; 24465156200; 36623936800; 8345751400; 55805267300; 51963093500; 56861655700; 7401554073; 55845429700; 6603669763; 36100367200; 6507544275</t>
  </si>
  <si>
    <t>Modeling of demand and supply for air transportation in the U.S., 2025 - 2040</t>
  </si>
  <si>
    <t>12th AIAA Aviation Technology, Integration and Operations (ATIO) Conference and 14th AIAA/ISSMO Multidisciplinary Analysis and Optimization Conference</t>
  </si>
  <si>
    <t>https://www.scopus.com/inward/record.uri?eid=2-s2.0-85099525990&amp;partnerID=40&amp;md5=e6a1a9cb5e83e45d73680af7ac8a8bf1</t>
  </si>
  <si>
    <t>Conference paper</t>
  </si>
  <si>
    <t>2-s2.0-85099525990</t>
  </si>
  <si>
    <t>Thatcher A.A.; Taggart K.; Dam S.</t>
  </si>
  <si>
    <t>Thatcher, Alex A. (56177050000); Taggart, Keith (56177212900); Dam, Steven (57201345012)</t>
  </si>
  <si>
    <t>56177050000; 56177212900; 57201345012</t>
  </si>
  <si>
    <t>Building commercial space infrastructure</t>
  </si>
  <si>
    <t>13th International Conference on Space Operations, SpaceOps 2014</t>
  </si>
  <si>
    <t>https://www.scopus.com/inward/record.uri?eid=2-s2.0-84901260044&amp;partnerID=40&amp;md5=35a4e8fb998fa55efdda24e24492ac71</t>
  </si>
  <si>
    <t>2-s2.0-84901260044</t>
  </si>
  <si>
    <t>Bakhrom R.; Lan L.</t>
  </si>
  <si>
    <t>Bakhrom, Rajabov (57220766629); Lan, Liu (55715447500)</t>
  </si>
  <si>
    <t>57220766629; 55715447500</t>
  </si>
  <si>
    <t>Improve Traffic Organization in the Passenger Gravitation Zone</t>
  </si>
  <si>
    <t>2021 18th International Computer Conference on Wavelet Active Media Technology and Information Processing, ICCWAMTIP 2021</t>
  </si>
  <si>
    <t>10.1109/ICCWAMTIP53232.2021.9674122</t>
  </si>
  <si>
    <t>https://www.scopus.com/inward/record.uri?eid=2-s2.0-85126013216&amp;doi=10.1109%2fICCWAMTIP53232.2021.9674122&amp;partnerID=40&amp;md5=088a077e538f27a5a82c7790e7c67d5b</t>
  </si>
  <si>
    <t>2-s2.0-85126013216</t>
  </si>
  <si>
    <t>Zhao C.; Wu X.; Huang J.; Shi Y.; Zhang F.; Li H.; Kang J.; Liu H.; Li G.; Wang G.</t>
  </si>
  <si>
    <t>Zhao, Chengsheng (57205760972); Wu, Xiaohong (57205765711); Huang, Jixin (57281662800); Shi, Yunshen (57205765062); Zhang, Feng (57205767171); Li, Hongbin (57205765094); Kang, Jinpiao (57205759927); Liu, Hui (57205764189); Li, Guoyong (57205762861); Wang, Gaihui (57205766730)</t>
  </si>
  <si>
    <t>57205760972; 57205765711; 57281662800; 57205765062; 57205767171; 57205765094; 57205759927; 57205764189; 57205762861; 57205766730</t>
  </si>
  <si>
    <t>Pengshui hydropower station; [Aménagement hydro-électrique de Pengshui]</t>
  </si>
  <si>
    <t>26th International Congress on Large Dams, 2018</t>
  </si>
  <si>
    <t>https://www.scopus.com/inward/record.uri?eid=2-s2.0-85061500990&amp;partnerID=40&amp;md5=0da35eb9eea7eb8df7a30d6c5b6dbac6</t>
  </si>
  <si>
    <t>2-s2.0-85061500990</t>
  </si>
  <si>
    <t>Taylor T.C.; Overman A.; Gimarc A.; Pittman B.; Spencer J.; Meyers G.</t>
  </si>
  <si>
    <t>Taylor, Thomas C. (25639107300); Overman, Art (36599109800); Gimarc, Alex (36598138100); Pittman, Bruce (36599050500); Spencer, John (57212122588); Meyers, Gene (36598866900)</t>
  </si>
  <si>
    <t>25639107300; 36599109800; 36598138100; 36599050500; 57212122588; 36598866900</t>
  </si>
  <si>
    <t>Affordable Commercial Space Tourism Infrastructure</t>
  </si>
  <si>
    <t>41st AIAA/ASME/SAE/ASEE Joint Propulsion Conference and Exhibit</t>
  </si>
  <si>
    <t>https://www.scopus.com/inward/record.uri?eid=2-s2.0-77957833423&amp;partnerID=40&amp;md5=1d68ab397ad36bf8781ec717057ba179</t>
  </si>
  <si>
    <t>2-s2.0-77957833423</t>
  </si>
  <si>
    <t>Wang Z.; Lin X.</t>
  </si>
  <si>
    <t>Wang, Zili (57200152735); Lin, Xiaoyan (36494694900)</t>
  </si>
  <si>
    <t>57200152735; 36494694900</t>
  </si>
  <si>
    <t>Study on the development of regional tourism industry under the influence of high-speed railway a case study of the middle reach of Yangtze River</t>
  </si>
  <si>
    <t>4th International Conference on Industrial Economics System and Industrial Security Engineering, IEIS 2017</t>
  </si>
  <si>
    <t>10.1109/IEIS.2017.8078656</t>
  </si>
  <si>
    <t>https://www.scopus.com/inward/record.uri?eid=2-s2.0-85039946667&amp;doi=10.1109%2fIEIS.2017.8078656&amp;partnerID=40&amp;md5=dcc9037dc5acd2f5efb793c59cfb466f</t>
  </si>
  <si>
    <t>2-s2.0-85039946667</t>
  </si>
  <si>
    <t>Anthoine J.; Maisonneuve Y.; Prévost M.</t>
  </si>
  <si>
    <t>Anthoine, J. (56043326300); Maisonneuve, Y. (6507304089); Prévost, M. (56669387200)</t>
  </si>
  <si>
    <t>56043326300; 6507304089; 56669387200</t>
  </si>
  <si>
    <t>The hybrid propulsion to serve space exploration and micro-gravity experiments</t>
  </si>
  <si>
    <t>61st International Astronautical Congress 2010, IAC 2010</t>
  </si>
  <si>
    <t>https://www.scopus.com/inward/record.uri?eid=2-s2.0-79959433571&amp;partnerID=40&amp;md5=a1b387c548f4a32235405468a8a5ccb2</t>
  </si>
  <si>
    <t>2-s2.0-79959433571</t>
  </si>
  <si>
    <t>7th International Scientific Conference on Modern Management of Mine Producing, Geology and Environmental Protection, SGEM 2007</t>
  </si>
  <si>
    <t>https://www.scopus.com/inward/record.uri?eid=2-s2.0-84890290172&amp;partnerID=40&amp;md5=c4a78d8dfef8057d1a16d9988ebca9ff</t>
  </si>
  <si>
    <t>2-s2.0-84890290172</t>
  </si>
  <si>
    <t>Graif H.</t>
  </si>
  <si>
    <t>Graif, Hagit (57210370404)</t>
  </si>
  <si>
    <t>Infrastructure design in the Dead Sea the lowest place in the world</t>
  </si>
  <si>
    <t>88th Annual Water Environment Federation Technical Exhibition and Conference, WEFTEC 2015</t>
  </si>
  <si>
    <t>10.2175/193864715819539515</t>
  </si>
  <si>
    <t>https://www.scopus.com/inward/record.uri?eid=2-s2.0-85070521875&amp;doi=10.2175%2f193864715819539515&amp;partnerID=40&amp;md5=077114ca21eec5554908ff9b1ae87a90</t>
  </si>
  <si>
    <t>2-s2.0-85070521875</t>
  </si>
  <si>
    <t>Borowski S.K.; Sauls B.G.</t>
  </si>
  <si>
    <t>Borowski, Stanley K. (6701602964); Sauls, Bob G. (57212342144)</t>
  </si>
  <si>
    <t>6701602964; 57212342144</t>
  </si>
  <si>
    <t>Key technologies, systems, and infrastructure enabling routine travel from the earth to the moon – a look ahead at what’s required</t>
  </si>
  <si>
    <t>Accelerating Space Commerce, Exploration, and New Discovery conference, ASCEND 2021</t>
  </si>
  <si>
    <t>AIAA 2021-4212</t>
  </si>
  <si>
    <t>10.2514/6.2021-4212</t>
  </si>
  <si>
    <t>https://www.scopus.com/inward/record.uri?eid=2-s2.0-85121236047&amp;doi=10.2514%2f6.2021-4212&amp;partnerID=40&amp;md5=8101a9a6ad0eadd8738dc9abcd2e1a90</t>
  </si>
  <si>
    <t>2-s2.0-85121236047</t>
  </si>
  <si>
    <t>Gu W.; Dong Y.; Cui W.</t>
  </si>
  <si>
    <t>Gu, Wenru (59245173400); Dong, Yushan (59245996300); Cui, Wenjing (59437751800)</t>
  </si>
  <si>
    <t>59245173400; 59245996300; 59437751800</t>
  </si>
  <si>
    <t>Research on the Temporal and Spatial Evolution of Urban Tourism Economic Efficiency in Guangdong-Hong Kong-Macao Greater Bay Area Based on Industrial Ecosystem</t>
  </si>
  <si>
    <t>ACM International Conference Proceeding Series</t>
  </si>
  <si>
    <t>10.1145/3675417.3675443</t>
  </si>
  <si>
    <t>https://www.scopus.com/inward/record.uri?eid=2-s2.0-85200386047&amp;doi=10.1145%2f3675417.3675443&amp;partnerID=40&amp;md5=d0355447785172327b997f38afa305e6</t>
  </si>
  <si>
    <t>2-s2.0-85200386047</t>
  </si>
  <si>
    <t>15-16-November-2013</t>
  </si>
  <si>
    <t>https://www.scopus.com/inward/record.uri?eid=2-s2.0-84959037965&amp;partnerID=40&amp;md5=c5b33c01db35d82f7fe46e672e6a3ed8</t>
  </si>
  <si>
    <t>2-s2.0-84959037965</t>
  </si>
  <si>
    <t>https://www.scopus.com/inward/record.uri?eid=2-s2.0-85056787493&amp;partnerID=40&amp;md5=d05ee60daebacd5cf3c2a87187c066b0</t>
  </si>
  <si>
    <t>2-s2.0-85056787493</t>
  </si>
  <si>
    <t>https://www.scopus.com/inward/record.uri?eid=2-s2.0-85123042358&amp;partnerID=40&amp;md5=f441e32942a06dc7714ff83d6043765d</t>
  </si>
  <si>
    <t>2-s2.0-85123042358</t>
  </si>
  <si>
    <t>Aldrin A.; Amara A.; Aris L.; Baierl N.; Beatty P.; Beaulieu C.; Behnke T.; Castegini R.; Chauhan A.; Cojanis P.; Dayawansa P.; Diop M.; Eito K.; Engle S.; Ferretti S.; Gassama H.; Genova B.; Goulding C.; Janjua J.; Jansaeng T.; Jousset F.; Kopik A.; Laurin C.; Leggatt J.; Li H.; Mezzadri M.; Miura A.; Nolet S.; Ogami S.; Patry J.; Patten L.; Payerne C.; Peer G.; Prampolini M.; Rheaume C.; Saary J.; Spehar D.; Sufi A.; Sun B.; Barry Thompson J.; Thomson W.; Trautner R.; Tursunmuratov M.; Venet V.; Wilems E.; Wilson H.; Wittwer K.; Wokke F.; Wu Y.; Zhou S.; Zilioli I.</t>
  </si>
  <si>
    <t>Aldrin, Andrew (6507687270); Amara, Adam (7006569429); Aris, Lodewijk (6603594331); Baierl, Nida (6507391159); Beatty, Patrick (7102106158); Beaulieu, Catherine (7103239544); Behnke, Torsten (7004609338); Castegini, Roberta (6506213825); Chauhan, Amitabh (55420715100); Cojanis, Philip (6507458948); Dayawansa, Pelawa (55191496200); Diop, Marie (7005948371); Eito, Kinya (6507797002); Engle, Steve (6603842844); Ferretti, Stefano (55107100100); Gassama, Hamet (7801445058); Genova, Bojana (57074046400); Goulding, Colin (7003330128); Janjua, Jameel (6507686802); Jansaeng, Thidarat (6507310530); Jousset, Frédéric (6604056802); Kopik, Anatoly (6505785007); Laurin, Catherine (7004332390); Leggatt, Jason (6602382966); Li, Hengnian (15034188100); Mezzadri, Monica (7004190994); Miura, Amane (56265552100); Nolet, Simon (6701554247); Ogami, Satoshi (6602668080); Patry, Johanne (7003306799); Patten, Laryssa (57505447400); Payerne, Cyril (6506683228); Peer, Guy (7007165533); Prampolini, Marco (16647145700); Rheaume, Caroline (6603551932); Saary, Joan (6507741806); Spehar, Daniela (6507674605); Sufi, Atiya (6603623497); Sun, Baosheng (7401984304); Barry Thompson, J. (6504580442); Thomson, Ward (7201689191); Trautner, Roland (6602182413); Tursunmuratov, Murat (6506697170); Venet, Vrata (6508142627); Wilems, Elizabeth (6505905509); Wilson, Helen (57650821800); Wittwer, Karl (6506348610); Wokke, Frank (7801422247); Wu, Yansheng (7406889895); Zhou, Shaobin (7404166429); Zilioli, Ilaria (6506041470)</t>
  </si>
  <si>
    <t>6507687270; 7006569429; 6603594331; 6507391159; 7102106158; 7103239544; 7004609338; 6506213825; 55420715100; 6507458948; 55191496200; 7005948371; 6507797002; 6603842844; 55107100100; 7801445058; 57074046400; 7003330128; 6507686802; 6507310530; 6604056802; 6505785007; 7004332390; 6602382966; 15034188100; 7004190994; 56265552100; 6701554247; 6602668080; 7003306799; 57505447400; 6506683228; 7007165533; 16647145700; 6603551932; 6507741806; 6507674605; 6603623497; 7401984304; 6504580442; 7201689191; 6602182413; 6506697170; 6508142627; 6505905509; 57650821800; 6506348610; 7801422247; 7406889895; 7404166429; 6506041470</t>
  </si>
  <si>
    <t>CASH 2021: Commercial access and space habitation</t>
  </si>
  <si>
    <t>Acta Astronautica</t>
  </si>
  <si>
    <t>10.1016/S0094-5765(02)00081-4</t>
  </si>
  <si>
    <t>https://www.scopus.com/inward/record.uri?eid=2-s2.0-10644264420&amp;doi=10.1016%2fS0094-5765%2802%2900081-4&amp;partnerID=40&amp;md5=4d701b232f3271a063982aac7e19e341</t>
  </si>
  <si>
    <t>2-s2.0-10644264420</t>
  </si>
  <si>
    <t>Häuplik-Meusburger S.; Aguzzi M.; Peldszus R.</t>
  </si>
  <si>
    <t>Häuplik-Meusburger, Sandra (6506016769); Aguzzi, Manuela (16644955200); Peldszus, Regina (33867786900)</t>
  </si>
  <si>
    <t>6506016769; 16644955200; 33867786900</t>
  </si>
  <si>
    <t>A game for space</t>
  </si>
  <si>
    <t>10.1016/j.actaastro.2009.07.017</t>
  </si>
  <si>
    <t>https://www.scopus.com/inward/record.uri?eid=2-s2.0-70449528496&amp;doi=10.1016%2fj.actaastro.2009.07.017&amp;partnerID=40&amp;md5=50e404296577a8c6e24047fcf401cf1d</t>
  </si>
  <si>
    <t>Article</t>
  </si>
  <si>
    <t>2-s2.0-70449528496</t>
  </si>
  <si>
    <t>Savino R.; Russo G.; D'Oriano V.; Visone M.; Battipede M.; Gili P.</t>
  </si>
  <si>
    <t>Savino, Raffaele (7005886959); Russo, Gennaro (7202429961); D'Oriano, Vera (55620335400); Visone, Michele (55170138600); Battipede, Manuela (8400020600); Gili, Piero (7003511780)</t>
  </si>
  <si>
    <t>7005886959; 7202429961; 55620335400; 55170138600; 8400020600; 7003511780</t>
  </si>
  <si>
    <t>Performances of a small hypersonic airplane (HyPlane)</t>
  </si>
  <si>
    <t>10.1016/j.actaastro.2015.06.006</t>
  </si>
  <si>
    <t>https://www.scopus.com/inward/record.uri?eid=2-s2.0-84934986183&amp;doi=10.1016%2fj.actaastro.2015.06.006&amp;partnerID=40&amp;md5=4447452bbc147156f5434fcc01630c8b</t>
  </si>
  <si>
    <t>All Open Access; Green Open Access</t>
  </si>
  <si>
    <t>2-s2.0-84934986183</t>
  </si>
  <si>
    <t>van Loon J.J.W.A.; Lobascio C.; Boscheri G.; Goujon C.; Voglino S.; Zeminiani E.; González-Cinca R.; Ewald R.</t>
  </si>
  <si>
    <t>van Loon, Jack J.W.A. (7103050776); Lobascio, Cesare (6602653374); Boscheri, Giorgio (55260212700); Goujon, Clement (59113978600); Voglino, Stefano (41262711800); Zeminiani, Eleonora (56206423900); González-Cinca, Ricard (55952253800); Ewald, Reinhold (55318024000)</t>
  </si>
  <si>
    <t>7103050776; 6602653374; 55260212700; 59113978600; 41262711800; 56206423900; 55952253800; 55318024000</t>
  </si>
  <si>
    <t>Benefits of a rotating – Partial gravity – Spacecraft</t>
  </si>
  <si>
    <t>10.1016/j.actaastro.2024.04.041</t>
  </si>
  <si>
    <t>https://www.scopus.com/inward/record.uri?eid=2-s2.0-85192680352&amp;doi=10.1016%2fj.actaastro.2024.04.041&amp;partnerID=40&amp;md5=6936ac04b24e4de78d1edf3936eedee5</t>
  </si>
  <si>
    <t>All Open Access; Hybrid Gold Open Access</t>
  </si>
  <si>
    <t>2-s2.0-85192680352</t>
  </si>
  <si>
    <t>37th congress of the International Astronautical Federation</t>
  </si>
  <si>
    <t>10.1016/0094-5765(88)90051-3</t>
  </si>
  <si>
    <t>https://www.scopus.com/inward/record.uri?eid=2-s2.0-0023985051&amp;doi=10.1016%2f0094-5765%2888%2990051-3&amp;partnerID=40&amp;md5=b9b9d94a6742d5ac8d617951e784e648</t>
  </si>
  <si>
    <t>2-s2.0-0023985051</t>
  </si>
  <si>
    <t>Leitão N.C.</t>
  </si>
  <si>
    <t>Leitão, Nuno Carlos (17344111700)</t>
  </si>
  <si>
    <t>Gravity Model and International Trade: A Survey of the Literature</t>
  </si>
  <si>
    <t>Administrative Sciences</t>
  </si>
  <si>
    <t>10.3390/admsci14090219</t>
  </si>
  <si>
    <t>https://www.scopus.com/inward/record.uri?eid=2-s2.0-85205082612&amp;doi=10.3390%2fadmsci14090219&amp;partnerID=40&amp;md5=3456df114eace91edc991d9ff41d0298</t>
  </si>
  <si>
    <t>Review</t>
  </si>
  <si>
    <t>All Open Access; Gold Open Access</t>
  </si>
  <si>
    <t>2-s2.0-85205082612</t>
  </si>
  <si>
    <t>Li B.; Liang X.; Ren J.; Li Q.</t>
  </si>
  <si>
    <t>Li, Baifeng (56129879500); Liang, Xingguo (36809944900); Ren, Jun (36810484100); Li, Qingshan (56146575300)</t>
  </si>
  <si>
    <t>56129879500; 36809944900; 36810484100; 56146575300</t>
  </si>
  <si>
    <t>Analysis of gravity on tourism resource of Zhangqiu, Shandong</t>
  </si>
  <si>
    <t>Advanced Materials Research</t>
  </si>
  <si>
    <t>10.4028/www.scientific.net/AMR.178.35</t>
  </si>
  <si>
    <t>https://www.scopus.com/inward/record.uri?eid=2-s2.0-78751486082&amp;doi=10.4028%2fwww.scientific.net%2fAMR.178.35&amp;partnerID=40&amp;md5=9ba49f58c753fb7da54958849357cd12</t>
  </si>
  <si>
    <t>2-s2.0-78751486082</t>
  </si>
  <si>
    <t>Advance in Ecological Environment Functional Materials and Ion Industry II</t>
  </si>
  <si>
    <t>https://www.scopus.com/inward/record.uri?eid=2-s2.0-78751555378&amp;partnerID=40&amp;md5=0876a3610d7add9b3eedfd0b54607c17</t>
  </si>
  <si>
    <t>2-s2.0-78751555378</t>
  </si>
  <si>
    <t>2013 International Conference on Advanced Engineering Materials and Architecture Science, ICAEMAS 2013</t>
  </si>
  <si>
    <t>https://www.scopus.com/inward/record.uri?eid=2-s2.0-84886299805&amp;partnerID=40&amp;md5=200cbdc6342afb592f8dcb7650af1f98</t>
  </si>
  <si>
    <t>2-s2.0-84886299805</t>
  </si>
  <si>
    <t>2014 International conference on Mechatronics and Intelligent Materials, MIM 2014</t>
  </si>
  <si>
    <t>971-973</t>
  </si>
  <si>
    <t>https://www.scopus.com/inward/record.uri?eid=2-s2.0-84904211575&amp;partnerID=40&amp;md5=7a26c28be8b0209111210ef89d97f108</t>
  </si>
  <si>
    <t>2-s2.0-84904211575</t>
  </si>
  <si>
    <t>3rd International Conference on Energy and Environmental Protection, ICEEP 2014</t>
  </si>
  <si>
    <t>955-959</t>
  </si>
  <si>
    <t>https://www.scopus.com/inward/record.uri?eid=2-s2.0-84904200062&amp;partnerID=40&amp;md5=e53dc534765f47bc03f6a7762c2aee4e</t>
  </si>
  <si>
    <t>2-s2.0-84904200062</t>
  </si>
  <si>
    <t>Ziwen W.; Wenling L.; Jingnan J.; Bohao X.</t>
  </si>
  <si>
    <t>Ziwen, Wang (57403298600); Wenling, Lyu (57403465700); Jingnan, Jia (57403465800); Bohao, Xi (57403644500)</t>
  </si>
  <si>
    <t>57403298600; 57403465700; 57403465800; 57403644500</t>
  </si>
  <si>
    <t>Spatial and Temporal Patterns of Tourist Source Market Emissiveness: A Study of Shanghai, China</t>
  </si>
  <si>
    <t>Advances in 21st Century Human Settlements</t>
  </si>
  <si>
    <t>10.1007/978-981-16-7649-9_7</t>
  </si>
  <si>
    <t>https://www.scopus.com/inward/record.uri?eid=2-s2.0-85122449697&amp;doi=10.1007%2f978-981-16-7649-9_7&amp;partnerID=40&amp;md5=16eaf4c0540e61c89722ad0f9277a45a</t>
  </si>
  <si>
    <t>Book chapter</t>
  </si>
  <si>
    <t>2-s2.0-85122449697</t>
  </si>
  <si>
    <t>Özdemir D.; Tosun B.</t>
  </si>
  <si>
    <t>Özdemir, Dilek (57565056100); Tosun, Bengü (57219303436)</t>
  </si>
  <si>
    <t>57565056100; 57219303436</t>
  </si>
  <si>
    <t>DETERMINANTS OF TOURISM DEMAND IN CONTEXT OF ENVIRONMENTAL QUALITY</t>
  </si>
  <si>
    <t>Advances in Hospitality and Tourism Research</t>
  </si>
  <si>
    <t>10.30519/ahtr.1096210</t>
  </si>
  <si>
    <t>https://www.scopus.com/inward/record.uri?eid=2-s2.0-85161481380&amp;doi=10.30519%2fahtr.1096210&amp;partnerID=40&amp;md5=46604e0a90b9c8b9a7f498acc1ebf631</t>
  </si>
  <si>
    <t>All Open Access; Gold Open Access; Green Open Access</t>
  </si>
  <si>
    <t>2-s2.0-85161481380</t>
  </si>
  <si>
    <t>Chen Y.; Zhang H.</t>
  </si>
  <si>
    <t>Chen, Yining (45160916100); Zhang, Hui (57192482726)</t>
  </si>
  <si>
    <t>45160916100; 57192482726</t>
  </si>
  <si>
    <t>Study on economic disparities of inbound tourism in China based on the gravity center model</t>
  </si>
  <si>
    <t>Advances in Information Sciences and Service Sciences</t>
  </si>
  <si>
    <t>10.4156/aiss.vol3.issue6.45</t>
  </si>
  <si>
    <t>https://www.scopus.com/inward/record.uri?eid=2-s2.0-79961008975&amp;doi=10.4156%2faiss.vol3.issue6.45&amp;partnerID=40&amp;md5=d9d36149553644733ea9b3d119be9492</t>
  </si>
  <si>
    <t>2-s2.0-79961008975</t>
  </si>
  <si>
    <t>Hsu C.-Y.; He B.-J.; Li J.-F.</t>
  </si>
  <si>
    <t>Hsu, Chi-Yueh (57201067697); He, Bo-Jun (57203284689); Li, Jian-Fa (27167468400)</t>
  </si>
  <si>
    <t>57201067697; 57203284689; 27167468400</t>
  </si>
  <si>
    <t>The Application of Traveling Gravity Model on International Tourism</t>
  </si>
  <si>
    <t>Advances in Intelligent Systems and Computing</t>
  </si>
  <si>
    <t>1145 AISC</t>
  </si>
  <si>
    <t>10.1007/978-3-030-46828-6_19</t>
  </si>
  <si>
    <t>https://www.scopus.com/inward/record.uri?eid=2-s2.0-85084792804&amp;doi=10.1007%2f978-3-030-46828-6_19&amp;partnerID=40&amp;md5=47ebc2f44aa7244729a020038cefc8d3</t>
  </si>
  <si>
    <t>2-s2.0-85084792804</t>
  </si>
  <si>
    <t>3rd International Conference on Security with Intelligent Computing and Big-data Services, SICBS 2019</t>
  </si>
  <si>
    <t>https://www.scopus.com/inward/record.uri?eid=2-s2.0-85084809081&amp;partnerID=40&amp;md5=a2bfe64d8d71d8caf3b738c2bc95ff92</t>
  </si>
  <si>
    <t>2-s2.0-85084809081</t>
  </si>
  <si>
    <t>Saeed N.; Katebi J.; Manguri A.; Mahmood A.; Szczepanski M.; Jankowski R.</t>
  </si>
  <si>
    <t>Saeed, Najmadeen (56226474700); Katebi, Javad (56497907200); Manguri, Ahmed (57209337365); Mahmood, Aram (57824192300); Szczepanski, Marcin (57189333713); Jankowski, Robert (7102473802)</t>
  </si>
  <si>
    <t>56226474700; 56497907200; 57209337365; 57824192300; 57189333713; 7102473802</t>
  </si>
  <si>
    <t>Using Minimum Actuators to Control Shape and Stress of a Double Layer Spherical Model Under Gravity and Lateral Loadings</t>
  </si>
  <si>
    <t>Advances in Science and Technology Research Journal</t>
  </si>
  <si>
    <t>10.12913/22998624/155214</t>
  </si>
  <si>
    <t>https://www.scopus.com/inward/record.uri?eid=2-s2.0-85142852216&amp;doi=10.12913%2f22998624%2f155214&amp;partnerID=40&amp;md5=6acf7327c8660df8e2107897ea4ebb51</t>
  </si>
  <si>
    <t>2-s2.0-85142852216</t>
  </si>
  <si>
    <t>Kumar G.; Adhikary P.P.; Dash C.J.</t>
  </si>
  <si>
    <t>Kumar, Gopal (55430376300); Adhikary, Partha Pratim (24467483800); Dash, Ch. Jyotiprava (36191665100)</t>
  </si>
  <si>
    <t>55430376300; 24467483800; 36191665100</t>
  </si>
  <si>
    <t>Spatial extent, formation process, reclaimability classification system and restoration strategies of gully and ravine lands in india</t>
  </si>
  <si>
    <t>Advances in Science, Technology and Innovation</t>
  </si>
  <si>
    <t>10.1007/978-3-030-23243-6_1</t>
  </si>
  <si>
    <t>https://www.scopus.com/inward/record.uri?eid=2-s2.0-85097989499&amp;doi=10.1007%2f978-3-030-23243-6_1&amp;partnerID=40&amp;md5=0178ec1993b22001de249a1029739753</t>
  </si>
  <si>
    <t>2-s2.0-85097989499</t>
  </si>
  <si>
    <t>Mestanza-Ramón C.; Jiménez-Caballero J.L.</t>
  </si>
  <si>
    <t>Mestanza-Ramón, Carlos (57212089249); Jiménez-Caballero, José Luis (56866377500)</t>
  </si>
  <si>
    <t>57212089249; 56866377500</t>
  </si>
  <si>
    <t>Waterfalls: Characterization and Importance in Nature Tourism</t>
  </si>
  <si>
    <t>10.1007/978-3-031-51904-8_230</t>
  </si>
  <si>
    <t>https://www.scopus.com/inward/record.uri?eid=2-s2.0-85200698040&amp;doi=10.1007%2f978-3-031-51904-8_230&amp;partnerID=40&amp;md5=7d7f19a7cc95be4040854e9a03c10926</t>
  </si>
  <si>
    <t>2-s2.0-85200698040</t>
  </si>
  <si>
    <t>Llano C.; de la Mata T.</t>
  </si>
  <si>
    <t>Llano, Carlos (32367781300); de la Mata, Tamara (55257962300)</t>
  </si>
  <si>
    <t>32367781300; 55257962300</t>
  </si>
  <si>
    <t>Modeling the effect of social-network on interregional trade of services: How sensitive are the results to alternative measures of social linkages</t>
  </si>
  <si>
    <t>Advances in Spatial Science</t>
  </si>
  <si>
    <t>10.1007/978-3-319-30196-9_15</t>
  </si>
  <si>
    <t>https://www.scopus.com/inward/record.uri?eid=2-s2.0-85020224888&amp;doi=10.1007%2f978-3-319-30196-9_15&amp;partnerID=40&amp;md5=c97978aca5a62253026184ee3e571caf</t>
  </si>
  <si>
    <t>2-s2.0-85020224888</t>
  </si>
  <si>
    <t>Martin M.E.; Delmelle E.M.</t>
  </si>
  <si>
    <t>Martin, Miriam E. (57220989402); Delmelle, Eric M. (6506825655)</t>
  </si>
  <si>
    <t>57220989402; 6506825655</t>
  </si>
  <si>
    <t>Modeling Spatial Attractiveness to Wine Tourism in North Carolina, U.S.A.</t>
  </si>
  <si>
    <t>10.1007/978-3-030-61274-0_10</t>
  </si>
  <si>
    <t>https://www.scopus.com/inward/record.uri?eid=2-s2.0-85097983746&amp;doi=10.1007%2f978-3-030-61274-0_10&amp;partnerID=40&amp;md5=2794bd91420eb6020d6d75dab973c79d</t>
  </si>
  <si>
    <t>2-s2.0-85097983746</t>
  </si>
  <si>
    <t>Li C.-L.</t>
  </si>
  <si>
    <t>Li, Chieh-Lu (22835407800)</t>
  </si>
  <si>
    <t>DOES PSYCHOLOGICAL WELL-BEING MATTER WITH TRAVEL DISTANCE?</t>
  </si>
  <si>
    <t>Advances in the Study of Entrepreneurship, Innovation, and Economic Growth</t>
  </si>
  <si>
    <t>10.1108/S1048-473620240000030006</t>
  </si>
  <si>
    <t>https://www.scopus.com/inward/record.uri?eid=2-s2.0-85195283443&amp;doi=10.1108%2fS1048-473620240000030006&amp;partnerID=40&amp;md5=b5b0d5e7b2cba3d7c1f4e24b9bd80cc1</t>
  </si>
  <si>
    <t>2-s2.0-85195283443</t>
  </si>
  <si>
    <t>Sarkisian M.; Mathias N.; Gordon J.; Hu L.; Horiuchi C.</t>
  </si>
  <si>
    <t>Sarkisian, M. (6603865682); Mathias, N. (23088754000); Gordon, J. (57207034904); Hu, L. (55356568200); Horiuchi, C. (57189462139)</t>
  </si>
  <si>
    <t>6603865682; 23088754000; 57207034904; 55356568200; 57189462139</t>
  </si>
  <si>
    <t>Moscone Center Expansion: An Integrated Structural Design Approach</t>
  </si>
  <si>
    <t>AEI 2017: Resilience of the Integrated Building - Proceedings of the Architectural Engineering National Conference 2017</t>
  </si>
  <si>
    <t>10.1061/9780784480502.052</t>
  </si>
  <si>
    <t>https://www.scopus.com/inward/record.uri?eid=2-s2.0-85050283697&amp;doi=10.1061%2f9780784480502.052&amp;partnerID=40&amp;md5=9d1d5c85b8dadf9b8ca0c8c76c28102c</t>
  </si>
  <si>
    <t>2-s2.0-85050283697</t>
  </si>
  <si>
    <t>Schaefer R.L.</t>
  </si>
  <si>
    <t>Schaefer, Ronald L. (55686027600)</t>
  </si>
  <si>
    <t>Life sciences</t>
  </si>
  <si>
    <t>Aerospace America</t>
  </si>
  <si>
    <t>https://www.scopus.com/inward/record.uri?eid=2-s2.0-33645276588&amp;partnerID=40&amp;md5=e4ed34ab8317967490b71c3da218a5d6</t>
  </si>
  <si>
    <t>2-s2.0-33645276588</t>
  </si>
  <si>
    <t>Robinson T.</t>
  </si>
  <si>
    <t>Robinson, Tim (57198119415)</t>
  </si>
  <si>
    <t>Market flotation</t>
  </si>
  <si>
    <t>Aerospace International</t>
  </si>
  <si>
    <t>https://www.scopus.com/inward/record.uri?eid=2-s2.0-33745636613&amp;partnerID=40&amp;md5=a483f7ae151b8d7510681a37f5a31a25</t>
  </si>
  <si>
    <t>2-s2.0-33745636613</t>
  </si>
  <si>
    <t>Chen M.; Goyal R.; Majji M.; Skelton R.E.</t>
  </si>
  <si>
    <t>Chen, Muhao (57344233000); Goyal, Raman (57200629631); Majji, Manoranjan (15751104100); Skelton, Robert E. (35571022700)</t>
  </si>
  <si>
    <t>57344233000; 57200629631; 15751104100; 35571022700</t>
  </si>
  <si>
    <t>Design and analysis of a growable artificial gravity space habitat</t>
  </si>
  <si>
    <t>Aerospace Science and Technology</t>
  </si>
  <si>
    <t>10.1016/j.ast.2020.106147</t>
  </si>
  <si>
    <t>https://www.scopus.com/inward/record.uri?eid=2-s2.0-85090423038&amp;doi=10.1016%2fj.ast.2020.106147&amp;partnerID=40&amp;md5=95dd181a70e44d8901e1118737a081da</t>
  </si>
  <si>
    <t>2-s2.0-85090423038</t>
  </si>
  <si>
    <t>Zhu Q.; Tang X.; Tong M.</t>
  </si>
  <si>
    <t>Zhu, Qiang (57241369300); Tang, Xu (57241154600); Tong, Mingbo (7202033818)</t>
  </si>
  <si>
    <t>57241369300; 57241154600; 7202033818</t>
  </si>
  <si>
    <t>Study on unsaturated shapes of helium ballonet of rigid airship during ascent process</t>
  </si>
  <si>
    <t>10.1016/j.ast.2021.107001</t>
  </si>
  <si>
    <t>https://www.scopus.com/inward/record.uri?eid=2-s2.0-85114014862&amp;doi=10.1016%2fj.ast.2021.107001&amp;partnerID=40&amp;md5=db74907b33558a7fdff6215947bbe6a5</t>
  </si>
  <si>
    <t>2-s2.0-85114014862</t>
  </si>
  <si>
    <t>Ouma S.O.</t>
  </si>
  <si>
    <t>Ouma, Steve Odero (56464040400)</t>
  </si>
  <si>
    <t>The African renaissance and discourse ownership: Challenging debilitating discourses on Africa</t>
  </si>
  <si>
    <t>African intellectuals and Decolonization</t>
  </si>
  <si>
    <t>https://www.scopus.com/inward/record.uri?eid=2-s2.0-84920059623&amp;partnerID=40&amp;md5=59602182e2815de34594c5693cd96284</t>
  </si>
  <si>
    <t>2-s2.0-84920059623</t>
  </si>
  <si>
    <t>Leitch G.; Chigada J.</t>
  </si>
  <si>
    <t>Leitch, Guy (57219377857); Chigada, Joel (57192672094)</t>
  </si>
  <si>
    <t>57219377857; 57192672094</t>
  </si>
  <si>
    <t>Towards a theoretical framework for the allocation of resources to African air transport</t>
  </si>
  <si>
    <t>African Journal of Hospitality, Tourism and Leisure</t>
  </si>
  <si>
    <t>10.46222/ajhtl.19770720-23</t>
  </si>
  <si>
    <t>https://www.scopus.com/inward/record.uri?eid=2-s2.0-85092459959&amp;doi=10.46222%2fajhtl.19770720-23&amp;partnerID=40&amp;md5=ede0ebf7f116908efd25b33f3c5224e1</t>
  </si>
  <si>
    <t>2-s2.0-85092459959</t>
  </si>
  <si>
    <t>Frank C.; Durand J.-G.; Evain H.; Tyl C.; Mechentel F.; Brunet A.; Lizy-Destrez S.</t>
  </si>
  <si>
    <t>Frank, Christopher (55815689600); Durand, Jean-Guillaume (56218162600); Evain, Hélène (56352939400); Tyl, Clémence (56352997500); Mechentel, Flora (56353061300); Brunet, Antoine (56353199900); Lizy-Destrez, Stéphanie (55318041900)</t>
  </si>
  <si>
    <t>55815689600; 56218162600; 56352939400; 56352997500; 56353061300; 56353199900; 55318041900</t>
  </si>
  <si>
    <t>Preliminary design of a new hybrid and technology innovative suborbital vehicle for space tourism</t>
  </si>
  <si>
    <t>AIAA AVIATION 2014 -19th AIAA International Space Planes and Hypersonic Systems and Technologies Conference</t>
  </si>
  <si>
    <t>10.2514/6.2014-2530</t>
  </si>
  <si>
    <t>https://www.scopus.com/inward/record.uri?eid=2-s2.0-85087599671&amp;doi=10.2514%2f6.2014-2530&amp;partnerID=40&amp;md5=883b3d8e98da3c16403a36ff8b02d86a</t>
  </si>
  <si>
    <t>2-s2.0-85087599671</t>
  </si>
  <si>
    <t>Chang H.-C.; Wang C.-C.</t>
  </si>
  <si>
    <t>Chang, Huai-Chien (55889406200); Wang, Chun-Chieh (55890298400)</t>
  </si>
  <si>
    <t>55889406200; 55890298400</t>
  </si>
  <si>
    <t>Designing a zero gravity toilet for disabled space tourists</t>
  </si>
  <si>
    <t>AIAA SPACE 2013 Conference and Exposition</t>
  </si>
  <si>
    <t>https://www.scopus.com/inward/record.uri?eid=2-s2.0-84884853010&amp;partnerID=40&amp;md5=a9ae3a4193a46503e984fe74819aca03</t>
  </si>
  <si>
    <t>2-s2.0-84884853010</t>
  </si>
  <si>
    <t>https://www.scopus.com/inward/record.uri?eid=2-s2.0-84884840686&amp;partnerID=40&amp;md5=ceaabfafd42497f76e00b99f0778bd5b</t>
  </si>
  <si>
    <t>2-s2.0-84884840686</t>
  </si>
  <si>
    <t>Meyer B.L.</t>
  </si>
  <si>
    <t>Meyer, Bryce L. (57162001600)</t>
  </si>
  <si>
    <t>Economics and food provision options for luxury food in an orbiting space hotel</t>
  </si>
  <si>
    <t>AIAA Space and Astronautics Forum and Exposition, SPACE 2016</t>
  </si>
  <si>
    <t>10.2514/6.2016-5587</t>
  </si>
  <si>
    <t>https://www.scopus.com/inward/record.uri?eid=2-s2.0-85088202392&amp;doi=10.2514%2f6.2016-5587&amp;partnerID=40&amp;md5=c6801afa46177c95bd28aab3db6d6d10</t>
  </si>
  <si>
    <t>2-s2.0-85088202392</t>
  </si>
  <si>
    <t>Favatà P.</t>
  </si>
  <si>
    <t>Favatà, Paola (8623888400)</t>
  </si>
  <si>
    <t>Changing the TransHab: An orbital space hotel</t>
  </si>
  <si>
    <t>AIAA Space Architecture Symposium</t>
  </si>
  <si>
    <t>10.2514/6.2002-6119</t>
  </si>
  <si>
    <t>https://www.scopus.com/inward/record.uri?eid=2-s2.0-85088345839&amp;doi=10.2514%2f6.2002-6119&amp;partnerID=40&amp;md5=6ef434f09b1e2460fd3935404795f2c3</t>
  </si>
  <si>
    <t>2-s2.0-85088345839</t>
  </si>
  <si>
    <t>Iswahyudi S.; Raharjo S.A.; Permanajati I.; Setijadi R.; Pratama R.A.; Prabowo B.</t>
  </si>
  <si>
    <t>Iswahyudi, Sachrul (57208469902); Raharjo, Sukmaji Anom (57208468914); Permanajati, Indra (57202310605); Setijadi, Rachmad (57197820483); Pratama, Riza Aditya (58449474500); Prabowo, Baniarga (57208466278)</t>
  </si>
  <si>
    <t>57208469902; 57208468914; 57202310605; 57197820483; 58449474500; 57208466278</t>
  </si>
  <si>
    <t>Gravity anomalies and regional geological studies between Slamet Volcano, Buaran and Bantarkawung Areas for geothermal energy exploration and development</t>
  </si>
  <si>
    <t>AIP Conference Proceedings</t>
  </si>
  <si>
    <t>10.1063/1.5097473</t>
  </si>
  <si>
    <t>https://www.scopus.com/inward/record.uri?eid=2-s2.0-85064868899&amp;doi=10.1063%2f1.5097473&amp;partnerID=40&amp;md5=42adfb16a9d7e7c294c30e81eb1c66a6</t>
  </si>
  <si>
    <t>2-s2.0-85064868899</t>
  </si>
  <si>
    <t>Valentine L.S.</t>
  </si>
  <si>
    <t>Valentine, Lee S. (8437964600)</t>
  </si>
  <si>
    <t>Critical trajectories for the human settlement of the high frontier</t>
  </si>
  <si>
    <t>10.1063/1.2710049</t>
  </si>
  <si>
    <t>https://www.scopus.com/inward/record.uri?eid=2-s2.0-33947370888&amp;doi=10.1063%2f1.2710049&amp;partnerID=40&amp;md5=d20be6d094bac43674c4ca63c5859939</t>
  </si>
  <si>
    <t>2-s2.0-33947370888</t>
  </si>
  <si>
    <t>Zhu H.; Wang L.</t>
  </si>
  <si>
    <t>Zhu, Hai (58121707500); Wang, Liguo (57207494461)</t>
  </si>
  <si>
    <t>58121707500; 57207494461</t>
  </si>
  <si>
    <t>Spatial association and identification of carbon neutrality in Chinese tourism, based on social network analysis</t>
  </si>
  <si>
    <t>All Earth</t>
  </si>
  <si>
    <t>10.1080/27669645.2023.2200632</t>
  </si>
  <si>
    <t>https://www.scopus.com/inward/record.uri?eid=2-s2.0-85152796080&amp;doi=10.1080%2f27669645.2023.2200632&amp;partnerID=40&amp;md5=04068d837ce9df5add8584890809b6f3</t>
  </si>
  <si>
    <t>2-s2.0-85152796080</t>
  </si>
  <si>
    <t>Castaldini D.; Valdati J.; Ilies D.C.; Chiriac C.; Bertogna I.</t>
  </si>
  <si>
    <t>Castaldini, Doriano (6507082175); Valdati, Jairo (57196476708); Ilies, Dorina Camelia (47061228300); Chiriac, Cosmin (57196477270); Bertogna, Isabella (57196477316)</t>
  </si>
  <si>
    <t>6507082175; 57196476708; 47061228300; 57196477270; 57196477316</t>
  </si>
  <si>
    <t>Geo-tourist map of the natural reserve of Salse di Nirano (Modena apennines, northern Italy)</t>
  </si>
  <si>
    <t>Alpine and Mediterranean Quaternary</t>
  </si>
  <si>
    <t>https://www.scopus.com/inward/record.uri?eid=2-s2.0-84869090180&amp;partnerID=40&amp;md5=dd8adbb60eccccffa36feb8eaf0daa9a</t>
  </si>
  <si>
    <t>2-s2.0-84869090180</t>
  </si>
  <si>
    <t>Mohebi M.; Rahim K.A.</t>
  </si>
  <si>
    <t>Mohebi, Mohammad (36988328100); Rahim, Khalid Abdul (6602462696)</t>
  </si>
  <si>
    <t>36988328100; 6602462696</t>
  </si>
  <si>
    <t>Revenue determinants in tourism market</t>
  </si>
  <si>
    <t>American Journal of Applied Sciences</t>
  </si>
  <si>
    <t>10.3844/ajassp.2010.1593.1598</t>
  </si>
  <si>
    <t>https://www.scopus.com/inward/record.uri?eid=2-s2.0-79951776434&amp;doi=10.3844%2fajassp.2010.1593.1598&amp;partnerID=40&amp;md5=cdc2a3f2d996b2f25d1e084f93bd6e6f</t>
  </si>
  <si>
    <t>2-s2.0-79951776434</t>
  </si>
  <si>
    <t>Aygün Y.; Tüfekçi Ş.</t>
  </si>
  <si>
    <t>Aygün, Yalın (57218581787); Tüfekçi, Şakir (57208651438)</t>
  </si>
  <si>
    <t>57218581787; 57208651438</t>
  </si>
  <si>
    <t>RETRACTED ARTICLE: A lust for rust: going back in time and exploring a museum without gravity(ANATOLIA, (2021), 32, (3), (III))</t>
  </si>
  <si>
    <t>Anatolia</t>
  </si>
  <si>
    <t>iii</t>
  </si>
  <si>
    <t>10.1080/13032917.2020.1830137</t>
  </si>
  <si>
    <t>https://www.scopus.com/inward/record.uri?eid=2-s2.0-85092471117&amp;doi=10.1080%2f13032917.2020.1830137&amp;partnerID=40&amp;md5=a3eb8ea5079cda40c5dd5c428280b8e2</t>
  </si>
  <si>
    <t>Erratum</t>
  </si>
  <si>
    <t>2-s2.0-85092471117</t>
  </si>
  <si>
    <t>Tong S.K.Y.; Koh S.G.M.; Siah A.K.L.</t>
  </si>
  <si>
    <t>Tong, Samuel K. Y. (57862959100); Koh, Sharon G. M. (54400418600); Siah, Audrey K. L. (56662026800)</t>
  </si>
  <si>
    <t>57862959100; 54400418600; 56662026800</t>
  </si>
  <si>
    <t>Modelling international tourism demand to Thailand: an augmented gravity approach</t>
  </si>
  <si>
    <t>10.1080/13032917.2022.2110131</t>
  </si>
  <si>
    <t>https://www.scopus.com/inward/record.uri?eid=2-s2.0-85136813972&amp;doi=10.1080%2f13032917.2022.2110131&amp;partnerID=40&amp;md5=655827c52e7ef26178144374037631a6</t>
  </si>
  <si>
    <t>Note</t>
  </si>
  <si>
    <t>2-s2.0-85136813972</t>
  </si>
  <si>
    <t>Tsiotas D.</t>
  </si>
  <si>
    <t>Tsiotas, Dimitrios (55279829000)</t>
  </si>
  <si>
    <t>The imprint of tourism on the topology of maritime networks: evidence from Greece</t>
  </si>
  <si>
    <t>10.1080/13032917.2016.1247289</t>
  </si>
  <si>
    <t>https://www.scopus.com/inward/record.uri?eid=2-s2.0-84992520150&amp;doi=10.1080%2f13032917.2016.1247289&amp;partnerID=40&amp;md5=fd1465c5622a58a4ab722fe8cfeab4e3</t>
  </si>
  <si>
    <t>2-s2.0-84992520150</t>
  </si>
  <si>
    <t>Statement of Retraction: A lust for rust: going back in time and exploring a museum without gravity (Anatolia, (2021), 32, 3, (iii), 10.1080/13032917.2020.1830137)</t>
  </si>
  <si>
    <t>10.1080/13032917.2021.1956707</t>
  </si>
  <si>
    <t>https://www.scopus.com/inward/record.uri?eid=2-s2.0-85115634990&amp;doi=10.1080%2f13032917.2021.1956707&amp;partnerID=40&amp;md5=69ecbd8ea994e37af7c98774f72ec637</t>
  </si>
  <si>
    <t>All Open Access; Bronze Open Access</t>
  </si>
  <si>
    <t>2-s2.0-85115634990</t>
  </si>
  <si>
    <t>Landrigan P.J.; Stegeman J.J.; Fleming L.E.; Allemand D.; Anderson D.M.; Backer L.C.; Brucker-Davis F.; Chevalier N.; Corra L.; Czerucka D.; Bottein M.-Y.D.; Demeneix B.; Depledge M.; Deheyn D.D.; Dorman C.J.; Fénichel P.; Fisher S.; Gaill F.; Galgani F.; Gaze W.H.; Giuliano L.; Grandjean P.; Hahn M.E.; Hamdoun A.; Hess P.; Judson B.; Laborde A.; McGlade J.; Mu J.; Mustapha A.; Neira M.; Noble R.T.; Pedrotti M.L.; Reddy C.; Rocklöv J.; Scharler U.M.; Shanmugam H.; Taghian G.; Van De Water J.A.J.M.; Vezzulli L.; Weihe P.; Zeka A.; Raps H.; Rampal P.</t>
  </si>
  <si>
    <t>Landrigan, Philip J. (7102250584); Stegeman, John J. (7102520937); Fleming, Lora E. (7103387986); Allemand, Denis (7003604806); Anderson, Donald M. (7410018378); Backer, Lorraine C. (35459742800); Brucker-Davis, Françoise (6603801483); Chevalier, Nicolas (7006309506); Corra, Lilian (19638730200); Czerucka, Dorota (6603686136); Bottein, Marie-Yasmine Dechraoui (57204548657); Demeneix, Barbara (7007031714); Depledge, Michael (7006303023); Deheyn, Dimitri D. (6701653476); Dorman, Charles J. (7006449275); Fénichel, Patrick (55172216700); Fisher, Samantha (57202122444); Gaill, Françoise (35579738100); Galgani, François (7004182890); Gaze, William H. (6507747432); Giuliano, Laura (7003664834); Grandjean, Philippe (7102566262); Hahn, Mark E. (7201578361); Hamdoun, Amro (57204496723); Hess, Philipp (8593066900); Judson, Bret (57221053375); Laborde, Amalia (7004350511); McGlade, Jacqueline (8438762300); Mu, Jenna (57221052811); Mustapha, Adetoun (56368931500); Neira, Maria (7004024861); Noble, Rachel T. (7202390115); Pedrotti, Maria Luiza (56005007500); Reddy, Christopher (7403177433); Rocklöv, Joacim (18038015300); Scharler, Ursula M. (6507990601); Shanmugam, Hariharan (38862948300); Taghian, Gabriella (57221054074); Van De Water, Jeroen A. J. M. (55487199400); Vezzulli, Luigi (6603604913); Weihe, P. (7003676104); Zeka, Ariana (55965811000); Raps, Hervé (55913479400); Rampal, Patrick (7006412771)</t>
  </si>
  <si>
    <t>7102250584; 7102520937; 7103387986; 7003604806; 7410018378; 35459742800; 6603801483; 7006309506; 19638730200; 6603686136; 57204548657; 7007031714; 7006303023; 6701653476; 7006449275; 55172216700; 57202122444; 35579738100; 7004182890; 6507747432; 7003664834; 7102566262; 7201578361; 57204496723; 8593066900; 57221053375; 7004350511; 8438762300; 57221052811; 56368931500; 7004024861; 7202390115; 56005007500; 7403177433; 18038015300; 6507990601; 38862948300; 57221054074; 55487199400; 6603604913; 7003676104; 55965811000; 55913479400; 7006412771</t>
  </si>
  <si>
    <t>Human health and ocean pollution</t>
  </si>
  <si>
    <t>Annals of Global Health</t>
  </si>
  <si>
    <t>10.5334/aogh.2831</t>
  </si>
  <si>
    <t>https://www.scopus.com/inward/record.uri?eid=2-s2.0-85098047537&amp;doi=10.5334%2faogh.2831&amp;partnerID=40&amp;md5=6f9daf554b0d6b1d959148a315305fe9</t>
  </si>
  <si>
    <t>2-s2.0-85098047537</t>
  </si>
  <si>
    <t>Keum K.</t>
  </si>
  <si>
    <t>Keum, Kiyong (25632655700)</t>
  </si>
  <si>
    <t>Tourism flows and trade theory: A panel data analysis with the gravity model</t>
  </si>
  <si>
    <t>Annals of Regional Science</t>
  </si>
  <si>
    <t>10.1007/s00168-008-0275-2</t>
  </si>
  <si>
    <t>https://www.scopus.com/inward/record.uri?eid=2-s2.0-77954032692&amp;doi=10.1007%2fs00168-008-0275-2&amp;partnerID=40&amp;md5=408e1606c926a4ee67a171f41df43e26</t>
  </si>
  <si>
    <t>2-s2.0-77954032692</t>
  </si>
  <si>
    <t>Lin V.S.; Qin Y.; Li G.; Jiang F.</t>
  </si>
  <si>
    <t>Lin, Vera Shanshan (55105483800); Qin, Yuan (57688560900); Li, Gang (56297816500); Jiang, Fan (57223388256)</t>
  </si>
  <si>
    <t>55105483800; 57688560900; 56297816500; 57223388256</t>
  </si>
  <si>
    <t>Multiple effects of “distance” on domestic tourism demand: A comparison before and after the emergence of COVID-19</t>
  </si>
  <si>
    <t>Annals of Tourism Research</t>
  </si>
  <si>
    <t>10.1016/j.annals.2022.103440</t>
  </si>
  <si>
    <t>https://www.scopus.com/inward/record.uri?eid=2-s2.0-85133426799&amp;doi=10.1016%2fj.annals.2022.103440&amp;partnerID=40&amp;md5=7284b906362e3e8e2c9c1631c4a75f2c</t>
  </si>
  <si>
    <t>2-s2.0-85133426799</t>
  </si>
  <si>
    <t>Llano C.; Pardo J.; Pérez-Balsalobre S.; Pérez J.</t>
  </si>
  <si>
    <t>Llano, Carlos (32367781300); Pardo, Juan (58678184900); Pérez-Balsalobre, Santiago (57202958177); Pérez, Julián (36890740700)</t>
  </si>
  <si>
    <t>32367781300; 58678184900; 57202958177; 36890740700</t>
  </si>
  <si>
    <t>Estimating multicountry tourism flows by transport mode</t>
  </si>
  <si>
    <t>10.1016/j.annals.2023.103672</t>
  </si>
  <si>
    <t>https://www.scopus.com/inward/record.uri?eid=2-s2.0-85175534927&amp;doi=10.1016%2fj.annals.2023.103672&amp;partnerID=40&amp;md5=a6dd8f385b7583c511ccbad513db6403</t>
  </si>
  <si>
    <t>All Open Access; Green Open Access; Hybrid Gold Open Access</t>
  </si>
  <si>
    <t>2-s2.0-85175534927</t>
  </si>
  <si>
    <t>Matsuura T.; Saito H.</t>
  </si>
  <si>
    <t>Matsuura, Toshiyuki (54892564300); Saito, Hisamitsu (26656158600)</t>
  </si>
  <si>
    <t>54892564300; 26656158600</t>
  </si>
  <si>
    <t>The COVID-19 pandemic and domestic travel subsidies</t>
  </si>
  <si>
    <t>10.1016/j.annals.2021.103326</t>
  </si>
  <si>
    <t>https://www.scopus.com/inward/record.uri?eid=2-s2.0-85119980790&amp;doi=10.1016%2fj.annals.2021.103326&amp;partnerID=40&amp;md5=510a97c7c50b34d2c76de0d36a54dd6a</t>
  </si>
  <si>
    <t>2-s2.0-85119980790</t>
  </si>
  <si>
    <t>Morley C.; Rosselló J.; Santana-Gallego M.</t>
  </si>
  <si>
    <t>Morley, Clive (7102876127); Rosselló, Jaume (57220022951); Santana-Gallego, Maria (36119110700)</t>
  </si>
  <si>
    <t>7102876127; 57220022951; 36119110700</t>
  </si>
  <si>
    <t>Gravity models for tourism demand: Theory and use</t>
  </si>
  <si>
    <t>10.1016/j.annals.2014.05.008</t>
  </si>
  <si>
    <t>https://www.scopus.com/inward/record.uri?eid=2-s2.0-84901761953&amp;doi=10.1016%2fj.annals.2014.05.008&amp;partnerID=40&amp;md5=817c488892cbb8a68b4926a453a9b283</t>
  </si>
  <si>
    <t>2-s2.0-84901761953</t>
  </si>
  <si>
    <t>Taplin J.H.E.; Qiu M.</t>
  </si>
  <si>
    <t>Taplin, John H. E. (7004255379); Qiu, Min (26421310700)</t>
  </si>
  <si>
    <t>7004255379; 26421310700</t>
  </si>
  <si>
    <t>Car trip attraction and route choice in Australia</t>
  </si>
  <si>
    <t>10.1016/s0160-7383(97)00021-2</t>
  </si>
  <si>
    <t>https://www.scopus.com/inward/record.uri?eid=2-s2.0-0043130603&amp;doi=10.1016%2fs0160-7383%2897%2900021-2&amp;partnerID=40&amp;md5=40bf1f80e86013c16d3ba217f39431d2</t>
  </si>
  <si>
    <t>2-s2.0-0043130603</t>
  </si>
  <si>
    <t>Khalid U.; Okafor L.; Burzynska K.</t>
  </si>
  <si>
    <t>Khalid, Usman (57190254906); Okafor, Luke (35208798600); Burzynska, Katarzyna (57201570848)</t>
  </si>
  <si>
    <t>57190254906; 35208798600; 57201570848</t>
  </si>
  <si>
    <t>Sanctions and tourist flows: The roles of religion and geography</t>
  </si>
  <si>
    <t>Annals of Tourism Research Empirical Insights</t>
  </si>
  <si>
    <t>10.1016/j.annale.2024.100143</t>
  </si>
  <si>
    <t>https://www.scopus.com/inward/record.uri?eid=2-s2.0-85193694522&amp;doi=10.1016%2fj.annale.2024.100143&amp;partnerID=40&amp;md5=66fd73df148b871f8ef01653f0e2c03e</t>
  </si>
  <si>
    <t>2-s2.0-85193694522</t>
  </si>
  <si>
    <t>Alawin M.; Abu-Lila Z.</t>
  </si>
  <si>
    <t>Alawin, Mohammad (55447991100); Abu-Lila, Ziad (57189703602)</t>
  </si>
  <si>
    <t>55447991100; 57189703602</t>
  </si>
  <si>
    <t>Uncertainty and gravity model for international tourism demand in Jordan: Evidence from Panel-GARCH model</t>
  </si>
  <si>
    <t>Applied Econometrics and International Development</t>
  </si>
  <si>
    <t>https://www.scopus.com/inward/record.uri?eid=2-s2.0-84974712303&amp;partnerID=40&amp;md5=a406f5fb0ca81fae83c6175d1e5d9a3a</t>
  </si>
  <si>
    <t>2-s2.0-84974712303</t>
  </si>
  <si>
    <t>Chu Y.; Huang X.; Jin T.</t>
  </si>
  <si>
    <t>Chu, Yinxiao (57687866200); Huang, Xiaoyu (57200260455); Jin, Tao (51061064700)</t>
  </si>
  <si>
    <t>57687866200; 57200260455; 51061064700</t>
  </si>
  <si>
    <t>Political relations and tourism: evidence from China</t>
  </si>
  <si>
    <t>Applied Economics</t>
  </si>
  <si>
    <t>10.1080/00036846.2021.1922591</t>
  </si>
  <si>
    <t>https://www.scopus.com/inward/record.uri?eid=2-s2.0-85111668368&amp;doi=10.1080%2f00036846.2021.1922591&amp;partnerID=40&amp;md5=70168cf4d69311b7a75b1e0c15fdca22</t>
  </si>
  <si>
    <t>2-s2.0-85111668368</t>
  </si>
  <si>
    <t>de la Mata T.</t>
  </si>
  <si>
    <t>de la Mata, Tamara (55257962300)</t>
  </si>
  <si>
    <t>Does trade creation by social and business networks hold in services?</t>
  </si>
  <si>
    <t>10.1080/00036846.2013.877576</t>
  </si>
  <si>
    <t>https://www.scopus.com/inward/record.uri?eid=2-s2.0-84894094020&amp;doi=10.1080%2f00036846.2013.877576&amp;partnerID=40&amp;md5=718f9bde2019c5515d962f976bed0b07</t>
  </si>
  <si>
    <t>2-s2.0-84894094020</t>
  </si>
  <si>
    <t>Lien D.; Ghosh S.; Yamarik S.</t>
  </si>
  <si>
    <t>Lien, Donald (7006094582); Ghosh, Sucharita (57184723900); Yamarik, Steven (6506691969)</t>
  </si>
  <si>
    <t>7006094582; 57184723900; 6506691969</t>
  </si>
  <si>
    <t>Does the Confucius institute impact international travel to China? A panel data analysis</t>
  </si>
  <si>
    <t>10.1080/00036846.2014.889802</t>
  </si>
  <si>
    <t>https://www.scopus.com/inward/record.uri?eid=2-s2.0-84896822342&amp;doi=10.1080%2f00036846.2014.889802&amp;partnerID=40&amp;md5=b56c5c99ded51dcd4414e7c5c83e6f96</t>
  </si>
  <si>
    <t>2-s2.0-84896822342</t>
  </si>
  <si>
    <t>Li Q.-S.; Zhou J.; Zhou D.-H.; Hong W.; Zhang C.-B.</t>
  </si>
  <si>
    <t>Li, Qing-Shan (56146575300); Zhou, Jing (57191734017); Zhou, De-Hai (55781507900); Hong, Wei (36925130500); Zhang, Cheng-Bo (7405496340)</t>
  </si>
  <si>
    <t>56146575300; 57191734017; 55781507900; 36925130500; 7405496340</t>
  </si>
  <si>
    <t>Measuing air anion concentration and evaluating tourism gravity of beidaihe</t>
  </si>
  <si>
    <t>Applied Mechanics and Materials</t>
  </si>
  <si>
    <t>10.4028/www.scientific.net/AMM.320.739</t>
  </si>
  <si>
    <t>https://www.scopus.com/inward/record.uri?eid=2-s2.0-84879729781&amp;doi=10.4028%2fwww.scientific.net%2fAMM.320.739&amp;partnerID=40&amp;md5=68216668a3d9048cfeb3cd053c481689</t>
  </si>
  <si>
    <t>2-s2.0-84879729781</t>
  </si>
  <si>
    <t>2012 China Functional Materials Technology and Industry Forum, CFMTIF 2012</t>
  </si>
  <si>
    <t>https://www.scopus.com/inward/record.uri?eid=2-s2.0-84879704857&amp;partnerID=40&amp;md5=aad3a8fae6c8cedc8fd55d64527b0423</t>
  </si>
  <si>
    <t>2-s2.0-84879704857</t>
  </si>
  <si>
    <t>2014 International Conference on Mechatronics Engineering and Computing Technology, ICMECT 2014</t>
  </si>
  <si>
    <t>556-562</t>
  </si>
  <si>
    <t>https://www.scopus.com/inward/record.uri?eid=2-s2.0-84902073951&amp;partnerID=40&amp;md5=f3500d5dde8b9164b2604fa1801b067b</t>
  </si>
  <si>
    <t>2-s2.0-84902073951</t>
  </si>
  <si>
    <t>4th International Conference on Civil Engineering, Architecture and Building Materials, CEABM 2014</t>
  </si>
  <si>
    <t>580-583</t>
  </si>
  <si>
    <t>https://www.scopus.com/inward/record.uri?eid=2-s2.0-84904997939&amp;partnerID=40&amp;md5=fd6a0fbe6f533a43f6a3d02c760b9cd7</t>
  </si>
  <si>
    <t>2-s2.0-84904997939</t>
  </si>
  <si>
    <t>Zhu H.; Liu J.</t>
  </si>
  <si>
    <t>Zhu, He (56266620100); Liu, Jiaming (36198367500)</t>
  </si>
  <si>
    <t>56266620100; 36198367500</t>
  </si>
  <si>
    <t>Network Structure Influence on Tourism Industrial Performance: A Network Perspective to Explain the Global Tourism Development</t>
  </si>
  <si>
    <t>Applied Sciences (Switzerland)</t>
  </si>
  <si>
    <t>10.3390/app12126226</t>
  </si>
  <si>
    <t>https://www.scopus.com/inward/record.uri?eid=2-s2.0-85135486613&amp;doi=10.3390%2fapp12126226&amp;partnerID=40&amp;md5=8247ef4fa217fea117eb6c7dab350973</t>
  </si>
  <si>
    <t>2-s2.0-85135486613</t>
  </si>
  <si>
    <t>Huang T.; Xi J.-C.; Ge Q.-S.</t>
  </si>
  <si>
    <t>Huang, Tai (57194195746); Xi, Jian-Chao (55482033300); Ge, Quan-Sheng (55681862500)</t>
  </si>
  <si>
    <t>57194195746; 55482033300; 55681862500</t>
  </si>
  <si>
    <t>Spatial Differentiation and Integration Optimization of an Urban Agglomeration Tourism System under the Influence of High-Speed Railway Network Evolution</t>
  </si>
  <si>
    <t>Applied Spatial Analysis and Policy</t>
  </si>
  <si>
    <t>10.1007/s12061-017-9245-3</t>
  </si>
  <si>
    <t>https://www.scopus.com/inward/record.uri?eid=2-s2.0-85034224821&amp;doi=10.1007%2fs12061-017-9245-3&amp;partnerID=40&amp;md5=ed3b7089d964a415231f269f564102ad</t>
  </si>
  <si>
    <t>2-s2.0-85034224821</t>
  </si>
  <si>
    <t>Chen D.; Wang C.M.; Zhang H.</t>
  </si>
  <si>
    <t>Chen, D. (57043713800); Wang, C.M. (7501647158); Zhang, H. (56731265200)</t>
  </si>
  <si>
    <t>57043713800; 7501647158; 56731265200</t>
  </si>
  <si>
    <t>Examination of net volume reduction of gravity-type open-net fish cages under sea currents</t>
  </si>
  <si>
    <t>Aquacultural Engineering</t>
  </si>
  <si>
    <t>10.1016/j.aquaeng.2020.102128</t>
  </si>
  <si>
    <t>https://www.scopus.com/inward/record.uri?eid=2-s2.0-85097077546&amp;doi=10.1016%2fj.aquaeng.2020.102128&amp;partnerID=40&amp;md5=e419148d0b95a894e850d3cbd199b18b</t>
  </si>
  <si>
    <t>2-s2.0-85097077546</t>
  </si>
  <si>
    <t>Mohammadzadeh Moghaddam M.; Mirzaei S.; Nouraliee J.; Porkhial S.</t>
  </si>
  <si>
    <t>Mohammadzadeh Moghaddam, M. (56082258300); Mirzaei, S. (57188558952); Nouraliee, J. (57188562127); Porkhial, S. (6507930087)</t>
  </si>
  <si>
    <t>56082258300; 57188558952; 57188562127; 6507930087</t>
  </si>
  <si>
    <t>Integrated magnetic and gravity surveys for geothermal exploration in Central Iran</t>
  </si>
  <si>
    <t>Arabian Journal of Geosciences</t>
  </si>
  <si>
    <t>10.1007/s12517-016-2539-y</t>
  </si>
  <si>
    <t>https://www.scopus.com/inward/record.uri?eid=2-s2.0-84975698831&amp;doi=10.1007%2fs12517-016-2539-y&amp;partnerID=40&amp;md5=d8a154c2a720107be0270898bf278371</t>
  </si>
  <si>
    <t>2-s2.0-84975698831</t>
  </si>
  <si>
    <t>Yi K.; Zhang D.; Zhang L.; Ji H.; Xiao J.</t>
  </si>
  <si>
    <t>Yi, Kui (57217390145); Zhang, Dian (57217391095); Zhang, Ligang (57219387216); Ji, Huiting (57219937792); Xiao, Junshi (57219939406)</t>
  </si>
  <si>
    <t>57217390145; 57217391095; 57219387216; 57219937792; 57219939406</t>
  </si>
  <si>
    <t>Paths and strategies to drive MICE into tourism based on gravity model and Wilson model: a case study of Jiangxi Province in China</t>
  </si>
  <si>
    <t>10.1007/s12517-020-06215-8</t>
  </si>
  <si>
    <t>https://www.scopus.com/inward/record.uri?eid=2-s2.0-85096201368&amp;doi=10.1007%2fs12517-020-06215-8&amp;partnerID=40&amp;md5=5a3f769eb8ed6a6982a66eb52c3a0195</t>
  </si>
  <si>
    <t>2-s2.0-85096201368</t>
  </si>
  <si>
    <t>Lee S.-H.; Choi J.-Y.; Bae S.-J.; Oh Y.-G.</t>
  </si>
  <si>
    <t>Lee, Sang-Hyun (56603384700); Choi, Jin-Yong (57199098542); Bae, Seung-Jong (36824401600); Oh, Yun-Gyeong (35240901400)</t>
  </si>
  <si>
    <t>56603384700; 57199098542; 36824401600; 35240901400</t>
  </si>
  <si>
    <t>Analyzing the spatial centrality of rural villages for green-tourism using GIS and social network analysis -focusing on rural amenity and human resources-</t>
  </si>
  <si>
    <t>ASABE - 7th World Congress on Computers in Agriculture and Natural Resources 2009, WCCA 2009</t>
  </si>
  <si>
    <t>https://www.scopus.com/inward/record.uri?eid=2-s2.0-72749124455&amp;partnerID=40&amp;md5=3cf7ba2e939b2e6e7e1dd34ca3e64280</t>
  </si>
  <si>
    <t>2-s2.0-72749124455</t>
  </si>
  <si>
    <t>Huang L.; Sun W.; Yang Y.; Huang S.; Qiu Y.</t>
  </si>
  <si>
    <t>Huang, Li (57194683145); Sun, Weijie (57224080832); Yang, Yang (56083908100); Huang, Songshan (35214708800); Qiu, Yiqi (57580349000)</t>
  </si>
  <si>
    <t>57194683145; 57224080832; 56083908100; 35214708800; 57580349000</t>
  </si>
  <si>
    <t>Opposite effects of bilateral media freedom on inbound tourism after natural disasters</t>
  </si>
  <si>
    <t>Asia Pacific Journal of Tourism Research</t>
  </si>
  <si>
    <t>10.1080/10941665.2022.2061362</t>
  </si>
  <si>
    <t>https://www.scopus.com/inward/record.uri?eid=2-s2.0-85128397894&amp;doi=10.1080%2f10941665.2022.2061362&amp;partnerID=40&amp;md5=77b2c1acf6878b92d0d237593817cff3</t>
  </si>
  <si>
    <t>2-s2.0-85128397894</t>
  </si>
  <si>
    <t>Yin L.</t>
  </si>
  <si>
    <t>Yin, Lijie (56995519800)</t>
  </si>
  <si>
    <t>Forecast without historical data: objective tourist volume forecast model for newly developed rural tourism areas of China</t>
  </si>
  <si>
    <t>10.1080/10941665.2020.1752755</t>
  </si>
  <si>
    <t>https://www.scopus.com/inward/record.uri?eid=2-s2.0-85083488469&amp;doi=10.1080%2f10941665.2020.1752755&amp;partnerID=40&amp;md5=df5d651eab737ddc9e7235760f7a91b5</t>
  </si>
  <si>
    <t>2-s2.0-85083488469</t>
  </si>
  <si>
    <t>Oh J.; Zhong W.</t>
  </si>
  <si>
    <t>Oh, Jinhwan (55462887900); Zhong, Wenjun (57192553311)</t>
  </si>
  <si>
    <t>55462887900; 57192553311</t>
  </si>
  <si>
    <t>How to attract more tourists to Korea? Possible collaborations with China</t>
  </si>
  <si>
    <t>Asia Pacific Management Review</t>
  </si>
  <si>
    <t>10.1016/j.apmrv.2016.08.002</t>
  </si>
  <si>
    <t>https://www.scopus.com/inward/record.uri?eid=2-s2.0-85006789363&amp;doi=10.1016%2fj.apmrv.2016.08.002&amp;partnerID=40&amp;md5=95c52f33c2cab45aa55eb7930ab9a39c</t>
  </si>
  <si>
    <t>2-s2.0-85006789363</t>
  </si>
  <si>
    <t>Patandianan M.V.; Shibusawa H.</t>
  </si>
  <si>
    <t>Patandianan, Marly Valenti (57218549384); Shibusawa, Hiroyuki (36942749700)</t>
  </si>
  <si>
    <t>57218549384; 36942749700</t>
  </si>
  <si>
    <t>Evaluating the spatial spillover effects of tourism demand in Shizuoka Prefecture, Japan: an inter-regional input–output model</t>
  </si>
  <si>
    <t>Asia-Pacific Journal of Regional Science</t>
  </si>
  <si>
    <t>10.1007/s41685-019-00111-0</t>
  </si>
  <si>
    <t>https://www.scopus.com/inward/record.uri?eid=2-s2.0-85100640530&amp;doi=10.1007%2fs41685-019-00111-0&amp;partnerID=40&amp;md5=563ec9c22416bf9badd563612f388596</t>
  </si>
  <si>
    <t>2-s2.0-85100640530</t>
  </si>
  <si>
    <t>Ghosh S.; Lien D.; Yamarik S.</t>
  </si>
  <si>
    <t>Ghosh, Sucharita (57184723900); Lien, Donald (7006094582); Yamarik, Steven (6506691969)</t>
  </si>
  <si>
    <t>57184723900; 7006094582; 6506691969</t>
  </si>
  <si>
    <t>Does the Confucius Institute Network Impact Cultural Distance? A Panel Data Analysis of Cross-Border Flows in and out of China</t>
  </si>
  <si>
    <t>Asian Economic Journal</t>
  </si>
  <si>
    <t>10.1111/asej.12125</t>
  </si>
  <si>
    <t>https://www.scopus.com/inward/record.uri?eid=2-s2.0-85029652979&amp;doi=10.1111%2fasej.12125&amp;partnerID=40&amp;md5=54344be6528b2cf65f20dc8b65d4f2a2</t>
  </si>
  <si>
    <t>2-s2.0-85029652979</t>
  </si>
  <si>
    <t>Sanchez J.-P.; McInnes C.R.</t>
  </si>
  <si>
    <t>Sanchez, Joan-Pau (55318318400); McInnes, Colin R. (7006495789)</t>
  </si>
  <si>
    <t>55318318400; 7006495789</t>
  </si>
  <si>
    <t>Available asteroid resources in the earth's neighbourhood</t>
  </si>
  <si>
    <t>Asteroids: Prospective Energy and Material Resources</t>
  </si>
  <si>
    <t>10.1007/978-3-642-39244-3_18</t>
  </si>
  <si>
    <t>https://www.scopus.com/inward/record.uri?eid=2-s2.0-84930424705&amp;doi=10.1007%2f978-3-642-39244-3_18&amp;partnerID=40&amp;md5=4ae65f6f35818fc3b41155328ccfdf1f</t>
  </si>
  <si>
    <t>2-s2.0-84930424705</t>
  </si>
  <si>
    <t>Stavros S.; Nastos P.T.; Emmanouloudis D.; Koutsouraki A.; Zerefos C.</t>
  </si>
  <si>
    <t>Stavros, Solomos (24437444900); Nastos, Panagiotis T. (6506393061); Emmanouloudis, Dimitrios (6507910718); Koutsouraki, Antonia (57226711360); Zerefos, Christos (7005829052)</t>
  </si>
  <si>
    <t>24437444900; 6506393061; 6507910718; 57226711360; 7005829052</t>
  </si>
  <si>
    <t>A modeling study on the downslope wind of “katevatos” in greece and implications for the battle of arachova in 1826</t>
  </si>
  <si>
    <t>Atmosphere</t>
  </si>
  <si>
    <t>10.3390/atmos12080993</t>
  </si>
  <si>
    <t>https://www.scopus.com/inward/record.uri?eid=2-s2.0-85112452432&amp;doi=10.3390%2fatmos12080993&amp;partnerID=40&amp;md5=8018d5c6b4462bbeb9e25768ffeb6939</t>
  </si>
  <si>
    <t>2-s2.0-85112452432</t>
  </si>
  <si>
    <t>Bosserelle C.; Kruger J.; Movono M.; Reddy S.</t>
  </si>
  <si>
    <t>Bosserelle, Cyprien (46861084600); Kruger, Jens (7201595356); Movono, Make (57189631611); Reddy, Sandeep (58279434500)</t>
  </si>
  <si>
    <t>46861084600; 7201595356; 57189631611; 58279434500</t>
  </si>
  <si>
    <t>Wave inundation on the coral coast of Fiji</t>
  </si>
  <si>
    <t>Australian Coasts and Ports 2015 Conference</t>
  </si>
  <si>
    <t>https://www.scopus.com/inward/record.uri?eid=2-s2.0-84973550325&amp;partnerID=40&amp;md5=67110c75f4ec8c3fd2a1d688ae14be1c</t>
  </si>
  <si>
    <t>2-s2.0-84973550325</t>
  </si>
  <si>
    <t>Hart R.; Campbell M.R.</t>
  </si>
  <si>
    <t>Hart, Rob (36833182100); Campbell, Mark R. (7403371502)</t>
  </si>
  <si>
    <t>36833182100; 7403371502</t>
  </si>
  <si>
    <t>Digital radiography in space</t>
  </si>
  <si>
    <t>Aviation Space and Environmental Medicine</t>
  </si>
  <si>
    <t>https://www.scopus.com/inward/record.uri?eid=2-s2.0-0036000355&amp;partnerID=40&amp;md5=7766d346206fd10db99d699b85a83654</t>
  </si>
  <si>
    <t>2-s2.0-0036000355</t>
  </si>
  <si>
    <t>Sides M.B.; Vernikos J.; Convertino V.A.; Stepanek J.; Tripp L.D.; Draeger J.; Hargens A.R.; Kourtidou-Papadeli C.; Pavy-LeTraon A.; Russomano T.; Wong J.Y.; Buccello R.R.; Lee P.H.; Nangalia V.; Saary M.J.</t>
  </si>
  <si>
    <t>Sides, Marian B. (6506869487); Vernikos, Joan (6701866848); Convertino, Victor A. (7005858036); Stepanek, Jan (7102104737); Tripp, Lloyd D. (7006635058); Draeger, Jorg (7101895362); Hargens, Alan R. (7004636380); Kourtidou-Papadeli, Chrysoula (6602934263); Pavy-LeTraon, Anne (7801330630); Russomano, Thais (6507249244); Wong, Julielynn Y. (58374943000); Buccello, Regina R. (36956327400); Lee, Peter H. (59087182300); Nangalia, Vishal (8557246000); Saary, M. Joan (6507741806)</t>
  </si>
  <si>
    <t>6506869487; 6701866848; 7005858036; 7102104737; 7006635058; 7101895362; 7004636380; 6602934263; 7801330630; 6507249244; 58374943000; 36956327400; 59087182300; 8557246000; 6507741806</t>
  </si>
  <si>
    <t>The Bellagio report: Cardiovascular risks of spaceflight: Implications for the future of space travel</t>
  </si>
  <si>
    <t>https://www.scopus.com/inward/record.uri?eid=2-s2.0-24644501157&amp;partnerID=40&amp;md5=4ce51aa5ea44b1d64f5088b7d5e9cdc9</t>
  </si>
  <si>
    <t>2-s2.0-24644501157</t>
  </si>
  <si>
    <t>Wichman H.A.</t>
  </si>
  <si>
    <t>Wichman, Harvey A. (7003269585)</t>
  </si>
  <si>
    <t>Behavioral and health implications of civilian spaceflight</t>
  </si>
  <si>
    <t>6 SUPPL.</t>
  </si>
  <si>
    <t>B164</t>
  </si>
  <si>
    <t>B171</t>
  </si>
  <si>
    <t>https://www.scopus.com/inward/record.uri?eid=2-s2.0-20144376584&amp;partnerID=40&amp;md5=ad4b72a06d31b732101209a24b1560f9</t>
  </si>
  <si>
    <t>2-s2.0-20144376584</t>
  </si>
  <si>
    <t>Norris G.</t>
  </si>
  <si>
    <t>Norris, Guy (23973685200)</t>
  </si>
  <si>
    <t>Boeing unveils XB-70-inspired hypersonic launcher concept</t>
  </si>
  <si>
    <t>Aviation Week and Space Technology (New York)</t>
  </si>
  <si>
    <t>https://www.scopus.com/inward/record.uri?eid=2-s2.0-84903403527&amp;partnerID=40&amp;md5=c3158762e57fd0038d23d0c79839e0c4</t>
  </si>
  <si>
    <t>2-s2.0-84903403527</t>
  </si>
  <si>
    <t>Malysh N.; Chemych M.; Doan S.; Rodyna R.</t>
  </si>
  <si>
    <t>Malysh, Nina (55964954300); Chemych, Mycola (7801565532); Doan, Svitlana (57226383432); Rodyna, Roman (57205484208)</t>
  </si>
  <si>
    <t>55964954300; 7801565532; 57226383432; 57205484208</t>
  </si>
  <si>
    <t>Epidemiological characteristics of acute intestinal infection outbreaks in Ukraine under the current conditions</t>
  </si>
  <si>
    <t>Bangladesh Journal of Medical Science</t>
  </si>
  <si>
    <t>10.3329/bjms.v18i1.39552</t>
  </si>
  <si>
    <t>https://www.scopus.com/inward/record.uri?eid=2-s2.0-85060243710&amp;doi=10.3329%2fbjms.v18i1.39552&amp;partnerID=40&amp;md5=39cd724e0638b83b946cccdebad9e3fb</t>
  </si>
  <si>
    <t>2-s2.0-85060243710</t>
  </si>
  <si>
    <t>Roveri G.; Crespi A.; Eisendle F.; Rauch S.; Corradini P.; Steger S.; Zebisch M.; Strapazzon G.</t>
  </si>
  <si>
    <t>Roveri, Giulia (57211590941); Crespi, Alice (56692419600); Eisendle, Frederik (57314738300); Rauch, Simon (58256660800); Corradini, Philipp (57201613308); Steger, Stefan (56909948500); Zebisch, Marc (6506555110); Strapazzon, Giacomo (13610638800)</t>
  </si>
  <si>
    <t>57211590941; 56692419600; 57314738300; 58256660800; 57201613308; 56909948500; 6506555110; 13610638800</t>
  </si>
  <si>
    <t>Climate change and human health in Alpine environments: an interdisciplinary impact chain approach understanding today's risks to address tomorrow's challenges</t>
  </si>
  <si>
    <t>BMJ Global Health</t>
  </si>
  <si>
    <t>e014431</t>
  </si>
  <si>
    <t>10.1136/bmjgh-2023-014431</t>
  </si>
  <si>
    <t>https://www.scopus.com/inward/record.uri?eid=2-s2.0-85213991479&amp;doi=10.1136%2fbmjgh-2023-014431&amp;partnerID=40&amp;md5=9a25c6ed0680f3c3830d65ca9cfd74ae</t>
  </si>
  <si>
    <t>2-s2.0-85213991479</t>
  </si>
  <si>
    <t>Wang Q.; Yang C.; Wang J.; Tan L.</t>
  </si>
  <si>
    <t>Wang, Qian (59234908900); Yang, Chen (59234534800); Wang, Jianghua (59234909000); Tan, Lifeng (57218304007)</t>
  </si>
  <si>
    <t>59234908900; 59234534800; 59234909000; 57218304007</t>
  </si>
  <si>
    <t>Tourism in Historic Urban Areas: Construction of Cultural Heritage Corridor Based on Minimum Cumulative Resistance and Gravity Model—A Case Study of Tianjin, China</t>
  </si>
  <si>
    <t>Buildings</t>
  </si>
  <si>
    <t>10.3390/buildings14072144</t>
  </si>
  <si>
    <t>https://www.scopus.com/inward/record.uri?eid=2-s2.0-85199581668&amp;doi=10.3390%2fbuildings14072144&amp;partnerID=40&amp;md5=11537b024196a2e0a6327b348310a0c4</t>
  </si>
  <si>
    <t>2-s2.0-85199581668</t>
  </si>
  <si>
    <t>Beraaouz M.; Abioui M.; Hssaisoune M.; Martínez-Frías J.</t>
  </si>
  <si>
    <t>Beraaouz, Mohamed (57193434578); Abioui, Mohamed (57207818371); Hssaisoune, Mohammed (55761422400); Martínez-Frías, Jesús (7007183815)</t>
  </si>
  <si>
    <t>57193434578; 57207818371; 55761422400; 7007183815</t>
  </si>
  <si>
    <t>Khettaras in the Tafilalet oasis (Morocco): contribution to the promotion of tourism and sustainable development</t>
  </si>
  <si>
    <t>Built Heritage</t>
  </si>
  <si>
    <t>10.1186/s43238-022-00073-x</t>
  </si>
  <si>
    <t>https://www.scopus.com/inward/record.uri?eid=2-s2.0-85139749268&amp;doi=10.1186%2fs43238-022-00073-x&amp;partnerID=40&amp;md5=caf47064851d1d7332bb2cc07e0ebd89</t>
  </si>
  <si>
    <t>2-s2.0-85139749268</t>
  </si>
  <si>
    <t>Rymer H.; Van Wyk De Vries B.; Stix J.; Williams-Jones G.</t>
  </si>
  <si>
    <t>Rymer, H. (7003403978); Van Wyk De Vries, B. (55957928200); Stix, J. (7003827758); Williams-Jones, G. (57203275157)</t>
  </si>
  <si>
    <t>7003403978; 55957928200; 7003827758; 57203275157</t>
  </si>
  <si>
    <t>Pit crater structure and processes governing persistent activity at Masaya Volcano, Nicaragua</t>
  </si>
  <si>
    <t>Bulletin of Volcanology</t>
  </si>
  <si>
    <t>10.1007/s004450050196</t>
  </si>
  <si>
    <t>https://www.scopus.com/inward/record.uri?eid=2-s2.0-0031817430&amp;doi=10.1007%2fs004450050196&amp;partnerID=40&amp;md5=8ee3e44fe6c5530423ccae59ff45fc8d</t>
  </si>
  <si>
    <t>2-s2.0-0031817430</t>
  </si>
  <si>
    <t>Carmichael B.A.</t>
  </si>
  <si>
    <t>Carmichael, Barbara A. (8963689700)</t>
  </si>
  <si>
    <t>Global competitiveness and special events in cultural tourism: The example of the Barnes Exhibit at the Art Gallery of Ontario, Toronto</t>
  </si>
  <si>
    <t>Canadian Geographer</t>
  </si>
  <si>
    <t>10.1111/j.1541-0064.2002.tb00753.x</t>
  </si>
  <si>
    <t>https://www.scopus.com/inward/record.uri?eid=2-s2.0-0038346081&amp;doi=10.1111%2fj.1541-0064.2002.tb00753.x&amp;partnerID=40&amp;md5=f4b3e32bebe5db342ad296cda0f53a50</t>
  </si>
  <si>
    <t>2-s2.0-0038346081</t>
  </si>
  <si>
    <t>Piras F.; Sottile E.; Meloni I.</t>
  </si>
  <si>
    <t>Piras, Francesco (8729634500); Sottile, Eleonora (56764536900); Meloni, Italo (16241885600)</t>
  </si>
  <si>
    <t>8729634500; 56764536900; 16241885600</t>
  </si>
  <si>
    <t>Supporting tourism through the promotion of cycling: GIS model applied in the metropolitan area of Cagliari (Italy)</t>
  </si>
  <si>
    <t>Case Studies on Transport Policy</t>
  </si>
  <si>
    <t>10.1016/j.cstp.2024.101229</t>
  </si>
  <si>
    <t>https://www.scopus.com/inward/record.uri?eid=2-s2.0-85194483501&amp;doi=10.1016%2fj.cstp.2024.101229&amp;partnerID=40&amp;md5=434adc9157276a59eeac867b78643c56</t>
  </si>
  <si>
    <t>2-s2.0-85194483501</t>
  </si>
  <si>
    <t>McDonnell T.R.; Thompson D.</t>
  </si>
  <si>
    <t>McDonnell, Terry R. (55974379900); Thompson, David (57189033199)</t>
  </si>
  <si>
    <t>55974379900; 57189033199</t>
  </si>
  <si>
    <t>Structural glass observation boxes (Willis Tower Ledge)</t>
  </si>
  <si>
    <t>Challenging Glass 2 - Conference on Architectural and Structural Applications of Glass, CGC 2010</t>
  </si>
  <si>
    <t>https://www.scopus.com/inward/record.uri?eid=2-s2.0-84964789103&amp;partnerID=40&amp;md5=b70522056f4981dd257ab2b6ccefc472</t>
  </si>
  <si>
    <t>2-s2.0-84964789103</t>
  </si>
  <si>
    <t>Huang Q.; Zhu X.; Liu C.; Wu W.; Liu F.; Zhang X.</t>
  </si>
  <si>
    <t>Huang, Qinshi (57205425163); Zhu, Xigang (36563122700); Liu, Chunhui (57192307297); Wu, Wei (57196317181); Liu, Fengbao (57205425099); Zhang, Xinyi (57218148045)</t>
  </si>
  <si>
    <t>57205425163; 36563122700; 57192307297; 57196317181; 57205425099; 57218148045</t>
  </si>
  <si>
    <t>Spatial-temporal Evolution and Determinants of the Belt and Road Initiative: A Maximum Entropy Gravity Model Approach</t>
  </si>
  <si>
    <t>Chinese Geographical Science</t>
  </si>
  <si>
    <t>10.1007/s11769-020-1144-x</t>
  </si>
  <si>
    <t>https://www.scopus.com/inward/record.uri?eid=2-s2.0-85087477686&amp;doi=10.1007%2fs11769-020-1144-x&amp;partnerID=40&amp;md5=ff9e0a3b8283e8939815dad83a0c1feb</t>
  </si>
  <si>
    <t>2-s2.0-85087477686</t>
  </si>
  <si>
    <t>Wang X.; Wang M.; Lu X.; Guo L.; Zhao R.; Ji R.</t>
  </si>
  <si>
    <t>Wang, Xinyue (57889337100); Wang, Mengmeng (57223963616); Lu, Xuejing (57889739400); Guo, Lizhen (57889536500); Zhao, Ruixin (57889739500); Ji, Ranran (57889739600)</t>
  </si>
  <si>
    <t>57889337100; 57223963616; 57889739400; 57889536500; 57889739500; 57889739600</t>
  </si>
  <si>
    <t>Spatio-temporal Evolution and Driving Factors of the High-quality Development of Provincial Tourism in China</t>
  </si>
  <si>
    <t>10.1007/s11769-022-1307-z</t>
  </si>
  <si>
    <t>https://www.scopus.com/inward/record.uri?eid=2-s2.0-85137990568&amp;doi=10.1007%2fs11769-022-1307-z&amp;partnerID=40&amp;md5=bb91df55ffaea39b11587ab2b2efaa18</t>
  </si>
  <si>
    <t>2-s2.0-85137990568</t>
  </si>
  <si>
    <t>Zhong J.; Zhang J.; Li D.; Zhao Y.; Lu S.; Shi C.</t>
  </si>
  <si>
    <t>Zhong, Jing (36786876200); Zhang, Jie (8668785000); Li, Donghe (22135331700); Zhao, Yong (7406637454); Lu, Song (55017179200); Shi, Chunyun (16680211400)</t>
  </si>
  <si>
    <t>36786876200; 8668785000; 22135331700; 7406637454; 55017179200; 16680211400</t>
  </si>
  <si>
    <t>Nodes and field of tourist origins to ancient village - A case study of Huangcheng Village in Shanxi Province of China</t>
  </si>
  <si>
    <t>10.1007/s11769-007-0280-x</t>
  </si>
  <si>
    <t>https://www.scopus.com/inward/record.uri?eid=2-s2.0-34848925458&amp;doi=10.1007%2fs11769-007-0280-x&amp;partnerID=40&amp;md5=cd1d5ac4d7cb171c4bd06586dcb1e017</t>
  </si>
  <si>
    <t>2-s2.0-34848925458</t>
  </si>
  <si>
    <t>Yang S.; Guo W.; Xu T.; Liu T.</t>
  </si>
  <si>
    <t>Yang, Shuo (58055817300); Guo, Wei (57199262830); Xu, Tianjun (58782825300); Liu, Tongtong (58485707100)</t>
  </si>
  <si>
    <t>58055817300; 57199262830; 58782825300; 58485707100</t>
  </si>
  <si>
    <t>The coordinated evolution of ecological environment, public service, and tourism economy along the Silk Road Economic Belt, using the Dual-Carbon Targets</t>
  </si>
  <si>
    <t>Chinese Journal of Population Resources and Environment</t>
  </si>
  <si>
    <t>10.1016/j.cjpre.2024.03.004</t>
  </si>
  <si>
    <t>https://www.scopus.com/inward/record.uri?eid=2-s2.0-85189790762&amp;doi=10.1016%2fj.cjpre.2024.03.004&amp;partnerID=40&amp;md5=0925eb690885c391d6d6386a92dc796b</t>
  </si>
  <si>
    <t>2-s2.0-85189790762</t>
  </si>
  <si>
    <t>Wang J.-J.; Chen K.; Han F.; Wang M.-M.</t>
  </si>
  <si>
    <t>Wang, Jian-Jun (56642881800); Chen, Kun (55683531500); Han, Fei (58423591600); Wang, Miao-Miao (55596680700)</t>
  </si>
  <si>
    <t>56642881800; 55683531500; 58423591600; 55596680700</t>
  </si>
  <si>
    <t>The research of resort public transport development and land uses based on tod model</t>
  </si>
  <si>
    <t>CICTP 2012: Multimodal Transportation Systems - Convenient, Safe, Cost-Effective, Efficient - Proceedings of the 12th COTA International Conference of Transportation Professionals</t>
  </si>
  <si>
    <t>10.1061/9780784412442.142</t>
  </si>
  <si>
    <t>https://www.scopus.com/inward/record.uri?eid=2-s2.0-84873860539&amp;doi=10.1061%2f9780784412442.142&amp;partnerID=40&amp;md5=d9b2f2227f3aad875daedbc1ce2c0bc7</t>
  </si>
  <si>
    <t>2-s2.0-84873860539</t>
  </si>
  <si>
    <t>Sun X.; Zhu C.; Li M.; Yang R.; Cheng Y.</t>
  </si>
  <si>
    <t>Sun, Xiaoli (57221117341); Zhu, Caihua (57211349561); Li, Meini (58645550400); Yang, Ruijuan (58645335300); Cheng, Yingge (57223829214)</t>
  </si>
  <si>
    <t>57221117341; 57211349561; 58645550400; 58645335300; 57223829214</t>
  </si>
  <si>
    <t>Spatial Distribution Prediction of Passenger Flow in Tourist Attractions Based on Improved Gravity Model Method: Using Qujiang New District as an Example</t>
  </si>
  <si>
    <t>CICTP 2023: Innovation-Empowered Technology for Sustainable, Intelligent, Decarbonized, and Connected Transportation - Proceedings of the 23rd COTA International Conference of Transportation Professionals</t>
  </si>
  <si>
    <t>10.1061/9780784484869.245</t>
  </si>
  <si>
    <t>https://www.scopus.com/inward/record.uri?eid=2-s2.0-85174017475&amp;doi=10.1061%2f9780784484869.245&amp;partnerID=40&amp;md5=e99f652debf3bea236783aeac9363b7d</t>
  </si>
  <si>
    <t>2-s2.0-85174017475</t>
  </si>
  <si>
    <t>Wu Y.; Shen T.; Li Y.; Kita M.; Yoshida Y.; Sho K.; Yuan L.; Yu L.; Jiang R.; Long Y.</t>
  </si>
  <si>
    <t>Wu, Yi (59458727800); Shen, Tianyao (59357604800); Li, Yifan (58075740100); Kita, Mizuki (59357999400); Yoshida, Yoshikuni (7404400212); Sho, Kojiro (59137384300); Yuan, Lang (59357999500); Yu, Ling (57891609300); Jiang, Renhe (57202284492); Long, Yin (57195739016)</t>
  </si>
  <si>
    <t>59458727800; 59357604800; 58075740100; 59357999400; 7404400212; 59137384300; 59357999500; 57891609300; 57202284492; 57195739016</t>
  </si>
  <si>
    <t>Exploring urban railway station-based attractiveness considering demographic-specific demands: Case study of Odakyu line, Japan</t>
  </si>
  <si>
    <t>Cities</t>
  </si>
  <si>
    <t>10.1016/j.cities.2024.105620</t>
  </si>
  <si>
    <t>https://www.scopus.com/inward/record.uri?eid=2-s2.0-85211028671&amp;doi=10.1016%2fj.cities.2024.105620&amp;partnerID=40&amp;md5=4dfcc67e80c303cb50f4f99dd2f5f49f</t>
  </si>
  <si>
    <t>2-s2.0-85211028671</t>
  </si>
  <si>
    <t>Linder B.</t>
  </si>
  <si>
    <t>Linder, Benjamin (58826219500)</t>
  </si>
  <si>
    <t>“This Looks Like Chinatown!”: Contested Geographies and the Transformation of Social Space in Jyatha, Kathmandu</t>
  </si>
  <si>
    <t>City and Society</t>
  </si>
  <si>
    <t>10.1111/ciso.12211</t>
  </si>
  <si>
    <t>https://www.scopus.com/inward/record.uri?eid=2-s2.0-85068068781&amp;doi=10.1111%2fciso.12211&amp;partnerID=40&amp;md5=33ad395879586af8ebec7c7974cfa00f</t>
  </si>
  <si>
    <t>2-s2.0-85068068781</t>
  </si>
  <si>
    <t>Traherne David</t>
  </si>
  <si>
    <t>Traherne, David (6603364439)</t>
  </si>
  <si>
    <t>COASTLINE CONSERVATION.</t>
  </si>
  <si>
    <t>Civil engineering London</t>
  </si>
  <si>
    <t>https://www.scopus.com/inward/record.uri?eid=2-s2.0-0022811154&amp;partnerID=40&amp;md5=89322fdf6bd43142ac637dfa908531e9</t>
  </si>
  <si>
    <t>2-s2.0-0022811154</t>
  </si>
  <si>
    <t>Pham U.; Trinh Q.; Le H.; Vo U.</t>
  </si>
  <si>
    <t>Pham, Uyen (57687397700); Trinh, Quy (58583827100); Le, Hoa (57192382028); Vo, Uyen (58583375900)</t>
  </si>
  <si>
    <t>57687397700; 58583827100; 57192382028; 58583375900</t>
  </si>
  <si>
    <t>Impacts of regional trade agreements on international tourism demand: Empirical in Vietnam</t>
  </si>
  <si>
    <t>Cogent Economics and Finance</t>
  </si>
  <si>
    <t>10.1080/23322039.2023.2250230</t>
  </si>
  <si>
    <t>https://www.scopus.com/inward/record.uri?eid=2-s2.0-85171387282&amp;doi=10.1080%2f23322039.2023.2250230&amp;partnerID=40&amp;md5=60d0d86717109dde4d95be3d89f57575</t>
  </si>
  <si>
    <t>2-s2.0-85171387282</t>
  </si>
  <si>
    <t>Wujie X.</t>
  </si>
  <si>
    <t>Wujie, Xie (57213001949)</t>
  </si>
  <si>
    <t>The impact of geopolitical risks and international relations on inbound tourism——evidence from China and key source countries</t>
  </si>
  <si>
    <t>Cogent Social Sciences</t>
  </si>
  <si>
    <t>10.1080/23311886.2023.2285244</t>
  </si>
  <si>
    <t>https://www.scopus.com/inward/record.uri?eid=2-s2.0-85178040929&amp;doi=10.1080%2f23311886.2023.2285244&amp;partnerID=40&amp;md5=c54a7016dc8e972d42e89bd63f724121</t>
  </si>
  <si>
    <t>2-s2.0-85178040929</t>
  </si>
  <si>
    <t>Sun Y.-K.; Castilleja R.</t>
  </si>
  <si>
    <t>Sun, Yung-Kang (23974078300); Castilleja, Rolando (23026575200)</t>
  </si>
  <si>
    <t>23974078300; 23026575200</t>
  </si>
  <si>
    <t>Application of active electromagnetic propulsion for space exploration</t>
  </si>
  <si>
    <t>Collection of Technical Papers - 43rd AIAA/ASME/SAE/ASEE Joint Propulsion Conference</t>
  </si>
  <si>
    <t>https://www.scopus.com/inward/record.uri?eid=2-s2.0-36749046299&amp;partnerID=40&amp;md5=446ddecc9057e59f36693d05ef988b50</t>
  </si>
  <si>
    <t>2-s2.0-36749046299</t>
  </si>
  <si>
    <t>Curran J.F.</t>
  </si>
  <si>
    <t>Curran, John F. (15830888000)</t>
  </si>
  <si>
    <t>BASE - Bubble architecture space environments</t>
  </si>
  <si>
    <t>Collection of Technical Papers - Space 2006 Conference</t>
  </si>
  <si>
    <t>10.2514/6.2006-7320</t>
  </si>
  <si>
    <t>https://www.scopus.com/inward/record.uri?eid=2-s2.0-33846553787&amp;doi=10.2514%2f6.2006-7320&amp;partnerID=40&amp;md5=c35d6582dbca2c629a99b96a3919bbe3</t>
  </si>
  <si>
    <t>2-s2.0-33846553787</t>
  </si>
  <si>
    <t>Reifert J.E.</t>
  </si>
  <si>
    <t>Reifert, Jane E. (15832842300)</t>
  </si>
  <si>
    <t>Everything i know about space tourism i learned from Russia</t>
  </si>
  <si>
    <t>10.2514/6.2006-7476</t>
  </si>
  <si>
    <t>https://www.scopus.com/inward/record.uri?eid=2-s2.0-33846524410&amp;doi=10.2514%2f6.2006-7476&amp;partnerID=40&amp;md5=9450ad64d1b7b16357935f3a9aefe8f3</t>
  </si>
  <si>
    <t>2-s2.0-33846524410</t>
  </si>
  <si>
    <t>Xu Y.; Qin J.; Wu T.; Liu B.; Xia Y.</t>
  </si>
  <si>
    <t>Xu, Yanan (57489356600); Qin, Jianxin (21735443400); Wu, Tao (56364476900); Liu, Bo (55644001301); Xia, Yuanping (26028484200)</t>
  </si>
  <si>
    <t>57489356600; 21735443400; 56364476900; 55644001301; 26028484200</t>
  </si>
  <si>
    <t>Research on Spatiotemporal Association between Tourism and Transportation Based on CGS Model</t>
  </si>
  <si>
    <t>Computational Intelligence and Neuroscience</t>
  </si>
  <si>
    <t>10.1155/2022/9559170</t>
  </si>
  <si>
    <t>https://www.scopus.com/inward/record.uri?eid=2-s2.0-85126405232&amp;doi=10.1155%2f2022%2f9559170&amp;partnerID=40&amp;md5=937a1ff25660bd35bc7c1b51e5571557</t>
  </si>
  <si>
    <t>2-s2.0-85126405232</t>
  </si>
  <si>
    <t>Liu L.; Luo J.</t>
  </si>
  <si>
    <t>Liu, Li (59463317600); Luo, Jin (35115145700)</t>
  </si>
  <si>
    <t>59463317600; 35115145700</t>
  </si>
  <si>
    <t>The spatio-temporal evolution and influencing factors of the coupling coordination degree between tourism supply and demand in the Yangtze river economic belt</t>
  </si>
  <si>
    <t>Computational Urban Science</t>
  </si>
  <si>
    <t>10.1007/s43762-024-00150-0</t>
  </si>
  <si>
    <t>https://www.scopus.com/inward/record.uri?eid=2-s2.0-85211376867&amp;doi=10.1007%2fs43762-024-00150-0&amp;partnerID=40&amp;md5=feff7be0491991c07ead6009537bdb74</t>
  </si>
  <si>
    <t>2-s2.0-85211376867</t>
  </si>
  <si>
    <t>Heriqbaldi U.; Esquivias M.A.; Agusti K.S.</t>
  </si>
  <si>
    <t>Heriqbaldi, Unggul (56206005900); Esquivias, Miguel Angel (57218402964); Agusti, Kemala Sari (58086605400)</t>
  </si>
  <si>
    <t>56206005900; 57218402964; 58086605400</t>
  </si>
  <si>
    <t>The role of cultural distance in boosting international tourism arrivals in ASEAN: a gravity model</t>
  </si>
  <si>
    <t>Consumer Behavior in Tourism and Hospitality</t>
  </si>
  <si>
    <t>10.1108/CBTH-12-2021-0288</t>
  </si>
  <si>
    <t>https://www.scopus.com/inward/record.uri?eid=2-s2.0-85147231059&amp;doi=10.1108%2fCBTH-12-2021-0288&amp;partnerID=40&amp;md5=4048050dfc855fa91b52ed2413aef8b1</t>
  </si>
  <si>
    <t>2-s2.0-85147231059</t>
  </si>
  <si>
    <t>Jhala D.V.; Kale R.K.; Singh R.P.</t>
  </si>
  <si>
    <t>Jhala, Dhwani V. (56244716800); Kale, Raosaheb K. (55509811100); Singh, Rana P. (7407266148)</t>
  </si>
  <si>
    <t>56244716800; 55509811100; 7407266148</t>
  </si>
  <si>
    <t>Microgravity alters cancer growth and progression</t>
  </si>
  <si>
    <t>Current Cancer Drug Targets</t>
  </si>
  <si>
    <t>10.2174/1568009614666140407113633</t>
  </si>
  <si>
    <t>https://www.scopus.com/inward/record.uri?eid=2-s2.0-84903694283&amp;doi=10.2174%2f1568009614666140407113633&amp;partnerID=40&amp;md5=976ab9316bd769d40b0aa2c6c9e4c15a</t>
  </si>
  <si>
    <t>2-s2.0-84903694283</t>
  </si>
  <si>
    <t>Santana-Gallego M.; Ledesma-Rodríguez F.J.; Pérez-Rodríguez J.V.</t>
  </si>
  <si>
    <t>Santana-Gallego, Maria (36119110700); Ledesma-Rodríguez, Francisco J. (9243645400); Pérez-Rodríguez, Jorge V. (56216749800)</t>
  </si>
  <si>
    <t>36119110700; 9243645400; 56216749800</t>
  </si>
  <si>
    <t>International trade, gravity equations and tourism: An application for intra-latin American trade flows</t>
  </si>
  <si>
    <t>Current Issues in International Trade: Methodologies and Development Implications for the World Economy</t>
  </si>
  <si>
    <t>https://www.scopus.com/inward/record.uri?eid=2-s2.0-84957379082&amp;partnerID=40&amp;md5=d4e646e1172cf7caa80e36e15d5e6474</t>
  </si>
  <si>
    <t>2-s2.0-84957379082</t>
  </si>
  <si>
    <t>Arshad M.U.; Hui Q.S.; Yufei G.; Xinya G.; Haiying L.; Dureng B.</t>
  </si>
  <si>
    <t>Arshad, Muhammad Umer (57413596900); Hui, Qiao Shao (58261503700); Yufei, Gong (57752798400); Xinya, Guo (57984805000); Haiying, Lin (57205687902); Dureng, Baoyin (58261015200)</t>
  </si>
  <si>
    <t>57413596900; 58261503700; 57752798400; 57984805000; 57205687902; 58261015200</t>
  </si>
  <si>
    <t>The role of heritage sites and other influential factors in domestic tourism inflow to Australian states: a gravity model approach</t>
  </si>
  <si>
    <t>Current Issues in Tourism</t>
  </si>
  <si>
    <t>10.1080/13683500.2023.2213880</t>
  </si>
  <si>
    <t>https://www.scopus.com/inward/record.uri?eid=2-s2.0-85159672260&amp;doi=10.1080%2f13683500.2023.2213880&amp;partnerID=40&amp;md5=0b55efceb3d6e65f86bed5545d7e977c</t>
  </si>
  <si>
    <t>2-s2.0-85159672260</t>
  </si>
  <si>
    <t>Czaika M.; Neumayer E.</t>
  </si>
  <si>
    <t>Czaika, Mathias (23026656200); Neumayer, Eric (7004548786)</t>
  </si>
  <si>
    <t>23026656200; 7004548786</t>
  </si>
  <si>
    <t>On the negative impact of time zone differences on international tourism</t>
  </si>
  <si>
    <t>10.1080/13683500.2019.1590322</t>
  </si>
  <si>
    <t>https://www.scopus.com/inward/record.uri?eid=2-s2.0-85063123880&amp;doi=10.1080%2f13683500.2019.1590322&amp;partnerID=40&amp;md5=c48498693ccb7de954fb1cfdcaa54787</t>
  </si>
  <si>
    <t>Letter</t>
  </si>
  <si>
    <t>2-s2.0-85063123880</t>
  </si>
  <si>
    <t>Gani A.; Clemes M.D.</t>
  </si>
  <si>
    <t>Gani, Azmat (7003355308); Clemes, Michael D. (6506941377)</t>
  </si>
  <si>
    <t>7003355308; 6506941377</t>
  </si>
  <si>
    <t>Business environment effect on business visitor arrivals to New Zealand</t>
  </si>
  <si>
    <t>10.1080/13683500.2020.1835841</t>
  </si>
  <si>
    <t>https://www.scopus.com/inward/record.uri?eid=2-s2.0-85094922555&amp;doi=10.1080%2f13683500.2020.1835841&amp;partnerID=40&amp;md5=abc8b457bd0cbf553ccb2f1197a6073c</t>
  </si>
  <si>
    <t>2-s2.0-85094922555</t>
  </si>
  <si>
    <t>Gavriilidis K.</t>
  </si>
  <si>
    <t>Gavriilidis, Konstantinos (55797274000)</t>
  </si>
  <si>
    <t>Social connectedness and tourism demand</t>
  </si>
  <si>
    <t>10.1080/13683500.2020.1803222</t>
  </si>
  <si>
    <t>https://www.scopus.com/inward/record.uri?eid=2-s2.0-85089444141&amp;doi=10.1080%2f13683500.2020.1803222&amp;partnerID=40&amp;md5=47fd126b1d7eb4fc8344b8ca5c94646f</t>
  </si>
  <si>
    <t>2-s2.0-85089444141</t>
  </si>
  <si>
    <t>Gopalan S.; Khalid U.; Okafor L.</t>
  </si>
  <si>
    <t>Gopalan, Sasidaran (56962703200); Khalid, Usman (57190254906); Okafor, Luke (35208798600)</t>
  </si>
  <si>
    <t>56962703200; 57190254906; 35208798600</t>
  </si>
  <si>
    <t>Do greenfield FDI inflows promote international tourism?</t>
  </si>
  <si>
    <t>10.1080/13683500.2023.2294486</t>
  </si>
  <si>
    <t>https://www.scopus.com/inward/record.uri?eid=2-s2.0-85180230799&amp;doi=10.1080%2f13683500.2023.2294486&amp;partnerID=40&amp;md5=71dbc56a200d6c1af19a97c467edabc0</t>
  </si>
  <si>
    <t>2-s2.0-85180230799</t>
  </si>
  <si>
    <t>Harb G.; Bassil C.</t>
  </si>
  <si>
    <t>Harb, Georges (57195776621); Bassil, Charbel (36117727100)</t>
  </si>
  <si>
    <t>57195776621; 36117727100</t>
  </si>
  <si>
    <t>Gravity analysis of tourism flows and the ‘multilateral resistance to tourism’</t>
  </si>
  <si>
    <t>10.1080/13683500.2018.1544612</t>
  </si>
  <si>
    <t>https://www.scopus.com/inward/record.uri?eid=2-s2.0-85057556267&amp;doi=10.1080%2f13683500.2018.1544612&amp;partnerID=40&amp;md5=16a7cd9c9c66befdcbeb0a0b42fcc1f4</t>
  </si>
  <si>
    <t>2-s2.0-85057556267</t>
  </si>
  <si>
    <t>Khoshnevis Yazdi S.; Khanalizadeh B.</t>
  </si>
  <si>
    <t>Khoshnevis Yazdi, Soheila (36631188400); Khanalizadeh, Bahman (57193924045)</t>
  </si>
  <si>
    <t>36631188400; 57193924045</t>
  </si>
  <si>
    <t>Tourism demand: a panel data approach</t>
  </si>
  <si>
    <t>10.1080/13683500.2016.1170772</t>
  </si>
  <si>
    <t>https://www.scopus.com/inward/record.uri?eid=2-s2.0-85017517863&amp;doi=10.1080%2f13683500.2016.1170772&amp;partnerID=40&amp;md5=dafd0c5d3c3f8e580d3bc538d9af6727</t>
  </si>
  <si>
    <t>2-s2.0-85017517863</t>
  </si>
  <si>
    <t>Luo Y.; Zhang L.; Zhang Y.</t>
  </si>
  <si>
    <t>Luo, Yingchan (57209578855); Zhang, Linjia (56965812900); Zhang, Yuan (57267809500)</t>
  </si>
  <si>
    <t>57209578855; 56965812900; 57267809500</t>
  </si>
  <si>
    <t>Inbound tourism and bilateral trade, evidence from China</t>
  </si>
  <si>
    <t>10.1080/13683500.2021.1978949</t>
  </si>
  <si>
    <t>https://www.scopus.com/inward/record.uri?eid=2-s2.0-85115352718&amp;doi=10.1080%2f13683500.2021.1978949&amp;partnerID=40&amp;md5=9c3f34d800a6efab2154f616e339df89</t>
  </si>
  <si>
    <t>2-s2.0-85115352718</t>
  </si>
  <si>
    <t>Okafor L.; Khalid U.; Sooriyarachchi D.</t>
  </si>
  <si>
    <t>Okafor, Luke (35208798600); Khalid, Usman (57190254906); Sooriyarachchi, Dulashini (58023511500)</t>
  </si>
  <si>
    <t>35208798600; 57190254906; 58023511500</t>
  </si>
  <si>
    <t>Dyadic hostility, tourism, and regional trade agreements</t>
  </si>
  <si>
    <t>10.1080/13683500.2022.2151419</t>
  </si>
  <si>
    <t>https://www.scopus.com/inward/record.uri?eid=2-s2.0-85144265186&amp;doi=10.1080%2f13683500.2022.2151419&amp;partnerID=40&amp;md5=c95de19d9db9824b2a1662677c691449</t>
  </si>
  <si>
    <t>2-s2.0-85144265186</t>
  </si>
  <si>
    <t>Okafor L.E.; Khalid U.</t>
  </si>
  <si>
    <t>Okafor, Luke Emeka (35208798600); Khalid, Usman (57190254906)</t>
  </si>
  <si>
    <t>35208798600; 57190254906</t>
  </si>
  <si>
    <t>Regaining international tourism attractiveness after an armed conflict: the role of security spending</t>
  </si>
  <si>
    <t>10.1080/13683500.2020.1734547</t>
  </si>
  <si>
    <t>https://www.scopus.com/inward/record.uri?eid=2-s2.0-85081287466&amp;doi=10.1080%2f13683500.2020.1734547&amp;partnerID=40&amp;md5=a516a965103921a596713ac9dfd62840</t>
  </si>
  <si>
    <t>2-s2.0-85081287466</t>
  </si>
  <si>
    <t>Santeramo F.G.; Morelli M.</t>
  </si>
  <si>
    <t>Santeramo, Fabio Gaetano (37067967300); Morelli, Mariangela (56668401600)</t>
  </si>
  <si>
    <t>37067967300; 56668401600</t>
  </si>
  <si>
    <t>Modelling tourism flows through gravity models: A quantile regression approach</t>
  </si>
  <si>
    <t>10.1080/13683500.2015.1051518</t>
  </si>
  <si>
    <t>https://www.scopus.com/inward/record.uri?eid=2-s2.0-84930405355&amp;doi=10.1080%2f13683500.2015.1051518&amp;partnerID=40&amp;md5=e80ed98b5a6b853a87e73f80fef6f413</t>
  </si>
  <si>
    <t>2-s2.0-84930405355</t>
  </si>
  <si>
    <t>Selwyn T.</t>
  </si>
  <si>
    <t>Selwyn, T. (24370809800)</t>
  </si>
  <si>
    <t>The de-Mediterraneanisation of the Mediterranean?</t>
  </si>
  <si>
    <t>10.1080/13683500008667874</t>
  </si>
  <si>
    <t>https://www.scopus.com/inward/record.uri?eid=2-s2.0-0034492895&amp;doi=10.1080%2f13683500008667874&amp;partnerID=40&amp;md5=d88ba239437d048bd99b7278338b9166</t>
  </si>
  <si>
    <t>2-s2.0-0034492895</t>
  </si>
  <si>
    <t>Xu J.; Su T.; Cheng X.; Chen H.</t>
  </si>
  <si>
    <t>Xu, Jin (57210253042); Su, Tianrui (58973783100); Cheng, Xian (58037339800); Chen, Hu (57817242700)</t>
  </si>
  <si>
    <t>57210253042; 58973783100; 58037339800; 57817242700</t>
  </si>
  <si>
    <t>Exploring the destination network in the context of tourism mobility: a multi-scale analytical framework</t>
  </si>
  <si>
    <t>10.1080/13683500.2024.2334830</t>
  </si>
  <si>
    <t>https://www.scopus.com/inward/record.uri?eid=2-s2.0-85189625690&amp;doi=10.1080%2f13683500.2024.2334830&amp;partnerID=40&amp;md5=acd79e89eae0ecb728fe7adce808dc51</t>
  </si>
  <si>
    <t>Article in press</t>
  </si>
  <si>
    <t>2-s2.0-85189625690</t>
  </si>
  <si>
    <t>Zhang Y.; Li X.R.; Wu T.S.</t>
  </si>
  <si>
    <t>Zhang, Yingsha (57216696602); Li, Xiang (Robert) (23397063000); Wu, Tong (Stoltzer) (57207836504)</t>
  </si>
  <si>
    <t>57216696602; 23397063000; 57207836504</t>
  </si>
  <si>
    <t>The impacts of cultural values on bilateral international tourist flows: a panel data gravity model</t>
  </si>
  <si>
    <t>10.1080/13683500.2017.1345870</t>
  </si>
  <si>
    <t>https://www.scopus.com/inward/record.uri?eid=2-s2.0-85023160232&amp;doi=10.1080%2f13683500.2017.1345870&amp;partnerID=40&amp;md5=23f867b9971330be4e0409042c006251</t>
  </si>
  <si>
    <t>2-s2.0-85023160232</t>
  </si>
  <si>
    <t>Giri J.; Moll G.</t>
  </si>
  <si>
    <t>Giri, Jayeeta (55994679200); Moll, Guido (41961439300)</t>
  </si>
  <si>
    <t>55994679200; 41961439300</t>
  </si>
  <si>
    <t>MSCs in Space: Mesenchymal Stromal Cell Therapeutics as Enabling Technology for Long-Distance Manned Space Travel</t>
  </si>
  <si>
    <t>Current Stem Cell Reports</t>
  </si>
  <si>
    <t>10.1007/s40778-022-00207-y</t>
  </si>
  <si>
    <t>https://www.scopus.com/inward/record.uri?eid=2-s2.0-85123470158&amp;doi=10.1007%2fs40778-022-00207-y&amp;partnerID=40&amp;md5=6e8b8781a4e9863a2a0803426cc8897c</t>
  </si>
  <si>
    <t>2-s2.0-85123470158</t>
  </si>
  <si>
    <t>Llorca-Vivero R.</t>
  </si>
  <si>
    <t>Llorca-Vivero, Rafael (14014229800)</t>
  </si>
  <si>
    <t>Terrorism and international tourism: New evidence</t>
  </si>
  <si>
    <t>Defence and Peace Economics</t>
  </si>
  <si>
    <t>10.1080/10242690701453917</t>
  </si>
  <si>
    <t>https://www.scopus.com/inward/record.uri?eid=2-s2.0-39049101634&amp;doi=10.1080%2f10242690701453917&amp;partnerID=40&amp;md5=2b7804413b728827148264b9dc935586</t>
  </si>
  <si>
    <t>2-s2.0-39049101634</t>
  </si>
  <si>
    <t>Voltes-Dorta A.; Jiménez J.L.; Suárez-Alemán A.</t>
  </si>
  <si>
    <t>Voltes-Dorta, Augusto (24337003000); Jiménez, Juan Luis (25646212100); Suárez-Alemán, Ancor (55489923700)</t>
  </si>
  <si>
    <t>24337003000; 25646212100; 55489923700</t>
  </si>
  <si>
    <t>The Impact of ETA’s Dissolution on Domestic Tourism in Spain</t>
  </si>
  <si>
    <t>10.1080/10242694.2015.1025485</t>
  </si>
  <si>
    <t>https://www.scopus.com/inward/record.uri?eid=2-s2.0-84961308475&amp;doi=10.1080%2f10242694.2015.1025485&amp;partnerID=40&amp;md5=dc7ef7ef6691538e821b143a6dadc587</t>
  </si>
  <si>
    <t>2-s2.0-84961308475</t>
  </si>
  <si>
    <t>Fourie J.; Santana-Gallego M.</t>
  </si>
  <si>
    <t>Fourie, Johan (55273842100); Santana-Gallego, María (36119110700)</t>
  </si>
  <si>
    <t>55273842100; 36119110700</t>
  </si>
  <si>
    <t>The determinants of African tourism</t>
  </si>
  <si>
    <t>Development Southern Africa</t>
  </si>
  <si>
    <t>10.1080/0376835X.2013.817302</t>
  </si>
  <si>
    <t>https://www.scopus.com/inward/record.uri?eid=2-s2.0-84883461281&amp;doi=10.1080%2f0376835X.2013.817302&amp;partnerID=40&amp;md5=da5ecedb4c4d91797f827147015d13fb</t>
  </si>
  <si>
    <t>2-s2.0-84883461281</t>
  </si>
  <si>
    <t>Balia S.; Brau R.; Marrocu E.</t>
  </si>
  <si>
    <t>Balia, Silvia (13007463800); Brau, Rinaldo (23466561700); Marrocu, Emanuela (6507084912)</t>
  </si>
  <si>
    <t>13007463800; 23466561700; 6507084912</t>
  </si>
  <si>
    <t>What drives patient mobility across Italian regions? Evidence from hospital discharge data.</t>
  </si>
  <si>
    <t>Developments in health economics and public policy</t>
  </si>
  <si>
    <t>10.1007/978-88-470-5480-6_6</t>
  </si>
  <si>
    <t>https://www.scopus.com/inward/record.uri?eid=2-s2.0-84902673500&amp;doi=10.1007%2f978-88-470-5480-6_6&amp;partnerID=40&amp;md5=c0efeea6742ba920584bafa9bc9cf11f</t>
  </si>
  <si>
    <t>2-s2.0-84902673500</t>
  </si>
  <si>
    <t>Moutinho L.; Curry B.</t>
  </si>
  <si>
    <t>Moutinho, Luiz (6602316538); Curry, Bruce (56250882000)</t>
  </si>
  <si>
    <t>6602316538; 56250882000</t>
  </si>
  <si>
    <t>Modelling Site Location Decisions in Tourism</t>
  </si>
  <si>
    <t>Developments in Marketing Science: Proceedings of the Academy of Marketing Science</t>
  </si>
  <si>
    <t>10.1007/978-3-319-17323-8_31</t>
  </si>
  <si>
    <t>https://www.scopus.com/inward/record.uri?eid=2-s2.0-85125705500&amp;doi=10.1007%2f978-3-319-17323-8_31&amp;partnerID=40&amp;md5=7f214d5e31d3cce3aa1e377eb1e0e627</t>
  </si>
  <si>
    <t>2-s2.0-85125705500</t>
  </si>
  <si>
    <t>Ikasari H.; Sugiyanto F.X.; Kurnia A.S.</t>
  </si>
  <si>
    <t>Ikasari, Hertiana (58169873500); Sugiyanto, F.X. (57193768454); Kurnia, Akhmad Syakir (57191853929)</t>
  </si>
  <si>
    <t>58169873500; 57193768454; 57191853929</t>
  </si>
  <si>
    <t>Model of International Tourism Demand in Indonesia During the Covid-19: Gravity Model Approach</t>
  </si>
  <si>
    <t>e-Review of Tourism Research</t>
  </si>
  <si>
    <t>https://www.scopus.com/inward/record.uri?eid=2-s2.0-85151560286&amp;partnerID=40&amp;md5=9741977365924cebf2e9961284495367</t>
  </si>
  <si>
    <t>2-s2.0-85151560286</t>
  </si>
  <si>
    <t>Fuxiang L.; Zitong Y.</t>
  </si>
  <si>
    <t>Fuxiang, Liu (57223041128); Zitong, Yu (57218917065)</t>
  </si>
  <si>
    <t>57223041128; 57218917065</t>
  </si>
  <si>
    <t>The regional economic spatial pattern of Northeast China and its economic integration trend based on network perspective</t>
  </si>
  <si>
    <t>E3S Web of Conferences</t>
  </si>
  <si>
    <t>10.1051/e3sconf/202125101109</t>
  </si>
  <si>
    <t>https://www.scopus.com/inward/record.uri?eid=2-s2.0-85104609454&amp;doi=10.1051%2fe3sconf%2f202125101109&amp;partnerID=40&amp;md5=cbfd65e91c669826d35f492a65f27634</t>
  </si>
  <si>
    <t>2-s2.0-85104609454</t>
  </si>
  <si>
    <t>Kligunov E.; Pozynich K.</t>
  </si>
  <si>
    <t>Kligunov, Evgeny (57214243530); Pozynich, Konstantin (57215432247)</t>
  </si>
  <si>
    <t>57214243530; 57215432247</t>
  </si>
  <si>
    <t>Modern ferry crossing as an important element in the development of eco-tourism in Sakhalin</t>
  </si>
  <si>
    <t>10.1051/e3sconf/202017510012</t>
  </si>
  <si>
    <t>https://www.scopus.com/inward/record.uri?eid=2-s2.0-85087858850&amp;doi=10.1051%2fe3sconf%2f202017510012&amp;partnerID=40&amp;md5=879b966215dcff19b6f69595017ba127</t>
  </si>
  <si>
    <t>2-s2.0-85087858850</t>
  </si>
  <si>
    <t>Vidishcheva E.; Dreizis Y.; Kopyrin A.; Gunare M.</t>
  </si>
  <si>
    <t>Vidishcheva, Evgeniya (55799809700); Dreizis, Yuriy (56165253400); Kopyrin, Andrey (57212441854); Gunare, Marina (57211217345)</t>
  </si>
  <si>
    <t>55799809700; 56165253400; 57212441854; 57211217345</t>
  </si>
  <si>
    <t>Identifying the Risks Impacting on the Sustainable Development of a Tourism Area</t>
  </si>
  <si>
    <t>10.1051/e3sconf/202020805018</t>
  </si>
  <si>
    <t>https://www.scopus.com/inward/record.uri?eid=2-s2.0-85097711039&amp;doi=10.1051%2fe3sconf%2f202020805018&amp;partnerID=40&amp;md5=c8ef20be47b4f833a5f220b5dd871093</t>
  </si>
  <si>
    <t>2-s2.0-85097711039</t>
  </si>
  <si>
    <t>Zgłobicki W.; Poesen J.; De Geeter S.; Boardman J.; Gawrysiak L.; Golosov V.; Ionita I.; Niacsu L.; Rodzik J.; Stankoviansky M.; Stolz C.</t>
  </si>
  <si>
    <t>Zgłobicki, Wojciech (55934973900); Poesen, Jean (57203077290); De Geeter, Sofie (57216151768); Boardman, John (7005757696); Gawrysiak, Leszek (6508280542); Golosov, Valentin (7003600463); Ionita, Ion (15069300900); Niacsu, Lilian (55364603900); Rodzik, Jan (26647691000); Stankoviansky, Miloš (55959705900); Stolz, Christian (25229531700)</t>
  </si>
  <si>
    <t>55934973900; 57203077290; 57216151768; 7005757696; 6508280542; 7003600463; 15069300900; 55364603900; 26647691000; 55959705900; 25229531700</t>
  </si>
  <si>
    <t>Sunken lanes - Development and functions in landscapes</t>
  </si>
  <si>
    <t>Earth-Science Reviews</t>
  </si>
  <si>
    <t>10.1016/j.earscirev.2021.103757</t>
  </si>
  <si>
    <t>https://www.scopus.com/inward/record.uri?eid=2-s2.0-85112293114&amp;doi=10.1016%2fj.earscirev.2021.103757&amp;partnerID=40&amp;md5=1773804c5731a49b67e4bcb41518becb</t>
  </si>
  <si>
    <t>2-s2.0-85112293114</t>
  </si>
  <si>
    <t>de Frutos P.; Rodriguez-Prado B.; Latorre J.; Martinez-Peña F.</t>
  </si>
  <si>
    <t>de Frutos, Pablo (35329484800); Rodriguez-Prado, Beatriz (16408878600); Latorre, Joaquín (56670918500); Martinez-Peña, Fernando (14021470500)</t>
  </si>
  <si>
    <t>35329484800; 16408878600; 56670918500; 14021470500</t>
  </si>
  <si>
    <t>A Gravity Model to Explain Flows of Wild Edible Mushroom Picking. A Panel Data Analysis</t>
  </si>
  <si>
    <t>Ecological Economics</t>
  </si>
  <si>
    <t>10.1016/j.ecolecon.2018.09.017</t>
  </si>
  <si>
    <t>https://www.scopus.com/inward/record.uri?eid=2-s2.0-85054002687&amp;doi=10.1016%2fj.ecolecon.2018.09.017&amp;partnerID=40&amp;md5=2d0b3ad73f8ff2487467375ef8c4434d</t>
  </si>
  <si>
    <t>2-s2.0-85054002687</t>
  </si>
  <si>
    <t>Ma M.; Tang J.</t>
  </si>
  <si>
    <t>Ma, Mengyao (57813411600); Tang, Jianxiong (56255475100)</t>
  </si>
  <si>
    <t>57813411600; 56255475100</t>
  </si>
  <si>
    <t>Interactive coercive relationship and spatio-temporal coupling coordination degree between tourism urbanization and eco-environment: A case study in Western China</t>
  </si>
  <si>
    <t>Ecological Indicators</t>
  </si>
  <si>
    <t>10.1016/j.ecolind.2022.109149</t>
  </si>
  <si>
    <t>https://www.scopus.com/inward/record.uri?eid=2-s2.0-85135816251&amp;doi=10.1016%2fj.ecolind.2022.109149&amp;partnerID=40&amp;md5=527b26c20cce649691b8a76e1f42f846</t>
  </si>
  <si>
    <t>2-s2.0-85135816251</t>
  </si>
  <si>
    <t>Yin Z.; Tang Y.; Liu H.; Dai L.</t>
  </si>
  <si>
    <t>Yin, Zhangxin (36643144300); Tang, Yueliang (58611841500); Liu, Hanni (58612161600); Dai, Liuyan (57221123924)</t>
  </si>
  <si>
    <t>36643144300; 58611841500; 58612161600; 57221123924</t>
  </si>
  <si>
    <t>Coupling coordination relationship between tourism economy-social welfare-ecological environment: Empirical analysis of Western Area, China</t>
  </si>
  <si>
    <t>10.1016/j.ecolind.2023.110938</t>
  </si>
  <si>
    <t>https://www.scopus.com/inward/record.uri?eid=2-s2.0-85171863957&amp;doi=10.1016%2fj.ecolind.2023.110938&amp;partnerID=40&amp;md5=409326c8b15c90a9c2dab0ab51cbaedf</t>
  </si>
  <si>
    <t>2-s2.0-85171863957</t>
  </si>
  <si>
    <t>Zheng X.; Yang Z.; Zhang X.; Wang T.; Chen X.; Wang C.</t>
  </si>
  <si>
    <t>Zheng, Xin (57207379809); Yang, Zhaoping (59157705200); Zhang, Xiaoyao (57222375255); Wang, Tian (57445416000); Chen, Xiaodong (36552055500); Wang, Cuirong (18433709300)</t>
  </si>
  <si>
    <t>57207379809; 59157705200; 57222375255; 57445416000; 36552055500; 18433709300</t>
  </si>
  <si>
    <t>Spatiotemporal evolution and influencing factors of provincial tourism ecological security in China</t>
  </si>
  <si>
    <t>10.1016/j.ecolind.2023.110114</t>
  </si>
  <si>
    <t>https://www.scopus.com/inward/record.uri?eid=2-s2.0-85149743328&amp;doi=10.1016%2fj.ecolind.2023.110114&amp;partnerID=40&amp;md5=164a03e24352c14f34ca415255bb5c06</t>
  </si>
  <si>
    <t>2-s2.0-85149743328</t>
  </si>
  <si>
    <t>Douma J.C.; Pautasso M.; Venette R.C.; Robinet C.; Hemerik L.; Mourits M.C.M.; Schans J.; van der Werf W.</t>
  </si>
  <si>
    <t>Douma, J.C. (37121762900); Pautasso, M. (23036345600); Venette, R.C. (6701724814); Robinet, C. (16507987400); Hemerik, L. (6701705132); Mourits, M.C.M. (7005572237); Schans, J. (6506516657); van der Werf, W. (57189049178)</t>
  </si>
  <si>
    <t>37121762900; 23036345600; 6701724814; 16507987400; 6701705132; 7005572237; 6506516657; 57189049178</t>
  </si>
  <si>
    <t>Pathway models for analysing and managing the introduction of alien plant pests—an overview and categorization</t>
  </si>
  <si>
    <t>Ecological Modelling</t>
  </si>
  <si>
    <t>10.1016/j.ecolmodel.2016.08.009</t>
  </si>
  <si>
    <t>https://www.scopus.com/inward/record.uri?eid=2-s2.0-84985930402&amp;doi=10.1016%2fj.ecolmodel.2016.08.009&amp;partnerID=40&amp;md5=16a517d4ba63fc5ad7cd128275433722</t>
  </si>
  <si>
    <t>2-s2.0-84985930402</t>
  </si>
  <si>
    <t>Sardak S.; Samoylenko A.</t>
  </si>
  <si>
    <t>Sardak, Sergii (41262374500); Samoylenko, Alla (56606106600)</t>
  </si>
  <si>
    <t>41262374500; 56606106600</t>
  </si>
  <si>
    <t>National economies intellectualization evaluating in the world economy</t>
  </si>
  <si>
    <t>Economic Annals-XXI</t>
  </si>
  <si>
    <t>https://www.scopus.com/inward/record.uri?eid=2-s2.0-84928479296&amp;partnerID=40&amp;md5=0ec0d4cbbac73a307d8a22c1a5c1ca1a</t>
  </si>
  <si>
    <t>2-s2.0-84928479296</t>
  </si>
  <si>
    <t>Okafor L.E.; Adeola O.; Folarin O.</t>
  </si>
  <si>
    <t>Okafor, Luke Emeka (35208798600); Adeola, Ogechi (57189657461); Folarin, Oludele (57197716620)</t>
  </si>
  <si>
    <t>35208798600; 57189657461; 57197716620</t>
  </si>
  <si>
    <t>Natural Disasters, Geography, and International Tourism</t>
  </si>
  <si>
    <t>Economic Effects of Natural Disasters: Theoretical Foundations, Methods, and Tools</t>
  </si>
  <si>
    <t>10.1016/B978-0-12-817465-4.00005-4</t>
  </si>
  <si>
    <t>https://www.scopus.com/inward/record.uri?eid=2-s2.0-85102204262&amp;doi=10.1016%2fB978-0-12-817465-4.00005-4&amp;partnerID=40&amp;md5=bae783a84b76e98a5bae793d6a7864be</t>
  </si>
  <si>
    <t>2-s2.0-85102204262</t>
  </si>
  <si>
    <t>Nijkamp P.</t>
  </si>
  <si>
    <t>Nijkamp, Peter (7102958684)</t>
  </si>
  <si>
    <t>The death of distance</t>
  </si>
  <si>
    <t>Economic Ideas You Should Forget</t>
  </si>
  <si>
    <t>10.1007/978-3-319-47458-8_40</t>
  </si>
  <si>
    <t>https://www.scopus.com/inward/record.uri?eid=2-s2.0-85028466262&amp;doi=10.1007%2f978-3-319-47458-8_40&amp;partnerID=40&amp;md5=c5dc919709bcb79082c6a6e2caf4ddaa</t>
  </si>
  <si>
    <t>2-s2.0-85028466262</t>
  </si>
  <si>
    <t>Manrique-de-Lara-Peñate C.; Santana Gallego M.; Valle E.V.</t>
  </si>
  <si>
    <t>Manrique-de-Lara-Peñate, Casiano (6506539491); Santana Gallego, María (36119110700); Valle, Elisabeth Valle (23091788400)</t>
  </si>
  <si>
    <t>6506539491; 36119110700; 23091788400</t>
  </si>
  <si>
    <t>The economic impact of global uncertainty and security threats on international tourism</t>
  </si>
  <si>
    <t>Economic Modelling</t>
  </si>
  <si>
    <t>10.1016/j.econmod.2022.105892</t>
  </si>
  <si>
    <t>https://www.scopus.com/inward/record.uri?eid=2-s2.0-85130714151&amp;doi=10.1016%2fj.econmod.2022.105892&amp;partnerID=40&amp;md5=3b63f4fdfa96cdf10814bf162e82d093</t>
  </si>
  <si>
    <t>2-s2.0-85130714151</t>
  </si>
  <si>
    <t>Paniagua J.; Peiró-Palomino J.; Santana-Gallego M.</t>
  </si>
  <si>
    <t>Paniagua, Jordi (55760363400); Peiró-Palomino, Jesús (55898754000); Santana-Gallego, María (36119110700)</t>
  </si>
  <si>
    <t>55760363400; 55898754000; 36119110700</t>
  </si>
  <si>
    <t>Does happiness drive tourism decisions?</t>
  </si>
  <si>
    <t>10.1016/j.econmod.2022.105824</t>
  </si>
  <si>
    <t>https://www.scopus.com/inward/record.uri?eid=2-s2.0-85126544570&amp;doi=10.1016%2fj.econmod.2022.105824&amp;partnerID=40&amp;md5=c210928f5f7c8de08e20e85cc93743f5</t>
  </si>
  <si>
    <t>2-s2.0-85126544570</t>
  </si>
  <si>
    <t>Rosselló J.; Santana-Gallego M.</t>
  </si>
  <si>
    <t>Rosselló, Jaume (57220022951); Santana-Gallego, María (36119110700)</t>
  </si>
  <si>
    <t>57220022951; 36119110700</t>
  </si>
  <si>
    <t>The effect of visa types on international tourism</t>
  </si>
  <si>
    <t>10.1016/j.econmod.2024.106757</t>
  </si>
  <si>
    <t>https://www.scopus.com/inward/record.uri?eid=2-s2.0-85193821650&amp;doi=10.1016%2fj.econmod.2024.106757&amp;partnerID=40&amp;md5=cbf51871a38b70496754560e209787bb</t>
  </si>
  <si>
    <t>2-s2.0-85193821650</t>
  </si>
  <si>
    <t>Santana-Gallego, María (36119110700); Ledesma-Rodríguez, Francisco J. (9243645400); Pérez-Rodríguez, Jorge V. (56216749800)</t>
  </si>
  <si>
    <t>International trade and tourism flows: An extension of the gravity model</t>
  </si>
  <si>
    <t>10.1016/j.econmod.2015.10.043</t>
  </si>
  <si>
    <t>https://www.scopus.com/inward/record.uri?eid=2-s2.0-84958670531&amp;doi=10.1016%2fj.econmod.2015.10.043&amp;partnerID=40&amp;md5=37a80c5b0a12a4c015fe9c6704bb6532</t>
  </si>
  <si>
    <t>2-s2.0-84958670531</t>
  </si>
  <si>
    <t>Ibragimov K.; Perles-Ribes J.; Ramón-Rodríguez A.</t>
  </si>
  <si>
    <t>Ibragimov, Khusen (57223048310); Perles-Ribes, José (36682818000); Ramón-Rodríguez, Ana (8284283100)</t>
  </si>
  <si>
    <t>57223048310; 36682818000; 8284283100</t>
  </si>
  <si>
    <t>The impact of governance quality on inbound tourism demand of Central Asia</t>
  </si>
  <si>
    <t>Economics Bulletin</t>
  </si>
  <si>
    <t>https://www.scopus.com/inward/record.uri?eid=2-s2.0-85206488099&amp;partnerID=40&amp;md5=fb1bbdc5317c4bfa96948c55eb1a49c3</t>
  </si>
  <si>
    <t>2-s2.0-85206488099</t>
  </si>
  <si>
    <t>Salahodjaev R.</t>
  </si>
  <si>
    <t>Salahodjaev, Raufhon (56507435000)</t>
  </si>
  <si>
    <t>Effect of TV shows on outbound tourism: Empirical evidence from Ukraine</t>
  </si>
  <si>
    <t>https://www.scopus.com/inward/record.uri?eid=2-s2.0-84983293014&amp;partnerID=40&amp;md5=e196a7b5cbc99367335395d22ea12168</t>
  </si>
  <si>
    <t>2-s2.0-84983293014</t>
  </si>
  <si>
    <t>Faustino H.C.; Peixoto J.</t>
  </si>
  <si>
    <t>Faustino, Horácio C. (17343210400); Peixoto, João (7003854820)</t>
  </si>
  <si>
    <t>17343210400; 7003854820</t>
  </si>
  <si>
    <t>Immigration-trade links: Evidence from Portugal</t>
  </si>
  <si>
    <t>Ekonomska Istrazivanja</t>
  </si>
  <si>
    <t>10.1080/1331677x.2013.11517595</t>
  </si>
  <si>
    <t>https://www.scopus.com/inward/record.uri?eid=2-s2.0-84879001379&amp;doi=10.1080%2f1331677x.2013.11517595&amp;partnerID=40&amp;md5=a01d4e83877347b3da34f4ebac0138e4</t>
  </si>
  <si>
    <t>All Open Access; Bronze Open Access; Green Open Access</t>
  </si>
  <si>
    <t>2-s2.0-84879001379</t>
  </si>
  <si>
    <t>Shahriar S.</t>
  </si>
  <si>
    <t>Shahriar, Saleh (57205437091)</t>
  </si>
  <si>
    <t>Gravity Model</t>
  </si>
  <si>
    <t>Encyclopedia of Tourism Management and Marketing: Volume 1-4</t>
  </si>
  <si>
    <t>10.4337/9781800377486.gravity.model</t>
  </si>
  <si>
    <t>https://www.scopus.com/inward/record.uri?eid=2-s2.0-85206916865&amp;doi=10.4337%2f9781800377486.gravity.model&amp;partnerID=40&amp;md5=b7863b3e93c7ae9936d6c63767d0ba4e</t>
  </si>
  <si>
    <t>2-s2.0-85206916865</t>
  </si>
  <si>
    <t>Nathan S.</t>
  </si>
  <si>
    <t>Nathan, Stuart (59055478600)</t>
  </si>
  <si>
    <t>One step beyond</t>
  </si>
  <si>
    <t>Engineer</t>
  </si>
  <si>
    <t>https://www.scopus.com/inward/record.uri?eid=2-s2.0-44649101886&amp;partnerID=40&amp;md5=5d0a24d3a0f39b7bb0ea7b463800266f</t>
  </si>
  <si>
    <t>2-s2.0-44649101886</t>
  </si>
  <si>
    <t>Iannucci R.; Lenti L.; Martino S.</t>
  </si>
  <si>
    <t>Iannucci, Roberto (56676148000); Lenti, Luca (25925239200); Martino, Salvatore (7007143426)</t>
  </si>
  <si>
    <t>56676148000; 25925239200; 7007143426</t>
  </si>
  <si>
    <t>Seismic monitoring system for landslide hazard assessment and risk management at the drainage plant of the Peschiera Springs (Central Italy)</t>
  </si>
  <si>
    <t>Engineering Geology</t>
  </si>
  <si>
    <t>10.1016/j.enggeo.2020.105787</t>
  </si>
  <si>
    <t>https://www.scopus.com/inward/record.uri?eid=2-s2.0-85089440618&amp;doi=10.1016%2fj.enggeo.2020.105787&amp;partnerID=40&amp;md5=e8beba7938ab30e0183991a23a053470</t>
  </si>
  <si>
    <t>2-s2.0-85089440618</t>
  </si>
  <si>
    <t>de Graaff T.; Boter J.; Rouwendal J.</t>
  </si>
  <si>
    <t>de Graaff, Thomas (6506187528); Boter, Jaap (8667905800); Rouwendal, Jan (6603797412)</t>
  </si>
  <si>
    <t>6506187528; 8667905800; 6603797412</t>
  </si>
  <si>
    <t>On spatial differences in the attractiveness of Dutch museums</t>
  </si>
  <si>
    <t>Environment and Planning A</t>
  </si>
  <si>
    <t>10.1068/a41240</t>
  </si>
  <si>
    <t>https://www.scopus.com/inward/record.uri?eid=2-s2.0-70350560594&amp;doi=10.1068%2fa41240&amp;partnerID=40&amp;md5=e33f0eb2d5b8b6234d79c76ae4ae9668</t>
  </si>
  <si>
    <t>2-s2.0-70350560594</t>
  </si>
  <si>
    <t>Maldonado A.; Wachowicz M.; Vaźquez-Hoehne A.</t>
  </si>
  <si>
    <t>Maldonado, Ana (53863971500); Wachowicz, Monica (23052735900); Vaźquez-Hoehne, Antonio (53864342200)</t>
  </si>
  <si>
    <t>53863971500; 23052735900; 53864342200</t>
  </si>
  <si>
    <t>Movement surface: A multilevel approach for predicting visitor movement in nature areas</t>
  </si>
  <si>
    <t>Environment and Planning B: Planning and Design</t>
  </si>
  <si>
    <t>10.1068/b36022</t>
  </si>
  <si>
    <t>https://www.scopus.com/inward/record.uri?eid=2-s2.0-80054765879&amp;doi=10.1068%2fb36022&amp;partnerID=40&amp;md5=5f0cd8b1430879439f9568b361356f8b</t>
  </si>
  <si>
    <t>2-s2.0-80054765879</t>
  </si>
  <si>
    <t>Jin C.; Xu J.</t>
  </si>
  <si>
    <t>Jin, Cheng (35113161200); Xu, Jing (57201874547)</t>
  </si>
  <si>
    <t>35113161200; 57201874547</t>
  </si>
  <si>
    <t>Using user-generated content data to analyze tourist mobility between hotels and attractions in cities</t>
  </si>
  <si>
    <t>Environment and Planning B: Urban Analytics and City Science</t>
  </si>
  <si>
    <t>10.1177/2399808318811666</t>
  </si>
  <si>
    <t>https://www.scopus.com/inward/record.uri?eid=2-s2.0-85059458918&amp;doi=10.1177%2f2399808318811666&amp;partnerID=40&amp;md5=6f908f45b62ec2c5d04e8cb7a8b5d161</t>
  </si>
  <si>
    <t>2-s2.0-85059458918</t>
  </si>
  <si>
    <t>Cobos-Mora S.L.; Guamán-Aucapiña J.; Zúñiga-Ruiz J.</t>
  </si>
  <si>
    <t>Cobos-Mora, Sandra L. (57217296815); Guamán-Aucapiña, José (57421960000); Zúñiga-Ruiz, Jonathan (57422549000)</t>
  </si>
  <si>
    <t>57217296815; 57421960000; 57422549000</t>
  </si>
  <si>
    <t>Suitable site selection for transfer stations in a solid waste management system using analytical hierarchy process as a multi-criteria decision analysis: a case study in Azuay-Ecuador</t>
  </si>
  <si>
    <t>Environment, Development and Sustainability</t>
  </si>
  <si>
    <t>10.1007/s10668-022-02134-8</t>
  </si>
  <si>
    <t>https://www.scopus.com/inward/record.uri?eid=2-s2.0-85123307667&amp;doi=10.1007%2fs10668-022-02134-8&amp;partnerID=40&amp;md5=ed3933b063fff27358e234cc2ed0b719</t>
  </si>
  <si>
    <t>2-s2.0-85123307667</t>
  </si>
  <si>
    <t>Menegaki A.N.; Tsounis N.; Agiomirgianakis G.M.</t>
  </si>
  <si>
    <t>Menegaki, Angeliki N. (16053108400); Tsounis, Nicholas (6507570207); Agiomirgianakis, George M. (6602861377)</t>
  </si>
  <si>
    <t>16053108400; 6507570207; 6602861377</t>
  </si>
  <si>
    <t>The economic impact of climate change (CC) on the Greek economy</t>
  </si>
  <si>
    <t>10.1007/s10668-021-01776-4</t>
  </si>
  <si>
    <t>https://www.scopus.com/inward/record.uri?eid=2-s2.0-85113837935&amp;doi=10.1007%2fs10668-021-01776-4&amp;partnerID=40&amp;md5=e92996f17e80b44ba6c12c5b9a631fa0</t>
  </si>
  <si>
    <t>2-s2.0-85113837935</t>
  </si>
  <si>
    <t>Tan Y.; Xiang P.; Liu S.; Yu L.</t>
  </si>
  <si>
    <t>Tan, Ye (57455202500); Xiang, Pingan (55031045600); Liu, Shuning (57218168202); Yu, Liang (59107102700)</t>
  </si>
  <si>
    <t>57455202500; 55031045600; 57218168202; 59107102700</t>
  </si>
  <si>
    <t>Evaluating provincial tourism competitiveness in China: an empirical application based on the EM-MGM-SNA model</t>
  </si>
  <si>
    <t>10.1007/s10668-021-02064-x</t>
  </si>
  <si>
    <t>https://www.scopus.com/inward/record.uri?eid=2-s2.0-85124767344&amp;doi=10.1007%2fs10668-021-02064-x&amp;partnerID=40&amp;md5=0f26557e6f9e23103d3e8198b038cfcf</t>
  </si>
  <si>
    <t>2-s2.0-85124767344</t>
  </si>
  <si>
    <t>Ebrahimi A.; Mehraban Y.; Omidvarborna H.; Vakilinejad A.; Al-Sayigh A.R.S.</t>
  </si>
  <si>
    <t>Ebrahimi, A. (57200731144); Mehraban, Yousef (57222383736); Omidvarborna, Hamid (26027539300); Vakilinejad, Ali (57200694666); Al-Sayigh, Abdul Razak S. (14423912000)</t>
  </si>
  <si>
    <t>57200731144; 57222383736; 26027539300; 57200694666; 14423912000</t>
  </si>
  <si>
    <t>Kariz (Ancient Aqueduct) system: a review on geoengineering and environmental studies</t>
  </si>
  <si>
    <t>Environmental Earth Sciences</t>
  </si>
  <si>
    <t>10.1007/s12665-021-09545-2</t>
  </si>
  <si>
    <t>https://www.scopus.com/inward/record.uri?eid=2-s2.0-85102590325&amp;doi=10.1007%2fs12665-021-09545-2&amp;partnerID=40&amp;md5=798ec61eb5fb2ff0b68979e7b5da4d70</t>
  </si>
  <si>
    <t>2-s2.0-85102590325</t>
  </si>
  <si>
    <t>Metawee M.; Araffa S.A.S.; Othman A.; Alfy M.E.</t>
  </si>
  <si>
    <t>Metawee, Mona (59403117200); Araffa, Sultan A. S. (15124838800); Othman, Amal (57204785414); Alfy, Mohamed El (36068904100)</t>
  </si>
  <si>
    <t>59403117200; 15124838800; 57204785414; 36068904100</t>
  </si>
  <si>
    <t>Geophysical and geospatial insights into surface and subsurface characteristics for groundwater potential analysis, Ras Sudr, West Sinai, Egypt</t>
  </si>
  <si>
    <t>10.1007/s12665-024-11915-5</t>
  </si>
  <si>
    <t>https://www.scopus.com/inward/record.uri?eid=2-s2.0-85208598018&amp;doi=10.1007%2fs12665-024-11915-5&amp;partnerID=40&amp;md5=e5d9ccd93f9c593494ceca68933a97aa</t>
  </si>
  <si>
    <t>2-s2.0-85208598018</t>
  </si>
  <si>
    <t>Shi S.; Liu G.</t>
  </si>
  <si>
    <t>Shi, Song (57441019000); Liu, Guilin (57441320400)</t>
  </si>
  <si>
    <t>57441019000; 57441320400</t>
  </si>
  <si>
    <t>Spatial matching relationship between health tourism destinations and population aging in the Yangtze River Delta Urban Agglomeration</t>
  </si>
  <si>
    <t>Environmental Research Communications</t>
  </si>
  <si>
    <t>10.1088/2515-7620/acf3d4</t>
  </si>
  <si>
    <t>https://www.scopus.com/inward/record.uri?eid=2-s2.0-85171154512&amp;doi=10.1088%2f2515-7620%2facf3d4&amp;partnerID=40&amp;md5=0542c746e9f163af2c9bd43e79a6f093</t>
  </si>
  <si>
    <t>2-s2.0-85171154512</t>
  </si>
  <si>
    <t>Awange J.L.; Kyalo Kiema J.B.</t>
  </si>
  <si>
    <t>Awange, Joseph L. (6603092635); Kyalo Kiema, John B. (55892738600)</t>
  </si>
  <si>
    <t>6603092635; 55892738600</t>
  </si>
  <si>
    <t>Water Resources</t>
  </si>
  <si>
    <t>Environmental Science and Engineering</t>
  </si>
  <si>
    <t>10.1007/978-3-642-34085-7_22</t>
  </si>
  <si>
    <t>https://www.scopus.com/inward/record.uri?eid=2-s2.0-85108432643&amp;doi=10.1007%2f978-3-642-34085-7_22&amp;partnerID=40&amp;md5=da5d9faf09506b427beea10950c390d0</t>
  </si>
  <si>
    <t>2-s2.0-85108432643</t>
  </si>
  <si>
    <t>Huang L.; Wang D.; He C.</t>
  </si>
  <si>
    <t>Huang, Lei (57244236900); Wang, Dongrui (57776719600); He, Chunli (57243816600)</t>
  </si>
  <si>
    <t>57244236900; 57776719600; 57243816600</t>
  </si>
  <si>
    <t>Ecological security assessment and ecological pattern optimization for Lhasa city (Tibet) based on the minimum cumulative resistance model</t>
  </si>
  <si>
    <t>Environmental Science and Pollution Research</t>
  </si>
  <si>
    <t>10.1007/s11356-022-21511-4</t>
  </si>
  <si>
    <t>https://www.scopus.com/inward/record.uri?eid=2-s2.0-85133235457&amp;doi=10.1007%2fs11356-022-21511-4&amp;partnerID=40&amp;md5=c0ba79adc74020a143e4e0b1c0ff2c2a</t>
  </si>
  <si>
    <t>2-s2.0-85133235457</t>
  </si>
  <si>
    <t>Yang X.; Zhang D.; Liu L.; Niu J.; Zhang X.; Wang X.</t>
  </si>
  <si>
    <t>Yang, Xiuping (55539815700); Zhang, Dacheng (57209209495); Liu, Lili (57357256500); Niu, Jing (57357260600); Zhang, Xiaobo (57357256600); Wang, Xiaoyun (57357258800)</t>
  </si>
  <si>
    <t>55539815700; 57209209495; 57357256500; 57357260600; 57357256600; 57357258800</t>
  </si>
  <si>
    <t>Development trajectory for the temporal and spatial evolution of the resilience of regional tourism environmental systems in 14 cities of Gansu Province, China</t>
  </si>
  <si>
    <t>10.1007/s11356-021-14932-0</t>
  </si>
  <si>
    <t>https://www.scopus.com/inward/record.uri?eid=2-s2.0-85115206074&amp;doi=10.1007%2fs11356-021-14932-0&amp;partnerID=40&amp;md5=7bc6aa83e743690e4a64ade0b81c5546</t>
  </si>
  <si>
    <t>2-s2.0-85115206074</t>
  </si>
  <si>
    <t>Guo H.; Zhang W.; Du H.; Kang C.; Liu Y.</t>
  </si>
  <si>
    <t>Guo, Hao (57745989100); Zhang, Weiyu (57814611300); Du, Haode (57554654300); Kang, Chaogui (36610437100); Liu, Yu (55742311000)</t>
  </si>
  <si>
    <t>57745989100; 57814611300; 57554654300; 36610437100; 55742311000</t>
  </si>
  <si>
    <t>Understanding China’s urban system evolution from web search index data</t>
  </si>
  <si>
    <t>EPJ Data Science</t>
  </si>
  <si>
    <t>10.1140/epjds/s13688-022-00332-y</t>
  </si>
  <si>
    <t>https://www.scopus.com/inward/record.uri?eid=2-s2.0-85127254900&amp;doi=10.1140%2fepjds%2fs13688-022-00332-y&amp;partnerID=40&amp;md5=31f6cd2a30f9a2b8f4f1de2c8043324f</t>
  </si>
  <si>
    <t>2-s2.0-85127254900</t>
  </si>
  <si>
    <t>Artal-Tur A.; Pallardó-López V.J.; Requena-Silvente F.</t>
  </si>
  <si>
    <t>Artal-Tur, Andrés (35848351600); Pallardó-López, Vicente J. (55201194500); Requena-Silvente, Francisco (55663201200)</t>
  </si>
  <si>
    <t>35848351600; 55201194500; 55663201200</t>
  </si>
  <si>
    <t>Examining the impact of visa restrictions on international tourist flows using panel data; [El impacto de la política de visados sobre los flujos internacionales de turistas: Un análisis con datos de panel]</t>
  </si>
  <si>
    <t>Estudios de Economia</t>
  </si>
  <si>
    <t>10.4067/S0718-52862016000200005</t>
  </si>
  <si>
    <t>https://www.scopus.com/inward/record.uri?eid=2-s2.0-85009761203&amp;doi=10.4067%2fS0718-52862016000200005&amp;partnerID=40&amp;md5=76e6abb10bde2dee30da89f9e2f04dba</t>
  </si>
  <si>
    <t>2-s2.0-85009761203</t>
  </si>
  <si>
    <t>Ravenscroft N.</t>
  </si>
  <si>
    <t>Ravenscroft, Neil (7003951294)</t>
  </si>
  <si>
    <t>The environmental impact of recreation and tourism development: A review</t>
  </si>
  <si>
    <t>European Environment</t>
  </si>
  <si>
    <t>10.1002/eet.3320020205</t>
  </si>
  <si>
    <t>https://www.scopus.com/inward/record.uri?eid=2-s2.0-0026453715&amp;doi=10.1002%2feet.3320020205&amp;partnerID=40&amp;md5=ff11433e39969c49832d5299fc209fd0</t>
  </si>
  <si>
    <t>2-s2.0-0026453715</t>
  </si>
  <si>
    <t>Limper U.; Tank J.; Ahnert T.; Maegele M.; Grottke O.; Hein M.; Jordan J.</t>
  </si>
  <si>
    <t>Limper, Ulrich (45261303100); Tank, Jens (55303533500); Ahnert, Tobias (57221210775); Maegele, Marc (8415535600); Grottke, Oliver (57207902661); Hein, Marc (8625461600); Jordan, Jens (57203593887)</t>
  </si>
  <si>
    <t>45261303100; 55303533500; 57221210775; 8415535600; 57207902661; 8625461600; 57203593887</t>
  </si>
  <si>
    <t>The thrombotic risk of spaceflight: Has a serious problem been overlooked for more than half of a century?</t>
  </si>
  <si>
    <t>European Heart Journal</t>
  </si>
  <si>
    <t>10.1093/eurheartj/ehaa359</t>
  </si>
  <si>
    <t>https://www.scopus.com/inward/record.uri?eid=2-s2.0-85100070021&amp;doi=10.1093%2feurheartj%2fehaa359&amp;partnerID=40&amp;md5=bb949b6edf4c03562e34174585b8bee1</t>
  </si>
  <si>
    <t>2-s2.0-85100070021</t>
  </si>
  <si>
    <t>Marti L.; Puertas R.</t>
  </si>
  <si>
    <t>Marti, Luisa (36696843700); Puertas, Rosa (36129671300)</t>
  </si>
  <si>
    <t>36696843700; 36129671300</t>
  </si>
  <si>
    <t>Determinants of tourist arrivals in European Mediterranean countries: Analysis of competitiveness</t>
  </si>
  <si>
    <t>European Journal of Tourism Research</t>
  </si>
  <si>
    <t>https://www.scopus.com/inward/record.uri?eid=2-s2.0-85015864346&amp;partnerID=40&amp;md5=71fe0c5391948fef6d0508d13bb5c1ef</t>
  </si>
  <si>
    <t>2-s2.0-85015864346</t>
  </si>
  <si>
    <t>Baral L.B.; Nakarmi J.J.; Poudyal K.N.; Karki N.R.; Nalmpantis D.</t>
  </si>
  <si>
    <t>Baral, Lok B. (59290197600); Nakarmi, Jeevan J. (35115267400); Poudyal, Khem N. (6504065311); Karki, Nava R. (8589489400); Nalmpantis, Dimitrios (8892417900)</t>
  </si>
  <si>
    <t>59290197600; 35115267400; 6504065311; 8589489400; 8892417900</t>
  </si>
  <si>
    <t>Gravity and muscle force operated surface ropeway: an efficient, cheap, and eco-friendly transport mode for mountainous countries</t>
  </si>
  <si>
    <t>European Physical Journal Plus</t>
  </si>
  <si>
    <t>10.1140/epjp/i2019-12438-0</t>
  </si>
  <si>
    <t>https://www.scopus.com/inward/record.uri?eid=2-s2.0-85061274482&amp;doi=10.1140%2fepjp%2fi2019-12438-0&amp;partnerID=40&amp;md5=0510d0bb6dc9b8b8a18d759cd3d6a573</t>
  </si>
  <si>
    <t>2-s2.0-85061274482</t>
  </si>
  <si>
    <t>Santana-Gallego M.; Ledesma-Rodríguez F.; Pérez-Rodríguez J.</t>
  </si>
  <si>
    <t>Santana-Gallego, María (36119110700); Ledesma-Rodríguez, Francisco (9243645400); Pérez-Rodríguez, Jorge (56216749800)</t>
  </si>
  <si>
    <t>The euro effect: Tourism creation, tourism diversion and tourism potential within the European Union</t>
  </si>
  <si>
    <t>European Union Politics</t>
  </si>
  <si>
    <t>10.1177/1465116515600533</t>
  </si>
  <si>
    <t>https://www.scopus.com/inward/record.uri?eid=2-s2.0-84958159109&amp;doi=10.1177%2f1465116515600533&amp;partnerID=40&amp;md5=624e5fb246644b1e9b0e6a261e1c463a</t>
  </si>
  <si>
    <t>2-s2.0-84958159109</t>
  </si>
  <si>
    <t>Jażdżewska I.A.</t>
  </si>
  <si>
    <t>Jażdżewska, Iwona A (15065314700)</t>
  </si>
  <si>
    <t>The use of centrographic measures in analysing the dispersion of historic factories, villas and palaces in ŁÓdŹ (Poland)</t>
  </si>
  <si>
    <t>Folia Geographica</t>
  </si>
  <si>
    <t>https://www.scopus.com/inward/record.uri?eid=2-s2.0-85057195393&amp;partnerID=40&amp;md5=661a46868138ff2847e3d1901e4c3454</t>
  </si>
  <si>
    <t>2-s2.0-85057195393</t>
  </si>
  <si>
    <t>Luo P.; Han X.; Chen N.</t>
  </si>
  <si>
    <t>Luo, Pingjia (36716602100); Han, Xueqi (57612861600); Chen, Ning (54779438300)</t>
  </si>
  <si>
    <t>36716602100; 57612861600; 54779438300</t>
  </si>
  <si>
    <t>Study on Complexity Planning Model of Pumped Storage in Abandoned Open-Pit Mine: A Case Study of Fushun Open-Pit Mine</t>
  </si>
  <si>
    <t>Frontiers in Earth Science</t>
  </si>
  <si>
    <t>10.3389/feart.2022.808371</t>
  </si>
  <si>
    <t>https://www.scopus.com/inward/record.uri?eid=2-s2.0-85128716981&amp;doi=10.3389%2ffeart.2022.808371&amp;partnerID=40&amp;md5=4e6ab9d65d682bf2b8c950717155bd9c</t>
  </si>
  <si>
    <t>2-s2.0-85128716981</t>
  </si>
  <si>
    <t>Wilson S.L.; Schulte K.-M.; Steins A.; Gruen R.L.; Tucker E.M.; van Loon L.M.</t>
  </si>
  <si>
    <t>Wilson, Stefan L. (57194563258); Schulte, Klaus-Martin (35604435600); Steins, Anne (56613180500); Gruen, Russell L. (7006821245); Tucker, Emma M. (59210778000); van Loon, Lex M. (57192558908)</t>
  </si>
  <si>
    <t>57194563258; 35604435600; 56613180500; 7006821245; 59210778000; 57192558908</t>
  </si>
  <si>
    <t>Computational modeling of heart failure in microgravity transitions</t>
  </si>
  <si>
    <t>Frontiers in Physiology</t>
  </si>
  <si>
    <t>10.3389/fphys.2024.1351985</t>
  </si>
  <si>
    <t>https://www.scopus.com/inward/record.uri?eid=2-s2.0-85197853254&amp;doi=10.3389%2ffphys.2024.1351985&amp;partnerID=40&amp;md5=ac3b234071194ae935cec604deccc256</t>
  </si>
  <si>
    <t>2-s2.0-85197853254</t>
  </si>
  <si>
    <t>Niemtu W.; Qin K.; Toseef M.</t>
  </si>
  <si>
    <t>Niemtu, Warangsiri (57895005200); Qin, Kaida (25228885100); Toseef, Muhammad (58500874700)</t>
  </si>
  <si>
    <t>57895005200; 25228885100; 58500874700</t>
  </si>
  <si>
    <t>A study on sustainable air travel behavior under the possible remedy of risk knowledge: A mediating perspective of risk perception during COVID-19</t>
  </si>
  <si>
    <t>Frontiers in Psychology</t>
  </si>
  <si>
    <t>10.3389/fpsyg.2022.874541</t>
  </si>
  <si>
    <t>https://www.scopus.com/inward/record.uri?eid=2-s2.0-85138295686&amp;doi=10.3389%2ffpsyg.2022.874541&amp;partnerID=40&amp;md5=82502eedd14345c2bb090cc413f1fb58</t>
  </si>
  <si>
    <t>2-s2.0-85138295686</t>
  </si>
  <si>
    <t>Sankaranarayanan H.B.; Rukmangadha P.V.; Grosche T.</t>
  </si>
  <si>
    <t>Sankaranarayanan, Hari Bhaskar (57191283493); Rukmangadha, P.V. (57193405926); Grosche, Tobias (16416552300)</t>
  </si>
  <si>
    <t>57191283493; 57193405926; 16416552300</t>
  </si>
  <si>
    <t>A combinatorial approach for calculating rail-fly connectivity index in India based on fuzzy logic</t>
  </si>
  <si>
    <t>FTC 2016 - Proceedings of Future Technologies Conference</t>
  </si>
  <si>
    <t>10.1109/FTC.2016.7821604</t>
  </si>
  <si>
    <t>https://www.scopus.com/inward/record.uri?eid=2-s2.0-85013634166&amp;doi=10.1109%2fFTC.2016.7821604&amp;partnerID=40&amp;md5=c7bf13d753cd7eb5996679635404672b</t>
  </si>
  <si>
    <t>2-s2.0-85013634166</t>
  </si>
  <si>
    <t>Mochigase H.; Suzuki Y.; Miki E.; Mitsumune S.; Ohba Y.; Inoue Y.</t>
  </si>
  <si>
    <t>Mochigase, Hidenobu (55992150600); Suzuki, Yutaka (55991644700); Miki, Eiji (55990929000); Mitsumune, Shota (56112287000); Ohba, Yoshihiko (55991863700); Inoue, Yukihiko (56111916000)</t>
  </si>
  <si>
    <t>55992150600; 55991644700; 55990929000; 56112287000; 55991863700; 56111916000</t>
  </si>
  <si>
    <t>Development of lightweight fire-resistant putty</t>
  </si>
  <si>
    <t>Furukawa Review</t>
  </si>
  <si>
    <t>https://www.scopus.com/inward/record.uri?eid=2-s2.0-84898478718&amp;partnerID=40&amp;md5=7a0f92a40d7852f2d4751228ef5de00f</t>
  </si>
  <si>
    <t>2-s2.0-84898478718</t>
  </si>
  <si>
    <t>Ioane D.; Chitea F.</t>
  </si>
  <si>
    <t>Ioane, Dumitru (15759488200); Chitea, Florina (35202899200)</t>
  </si>
  <si>
    <t>15759488200; 35202899200</t>
  </si>
  <si>
    <t>ERT and VES studies for thermo-mineral water in Toplita area, Romania</t>
  </si>
  <si>
    <t>Geo-Eco-Marina</t>
  </si>
  <si>
    <t>https://www.scopus.com/inward/record.uri?eid=2-s2.0-84872176202&amp;partnerID=40&amp;md5=8f94ef30c0ac1bbcb919493cc9b64fd3</t>
  </si>
  <si>
    <t>2-s2.0-84872176202</t>
  </si>
  <si>
    <t>Magaš D.</t>
  </si>
  <si>
    <t>Magaš, Damir (57214130398)</t>
  </si>
  <si>
    <t>The area of lika and north dalmatia in the context of the modern regionalisation of Croatia; [lički i sjevernodalmatinski prostor u kontekstu suvremene regionalizacije hrvatske]</t>
  </si>
  <si>
    <t>Geoadria</t>
  </si>
  <si>
    <t>10.15291/geoadria.25</t>
  </si>
  <si>
    <t>https://www.scopus.com/inward/record.uri?eid=2-s2.0-84996554705&amp;doi=10.15291%2fgeoadria.25&amp;partnerID=40&amp;md5=0f94a70cd17dbd1aecbeb9d9fdeea725</t>
  </si>
  <si>
    <t>2-s2.0-84996554705</t>
  </si>
  <si>
    <t>Godoy L.P.; da Conceição F.T.; Godoy A.M.</t>
  </si>
  <si>
    <t>Godoy, Laís Paciência (58403363600); da Conceição, Fabiano Tomazini (14071095600); Godoy, Antonio Misson (7005032021)</t>
  </si>
  <si>
    <t>58403363600; 14071095600; 7005032021</t>
  </si>
  <si>
    <t>Geological aspects of the thermal water of the Touristic Polo in São Lourenço, MT; [Aspectos geológicos da região do polo turístico das águas termais de são lourenço, MT]</t>
  </si>
  <si>
    <t>Geociencias</t>
  </si>
  <si>
    <t>https://www.scopus.com/inward/record.uri?eid=2-s2.0-84963547301&amp;partnerID=40&amp;md5=403e3acde8797e4dd3ca05a5805e9449</t>
  </si>
  <si>
    <t>2-s2.0-84963547301</t>
  </si>
  <si>
    <t>Aleknavičius M.; Aleknavičius A.; Kurowska K.</t>
  </si>
  <si>
    <t>Aleknavičius, Marius (56267373700); Aleknavičius, Audrius (56646352700); Kurowska, Krystyna (57203645041)</t>
  </si>
  <si>
    <t>56267373700; 56646352700; 57203645041</t>
  </si>
  <si>
    <t>Analysis of spatial interactions of tourism in lithuanian-polish cross-border region using gravity models; [Analiza turističnih interakcij v prostoru v čezmejni regiji litve in poljske na podlagi gravitacijskega modela]</t>
  </si>
  <si>
    <t>Geodetski Vestnik</t>
  </si>
  <si>
    <t>10.15292/geodetski-vestnik.2020.03.361-375</t>
  </si>
  <si>
    <t>https://www.scopus.com/inward/record.uri?eid=2-s2.0-85095114098&amp;doi=10.15292%2fgeodetski-vestnik.2020.03.361-375&amp;partnerID=40&amp;md5=031fdc9a69b845cf2df2ad605c56931b</t>
  </si>
  <si>
    <t>2-s2.0-85095114098</t>
  </si>
  <si>
    <t>Łajczak A.; Margielewski W.; Zielonka T.; Pasierbek T.; Lamorski T.; Kozina P.; Izworska K.</t>
  </si>
  <si>
    <t>Łajczak, Adam (6603879604); Margielewski, Włodzimierz (6602145052); Zielonka, Tomasz (56268346300); Pasierbek, Tomasz (57560804000); Lamorski, Tomasz (22953275700); Kozina, Piotr (57192813544); Izworska, Katarzyna (57280203900)</t>
  </si>
  <si>
    <t>6603879604; 6602145052; 56268346300; 57560804000; 22953275700; 57192813544; 57280203900</t>
  </si>
  <si>
    <t>CYLOWA ZERWA LANDSLIDE – DEBRIS FLOW FORMS ON MOUNT BABIA GÓRA (1725) AND THEIR DEVELOPMENT OVER THE LAST CA. 150 YEARS, WESTERN CARPATHIANS</t>
  </si>
  <si>
    <t>Geographia Polonica</t>
  </si>
  <si>
    <t>10.7163/GPol.0247</t>
  </si>
  <si>
    <t>https://www.scopus.com/inward/record.uri?eid=2-s2.0-85159359813&amp;doi=10.7163%2fGPol.0247&amp;partnerID=40&amp;md5=7f5cb2dca1d274538a691821db8e5daa</t>
  </si>
  <si>
    <t>2-s2.0-85159359813</t>
  </si>
  <si>
    <t>Chlachula J.; Mychko E.V.</t>
  </si>
  <si>
    <t>Chlachula, Jiri (56012965400); Mychko, Eduard V. (54953256700)</t>
  </si>
  <si>
    <t>56012965400; 54953256700</t>
  </si>
  <si>
    <t>Geoheritage of the Kaliningrad Region, SE Baltic Coast</t>
  </si>
  <si>
    <t>Geoheritage</t>
  </si>
  <si>
    <t>10.1007/s12371-023-00899-6</t>
  </si>
  <si>
    <t>https://www.scopus.com/inward/record.uri?eid=2-s2.0-85176427901&amp;doi=10.1007%2fs12371-023-00899-6&amp;partnerID=40&amp;md5=8198bbba678ee41edf8171426a84c873</t>
  </si>
  <si>
    <t>2-s2.0-85176427901</t>
  </si>
  <si>
    <t>Luan F.; Wang F.</t>
  </si>
  <si>
    <t>Luan, Fuming (37087432600); Wang, Fang (59262401500)</t>
  </si>
  <si>
    <t>37087432600; 59262401500</t>
  </si>
  <si>
    <t>Competitive State of Market, Spatial–Temporal Clustering Characteristics and Evolution of Chinese Geotourism</t>
  </si>
  <si>
    <t>10.1007/s12371-024-00988-0</t>
  </si>
  <si>
    <t>https://www.scopus.com/inward/record.uri?eid=2-s2.0-85201417531&amp;doi=10.1007%2fs12371-024-00988-0&amp;partnerID=40&amp;md5=c593b7e251fc4d4f78c605c60908cf5e</t>
  </si>
  <si>
    <t>2-s2.0-85201417531</t>
  </si>
  <si>
    <t>Nu Minh P.L.E.</t>
  </si>
  <si>
    <t>Nu Minh, Phuong L.E. (57953624300)</t>
  </si>
  <si>
    <t>IS VIETNAM'S TOURISM DEMAND MODEL COMPATIBLE WITH THE EXTENDED GRAVITY MODEL?</t>
  </si>
  <si>
    <t xml:space="preserve">Geojournal of Tourism and Geosites </t>
  </si>
  <si>
    <t>10.30892/gtg.542spl02-1253</t>
  </si>
  <si>
    <t>https://www.scopus.com/inward/record.uri?eid=2-s2.0-85198019439&amp;doi=10.30892%2fgtg.542spl02-1253&amp;partnerID=40&amp;md5=90f5be29b6c29c75c5cc1b7ebf7053fd</t>
  </si>
  <si>
    <t>2-s2.0-85198019439</t>
  </si>
  <si>
    <t>Rowan M.G.; Krzywiec P.; Bukowski K.; Przybyło J.</t>
  </si>
  <si>
    <t>Rowan, Mark G. (7103383653); Krzywiec, Piotr (6701698890); Bukowski, Krzysztof (6603725779); Przybyło, Jerzy (6505823732)</t>
  </si>
  <si>
    <t>7103383653; 6701698890; 6603725779; 6505823732</t>
  </si>
  <si>
    <t>Nature and origin of large-scale and intrasalt deformation within the Wieliczka salt mine, Poland</t>
  </si>
  <si>
    <t>Geological Quarterly</t>
  </si>
  <si>
    <t>10.7306/gq.1557</t>
  </si>
  <si>
    <t>https://www.scopus.com/inward/record.uri?eid=2-s2.0-85097503060&amp;doi=10.7306%2fgq.1557&amp;partnerID=40&amp;md5=3bf05eed0ff7947e01049341074bfd4f</t>
  </si>
  <si>
    <t>2-s2.0-85097503060</t>
  </si>
  <si>
    <t>Frattini P.; Crosta G.; Carrara A.; Agliardi F.</t>
  </si>
  <si>
    <t>Frattini, Paolo (56538922400); Crosta, Giovanni (7005690420); Carrara, Alberto (7003720426); Agliardi, Federico (6507170317)</t>
  </si>
  <si>
    <t>56538922400; 7005690420; 7003720426; 6507170317</t>
  </si>
  <si>
    <t>Assessment of rockfall susceptibility by integrating statistical and physically-based approaches</t>
  </si>
  <si>
    <t>Geomorphology</t>
  </si>
  <si>
    <t>10.1016/j.geomorph.2006.10.037</t>
  </si>
  <si>
    <t>https://www.scopus.com/inward/record.uri?eid=2-s2.0-38149011421&amp;doi=10.1016%2fj.geomorph.2006.10.037&amp;partnerID=40&amp;md5=a835a3ae9628a2e365ff9a5127eb3713</t>
  </si>
  <si>
    <t>2-s2.0-38149011421</t>
  </si>
  <si>
    <t>Pivetta T.; Braitenberg C.</t>
  </si>
  <si>
    <t>Pivetta, Tommaso (56700115000); Braitenberg, Carla (6701356934)</t>
  </si>
  <si>
    <t>56700115000; 6701356934</t>
  </si>
  <si>
    <t>Laser-scan and gravity joint investigation for subsurface cavity exploration - The Grotta Gigante benchmark</t>
  </si>
  <si>
    <t>GEOPHYSICS</t>
  </si>
  <si>
    <t>B83</t>
  </si>
  <si>
    <t>B94</t>
  </si>
  <si>
    <t>10.1190/geo2014-0601.1</t>
  </si>
  <si>
    <t>https://www.scopus.com/inward/record.uri?eid=2-s2.0-84983121701&amp;doi=10.1190%2fgeo2014-0601.1&amp;partnerID=40&amp;md5=22072ad30c58c26efe65b6989299d842</t>
  </si>
  <si>
    <t>2-s2.0-84983121701</t>
  </si>
  <si>
    <t>Tišma S.; Jelinčić D.A.; Lantos Z.; Tolić I.</t>
  </si>
  <si>
    <t>Tišma, Sanja (8090427300); Jelinčić, Daniela Angelina (26537679900); Lantos, Zoltán (57221438378); Tolić, Iva (57211393910)</t>
  </si>
  <si>
    <t>8090427300; 26537679900; 57221438378; 57211393910</t>
  </si>
  <si>
    <t>Cross the border: Participative integrated approach to sustainable tourism planning</t>
  </si>
  <si>
    <t>Geosciences (Switzerland)</t>
  </si>
  <si>
    <t>10.3390/geosciences9100434</t>
  </si>
  <si>
    <t>https://www.scopus.com/inward/record.uri?eid=2-s2.0-85073722828&amp;doi=10.3390%2fgeosciences9100434&amp;partnerID=40&amp;md5=2441150620e6258f42d61fb84ad7ee22</t>
  </si>
  <si>
    <t>2-s2.0-85073722828</t>
  </si>
  <si>
    <t>Kuka N.M.; Oh J.; Song J.</t>
  </si>
  <si>
    <t>Kuka, Nadine Mujinga (57223081985); Oh, Jinhwan (55462887900); Song, Jisun (57477504500)</t>
  </si>
  <si>
    <t>57223081985; 55462887900; 57477504500</t>
  </si>
  <si>
    <t>Trade and tourism in democratic republic of congo: Key business for sustainable financing</t>
  </si>
  <si>
    <t>Global Business and Finance Review</t>
  </si>
  <si>
    <t>10.17549/gbfr.2021.26.1.1</t>
  </si>
  <si>
    <t>https://www.scopus.com/inward/record.uri?eid=2-s2.0-85104735153&amp;doi=10.17549%2fgbfr.2021.26.1.1&amp;partnerID=40&amp;md5=7afc3f130965dbcbb2855463f8bf01eb</t>
  </si>
  <si>
    <t>2-s2.0-85104735153</t>
  </si>
  <si>
    <t>Hoonsawat R.</t>
  </si>
  <si>
    <t>Hoonsawat, Ratidanai (57193642128)</t>
  </si>
  <si>
    <t>Information Searching: The Case of Tourism Promoted Through the Internet</t>
  </si>
  <si>
    <t>Global Economy Journal</t>
  </si>
  <si>
    <t>10.1515/gej-2014-0056</t>
  </si>
  <si>
    <t>https://www.scopus.com/inward/record.uri?eid=2-s2.0-84962076497&amp;doi=10.1515%2fgej-2014-0056&amp;partnerID=40&amp;md5=fdedc7020842e52aff7012665152abcc</t>
  </si>
  <si>
    <t>2-s2.0-84962076497</t>
  </si>
  <si>
    <t>Go M.; Ybañez A.; Illano A.; Cababat F.; De La Calzada L.</t>
  </si>
  <si>
    <t>Go, M. (57221730044); Ybañez, A. (57203956798); Illano, A. (59252527900); Cababat, F. (57394397200); De La Calzada, L. (58815297000)</t>
  </si>
  <si>
    <t>57221730044; 57203956798; 59252527900; 57394397200; 58815297000</t>
  </si>
  <si>
    <t>Microplastics in beach sediments, seawater, and common fish in tourist destinations</t>
  </si>
  <si>
    <t>Global Journal of Environmental Science and Management</t>
  </si>
  <si>
    <t>10.22034/gjesm.2024.04.30</t>
  </si>
  <si>
    <t>https://www.scopus.com/inward/record.uri?eid=2-s2.0-85200757999&amp;doi=10.22034%2fgjesm.2024.04.30&amp;partnerID=40&amp;md5=eff74a1ffaceafbaff246b3179df3844</t>
  </si>
  <si>
    <t>2-s2.0-85200757999</t>
  </si>
  <si>
    <t>Usman M.; Heki K.</t>
  </si>
  <si>
    <t>Usman, Muhammad (57201605993); Heki, Kosuke (57592995400)</t>
  </si>
  <si>
    <t>57201605993; 57592995400</t>
  </si>
  <si>
    <t>Satellite gravimetry observations on the state of groundwater level variability in the Arabian Peninsula Region and the associated socio-economic sustainability challenges</t>
  </si>
  <si>
    <t>Groundwater for Sustainable Development</t>
  </si>
  <si>
    <t>10.1016/j.gsd.2024.101270</t>
  </si>
  <si>
    <t>https://www.scopus.com/inward/record.uri?eid=2-s2.0-85198347510&amp;doi=10.1016%2fj.gsd.2024.101270&amp;partnerID=40&amp;md5=9ab7ddde035b615532266c74533dcff1</t>
  </si>
  <si>
    <t>2-s2.0-85198347510</t>
  </si>
  <si>
    <t>Hou L.-C.; Wu L.-X.; Ju S.-L.; Zhang Z.-R.; Zhu Y.-J.; Lai Z.-Q.</t>
  </si>
  <si>
    <t>Hou, Li-chun (57226321080); Wu, Lian-xia (57221712929); Ju, Sheng-li (57226303245); Zhang, Zhi-rong (57226312956); Zhu, Yin-jian (57212171547); Lai, Zheng-qing (55272450300)</t>
  </si>
  <si>
    <t>57226321080; 57221712929; 57226303245; 57226312956; 57212171547; 55272450300</t>
  </si>
  <si>
    <t>The evolution patterns of tourism integration driven by regional tourism-economic linkages—Taking Poyang Lake region, China, as an example</t>
  </si>
  <si>
    <t>Growth and Change</t>
  </si>
  <si>
    <t>10.1111/grow.12524</t>
  </si>
  <si>
    <t>https://www.scopus.com/inward/record.uri?eid=2-s2.0-85111094827&amp;doi=10.1111%2fgrow.12524&amp;partnerID=40&amp;md5=0d850b27fa4b5db24795c3d2842f69ef</t>
  </si>
  <si>
    <t>2-s2.0-85111094827</t>
  </si>
  <si>
    <t>Yuan Z.; Xu F.; Yin Y.; Yin J.; Zheng Y.</t>
  </si>
  <si>
    <t>Yuan, Zheng (57715976800); Xu, Feng (57199487255); Yin, Yicheng (56096281500); Yin, Jingwen (57222569542); Zheng, Yuhan (57214517866)</t>
  </si>
  <si>
    <t>57715976800; 57199487255; 56096281500; 57222569542; 57214517866</t>
  </si>
  <si>
    <t>Screening and identification: Evaluating the transformation suitability of rural complexes through industrial resource potential in Changsha, China</t>
  </si>
  <si>
    <t>Habitat International</t>
  </si>
  <si>
    <t>10.1016/j.habitatint.2023.102948</t>
  </si>
  <si>
    <t>https://www.scopus.com/inward/record.uri?eid=2-s2.0-85174455789&amp;doi=10.1016%2fj.habitatint.2023.102948&amp;partnerID=40&amp;md5=a188b62be2f771f5a40a896889fb2194</t>
  </si>
  <si>
    <t>2-s2.0-85174455789</t>
  </si>
  <si>
    <t>Thomas U.</t>
  </si>
  <si>
    <t>Thomas, Ursula (36085532500)</t>
  </si>
  <si>
    <t>iPad: Integrating positive, active, digital tools and behaviors in preservice teacher education courses</t>
  </si>
  <si>
    <t>Handbook of Research on Educational Technology Integration and Active Learning</t>
  </si>
  <si>
    <t>10.4018/978-1-4666-8363-1.ch013</t>
  </si>
  <si>
    <t>https://www.scopus.com/inward/record.uri?eid=2-s2.0-84957369096&amp;doi=10.4018%2f978-1-4666-8363-1.ch013&amp;partnerID=40&amp;md5=c9617dc0ca7cbeb9a6260cac1e85977b</t>
  </si>
  <si>
    <t>2-s2.0-84957369096</t>
  </si>
  <si>
    <t>Grover A.; Pathak Y.V.</t>
  </si>
  <si>
    <t>Grover, Aditya (56290158200); Pathak, Yashwant V. (7004822104)</t>
  </si>
  <si>
    <t>56290158200; 7004822104</t>
  </si>
  <si>
    <t>Implications of Microgravity on Microemulsions and Nanoemulsions</t>
  </si>
  <si>
    <t>Handbook of Space Pharmaceuticals</t>
  </si>
  <si>
    <t>10.1007/978-3-030-05526-4_31</t>
  </si>
  <si>
    <t>https://www.scopus.com/inward/record.uri?eid=2-s2.0-85159027226&amp;doi=10.1007%2f978-3-030-05526-4_31&amp;partnerID=40&amp;md5=23092f2849b96191c557a9052463bcaf</t>
  </si>
  <si>
    <t>2-s2.0-85159027226</t>
  </si>
  <si>
    <t>Ahmad A.</t>
  </si>
  <si>
    <t>Ahmad, Azman (55891111000)</t>
  </si>
  <si>
    <t>Brunei tourism at a standstill</t>
  </si>
  <si>
    <t>Handbook on Tourism Development and Management</t>
  </si>
  <si>
    <t>https://www.scopus.com/inward/record.uri?eid=2-s2.0-84956750714&amp;partnerID=40&amp;md5=2b02cf2231fe471e589fbebb42e041d6</t>
  </si>
  <si>
    <t>2-s2.0-84956750714</t>
  </si>
  <si>
    <t>Rosselló J.; Santana-Gallego M.; Awan W.</t>
  </si>
  <si>
    <t>Rosselló, Jaume (57220022951); Santana-Gallego, Maria (36119110700); Awan, Waqas (57226472832)</t>
  </si>
  <si>
    <t>57220022951; 36119110700; 57226472832</t>
  </si>
  <si>
    <t>Infectious disease risk and international tourism demand</t>
  </si>
  <si>
    <t>Health Policy and Planning</t>
  </si>
  <si>
    <t>10.1093/heapol/czw177</t>
  </si>
  <si>
    <t>https://www.scopus.com/inward/record.uri?eid=2-s2.0-85027057780&amp;doi=10.1093%2fheapol%2fczw177&amp;partnerID=40&amp;md5=1537206e06326d581619fa90f134faa9</t>
  </si>
  <si>
    <t>2-s2.0-85027057780</t>
  </si>
  <si>
    <t>Feng Y.; Lv X.; Tian Y.; Li Z.; Xue J.; Chen Y.</t>
  </si>
  <si>
    <t>Feng, Yuxin (59151831500); Lv, Xiaoyu (59151023500); Tian, Yunxia (59151509900); Li, Zhuo (59151185700); Xue, Jiayu (59151023600); Chen, Yulan (59151185800)</t>
  </si>
  <si>
    <t>59151831500; 59151023500; 59151509900; 59151185700; 59151023600; 59151185800</t>
  </si>
  <si>
    <t>A study on the spatial differences between the tourism network attention and tourism flow in Shanghai, China</t>
  </si>
  <si>
    <t>Heliyon</t>
  </si>
  <si>
    <t>e31990</t>
  </si>
  <si>
    <t>10.1016/j.heliyon.2024.e31990</t>
  </si>
  <si>
    <t>https://www.scopus.com/inward/record.uri?eid=2-s2.0-85194830158&amp;doi=10.1016%2fj.heliyon.2024.e31990&amp;partnerID=40&amp;md5=a61d9be4c4de8edb7e0cc736f32bb793</t>
  </si>
  <si>
    <t>2-s2.0-85194830158</t>
  </si>
  <si>
    <t>Zhang L.; Marzuki A.; Liao Z.; Zhao K.; Huang Z.; Chen W.</t>
  </si>
  <si>
    <t>Zhang, Lijuan (57343214600); Marzuki, Azizan (9942831200); Liao, Zhenjie (57214095200); Zhao, Kaixiong (58503888900); Huang, Zhihao (58504695300); Chen, Wenfu (58505515300)</t>
  </si>
  <si>
    <t>57343214600; 9942831200; 57214095200; 58503888900; 58504695300; 58505515300</t>
  </si>
  <si>
    <t>Spatial and temporal evolution of Guangdong tourism economic network structure from the perspective of social networks</t>
  </si>
  <si>
    <t>e18570</t>
  </si>
  <si>
    <t>10.1016/j.heliyon.2023.e18570</t>
  </si>
  <si>
    <t>https://www.scopus.com/inward/record.uri?eid=2-s2.0-85165711568&amp;doi=10.1016%2fj.heliyon.2023.e18570&amp;partnerID=40&amp;md5=e9ec06e81c9f898694726568a3ab6eff</t>
  </si>
  <si>
    <t>2-s2.0-85165711568</t>
  </si>
  <si>
    <t>Snyder J.</t>
  </si>
  <si>
    <t>Snyder, Jonathan (56305620300)</t>
  </si>
  <si>
    <t>Lessons Felt, Then Learned</t>
  </si>
  <si>
    <t>Hispanic Urban Studies</t>
  </si>
  <si>
    <t>10.1057/9781137533210_2</t>
  </si>
  <si>
    <t>https://www.scopus.com/inward/record.uri?eid=2-s2.0-85145062677&amp;doi=10.1057%2f9781137533210_2&amp;partnerID=40&amp;md5=ab24c8eed77bcf14786c2869aab93be3</t>
  </si>
  <si>
    <t>2-s2.0-85145062677</t>
  </si>
  <si>
    <t>Monat S.; Korman M.; Seifert A.; Steinmetz R.; Beutel M.; Kosarnovsky B.; Gurfinkel E.</t>
  </si>
  <si>
    <t>Monat, Shay (57219552027); Korman, Melody (57991654200); Seifert, Avraham (7004373304); Steinmetz, Raz (57991675800); Beutel, Moshe (57991715900); Kosarnovsky, Benny (57211561200); Gurfinkel, Eran (57991716000)</t>
  </si>
  <si>
    <t>57219552027; 57991654200; 7004373304; 57991675800; 57991715900; 57211561200; 57991716000</t>
  </si>
  <si>
    <t>Autonomous Self-Stabilizing In-Spacecraft Tracker with Electrical Novel Thrusters (ASSISTENT)</t>
  </si>
  <si>
    <t>IACAS 2022 - 61st Israel Annual Conference on Aerospace Science</t>
  </si>
  <si>
    <t>https://www.scopus.com/inward/record.uri?eid=2-s2.0-85143253175&amp;partnerID=40&amp;md5=431b2d73356f10a8f7e03f498023d122</t>
  </si>
  <si>
    <t>2-s2.0-85143253175</t>
  </si>
  <si>
    <t>Erjongmanee S.; Kongsamutr N.</t>
  </si>
  <si>
    <t>Erjongmanee, Supaporn (36552105200); Kongsamutr, Navatasn (57205419884)</t>
  </si>
  <si>
    <t>36552105200; 57205419884</t>
  </si>
  <si>
    <t>Air Passenger Estimation Using Gravity Model and Learning Approaches: Case Study of Thailand</t>
  </si>
  <si>
    <t>ICAICTA 2018 - 5th International Conference on Advanced Informatics: Concepts Theory and Applications</t>
  </si>
  <si>
    <t>10.1109/ICAICTA.2018.8541335</t>
  </si>
  <si>
    <t>https://www.scopus.com/inward/record.uri?eid=2-s2.0-85059952841&amp;doi=10.1109%2fICAICTA.2018.8541335&amp;partnerID=40&amp;md5=b4e51d3b6bf0adf6964833adaeab2a24</t>
  </si>
  <si>
    <t>2-s2.0-85059952841</t>
  </si>
  <si>
    <t>Analysis on the spatial variation of the center of gravity of inbound tourism in China</t>
  </si>
  <si>
    <t>ICEIS 2011 - Proceedings of the 13th International Conference on Enterprise Information Systems</t>
  </si>
  <si>
    <t>1 DISI</t>
  </si>
  <si>
    <t>https://www.scopus.com/inward/record.uri?eid=2-s2.0-84865139739&amp;partnerID=40&amp;md5=46127091f596ad97719e884b753a0164</t>
  </si>
  <si>
    <t>2-s2.0-84865139739</t>
  </si>
  <si>
    <t>Su F.; Duan C.; Wang R.</t>
  </si>
  <si>
    <t>Su, Fang (36115360000); Duan, Chengrui (57212534679); Wang, Ruopeng (57218305202)</t>
  </si>
  <si>
    <t>36115360000; 57212534679; 57218305202</t>
  </si>
  <si>
    <t>Optimization Model and Algorithm Design for Rural Leisure Tourism Passenger Flow Scheduling</t>
  </si>
  <si>
    <t>IEEE Access</t>
  </si>
  <si>
    <t>10.1109/ACCESS.2020.3007180</t>
  </si>
  <si>
    <t>https://www.scopus.com/inward/record.uri?eid=2-s2.0-85088696061&amp;doi=10.1109%2fACCESS.2020.3007180&amp;partnerID=40&amp;md5=225267a717e3f58f0396cff35ab44b64</t>
  </si>
  <si>
    <t>2-s2.0-85088696061</t>
  </si>
  <si>
    <t>Singh S.; Mishra A.K.</t>
  </si>
  <si>
    <t>Singh, Saurabh (57766413500); Mishra, Arun Kumar (58698427700)</t>
  </si>
  <si>
    <t>57766413500; 58698427700</t>
  </si>
  <si>
    <t>Landslide Hazard Analysis and Zonation Mapping in the Bhimtal Township, District Nainital, Uttarakhand</t>
  </si>
  <si>
    <t>Indian Journal of Environmental Protection</t>
  </si>
  <si>
    <t>https://www.scopus.com/inward/record.uri?eid=2-s2.0-85132891460&amp;partnerID=40&amp;md5=ef06402a56d2a211f567682f73c7f862</t>
  </si>
  <si>
    <t>2-s2.0-85132891460</t>
  </si>
  <si>
    <t>Cong G.; Yaqing G.</t>
  </si>
  <si>
    <t>Cong, Guo (56188451400); Yaqing, Gu (56189146600)</t>
  </si>
  <si>
    <t>56188451400; 56189146600</t>
  </si>
  <si>
    <t>Influence of cultural difference on inbound tourists based on gravity model</t>
  </si>
  <si>
    <t>Information Technology Journal</t>
  </si>
  <si>
    <t>10.3923/itj.2013.7033.7036</t>
  </si>
  <si>
    <t>https://www.scopus.com/inward/record.uri?eid=2-s2.0-84901716551&amp;doi=10.3923%2fitj.2013.7033.7036&amp;partnerID=40&amp;md5=7607c17ae3bd570a6d7c1f56267c6513</t>
  </si>
  <si>
    <t>2-s2.0-84901716551</t>
  </si>
  <si>
    <t>Fida B.; Singh D.; Ahmed U.</t>
  </si>
  <si>
    <t>Fida, Bashir (26534055900); Singh, Dharmendra (56637515500); Ahmed, Umar (57216761626)</t>
  </si>
  <si>
    <t>26534055900; 56637515500; 57216761626</t>
  </si>
  <si>
    <t>An investigation of the demand pulled factors of foreign tourist inflows to India</t>
  </si>
  <si>
    <t>Innovative Marketing</t>
  </si>
  <si>
    <t>10.21511/im.19(3).2023.19</t>
  </si>
  <si>
    <t>https://www.scopus.com/inward/record.uri?eid=2-s2.0-85177556569&amp;doi=10.21511%2fim.19%283%29.2023.19&amp;partnerID=40&amp;md5=d7196c90799dcb68441c208d2fb268cc</t>
  </si>
  <si>
    <t>2-s2.0-85177556569</t>
  </si>
  <si>
    <t>Zyma O.; Guryanova L.; Gavkalova N.; Chernova N.; Nekrasova O.</t>
  </si>
  <si>
    <t>Zyma, Oleksandr (57202886856); Guryanova, Lidiya (36068855600); Gavkalova, Nataliia (56328233300); Chernova, Natalia (57212460303); Nekrasova, Olga (57860200500)</t>
  </si>
  <si>
    <t>57202886856; 36068855600; 56328233300; 57212460303; 57860200500</t>
  </si>
  <si>
    <t>THE APPLICATION OF MACHINE LEARNING METHODS IN DETERMINING ATTRACTIVE DEVELOPMENT DIRECTIONS FOR TOURISM BUSINESSES</t>
  </si>
  <si>
    <t>Intellectual Economics</t>
  </si>
  <si>
    <t>10.13165/IE-22-16-1-09</t>
  </si>
  <si>
    <t>https://www.scopus.com/inward/record.uri?eid=2-s2.0-85136725886&amp;doi=10.13165%2fIE-22-16-1-09&amp;partnerID=40&amp;md5=48981f106d02b60bffab7428a2273f6a</t>
  </si>
  <si>
    <t>2-s2.0-85136725886</t>
  </si>
  <si>
    <t>Velasquez M.E.B.; Oh J.</t>
  </si>
  <si>
    <t>Velasquez, Maritza Elizabeth Bermeo (56180434800); Oh, Jinhwan (55462887900)</t>
  </si>
  <si>
    <t>56180434800; 55462887900</t>
  </si>
  <si>
    <t>What determines international tourist arrivals to Peru? A gravity approach</t>
  </si>
  <si>
    <t>International Area Studies Review</t>
  </si>
  <si>
    <t>10.1177/2233865913505103</t>
  </si>
  <si>
    <t>https://www.scopus.com/inward/record.uri?eid=2-s2.0-84901460007&amp;doi=10.1177%2f2233865913505103&amp;partnerID=40&amp;md5=ad172a4242dced85d4273b3169845068</t>
  </si>
  <si>
    <t>2-s2.0-84901460007</t>
  </si>
  <si>
    <t>Bannova O.</t>
  </si>
  <si>
    <t>Bannova, Olga (16314906200)</t>
  </si>
  <si>
    <t>Challenges and considerations of architectural design for 21ST century space population</t>
  </si>
  <si>
    <t>International Astronautical Federation - 58th International Astronautical Congress 2007</t>
  </si>
  <si>
    <t>https://www.scopus.com/inward/record.uri?eid=2-s2.0-55649120681&amp;partnerID=40&amp;md5=805291f463de410ff6dcc342050b545c</t>
  </si>
  <si>
    <t>2-s2.0-55649120681</t>
  </si>
  <si>
    <t>Haeuplik-Meusburger S.; Aguzzi M.; Peldszus R.</t>
  </si>
  <si>
    <t>Haeuplik-Meusburger, Sandra (6506016769); Aguzzi, Manuela (16644955200); Peldszus, Regina (33867786900)</t>
  </si>
  <si>
    <t>International Astronautical Federation - 59th International Astronautical Congress 2008, IAC 2008</t>
  </si>
  <si>
    <t>https://www.scopus.com/inward/record.uri?eid=2-s2.0-77950478875&amp;partnerID=40&amp;md5=ab8a02285beb25045bc070a9f34eddc4</t>
  </si>
  <si>
    <t>2-s2.0-77950478875</t>
  </si>
  <si>
    <t>Gao X.; Kim H.-H.; Yang J.-W.</t>
  </si>
  <si>
    <t>Gao, Xin (57787255800); Kim, Hyung-Ho (57217085864); Yang, Jun-Won (57787857700)</t>
  </si>
  <si>
    <t>57787255800; 57217085864; 57787857700</t>
  </si>
  <si>
    <t>Spatial structure analysis of tourism economy in Shaanxi province, China</t>
  </si>
  <si>
    <t>International Journal of Advanced and Applied Sciences</t>
  </si>
  <si>
    <t>10.21833/ijaas.2022.06.012</t>
  </si>
  <si>
    <t>https://www.scopus.com/inward/record.uri?eid=2-s2.0-85133575465&amp;doi=10.21833%2fijaas.2022.06.012&amp;partnerID=40&amp;md5=350d9333918df1099ff83c156eaf68c6</t>
  </si>
  <si>
    <t>2-s2.0-85133575465</t>
  </si>
  <si>
    <t>Sarin V.</t>
  </si>
  <si>
    <t>Sarin, Vishal (57190278797)</t>
  </si>
  <si>
    <t>Understanding India-asean trading ties using gravity model approach</t>
  </si>
  <si>
    <t>International Journal of Agricultural and Statistical Sciences</t>
  </si>
  <si>
    <t>https://www.scopus.com/inward/record.uri?eid=2-s2.0-85053620754&amp;partnerID=40&amp;md5=5260f021c6c195c969a63d74ed1f80f1</t>
  </si>
  <si>
    <t>2-s2.0-85053620754</t>
  </si>
  <si>
    <t>Fleming W.M.; Rivera J.A.; Miller A.; Piccarello M.</t>
  </si>
  <si>
    <t>Fleming, William M. (57224762666); Rivera, José A. (8885800900); Miller, Amy (56454634200); Piccarello, Matt (56455341600)</t>
  </si>
  <si>
    <t>57224762666; 8885800900; 56454634200; 56455341600</t>
  </si>
  <si>
    <t>Ecosystem services of traditional irrigation systems in northern New Mexico, USA</t>
  </si>
  <si>
    <t>International Journal of Biodiversity Science, Ecosystem Services and Management</t>
  </si>
  <si>
    <t>10.1080/21513732.2014.977953</t>
  </si>
  <si>
    <t>https://www.scopus.com/inward/record.uri?eid=2-s2.0-84919474254&amp;doi=10.1080%2f21513732.2014.977953&amp;partnerID=40&amp;md5=898fc1bdd0fbfabde7692caa6536b383</t>
  </si>
  <si>
    <t>2-s2.0-84919474254</t>
  </si>
  <si>
    <t>Singagerda F.S.; Aeni N.</t>
  </si>
  <si>
    <t>Singagerda, Faurani Santi (57201670863); Aeni, Nur (57201675915)</t>
  </si>
  <si>
    <t>57201670863; 57201675915</t>
  </si>
  <si>
    <t>International tourism trade flows and the impact of Indonesian tourism</t>
  </si>
  <si>
    <t>International Journal of Business and Management Science</t>
  </si>
  <si>
    <t>https://www.scopus.com/inward/record.uri?eid=2-s2.0-85045631922&amp;partnerID=40&amp;md5=6120be861865c60e61a9985e92432646</t>
  </si>
  <si>
    <t>2-s2.0-85045631922</t>
  </si>
  <si>
    <t>Puah C.H.; Thien F.T.; Arip M.A.; Chin M.Y.</t>
  </si>
  <si>
    <t>Puah, Chin-Hong (16444742600); Thien, Fung-Thai (56606930200); Arip, Mohammad Affendy (55792036500); Chin, Mui-Yin (56530204600)</t>
  </si>
  <si>
    <t>16444742600; 56606930200; 55792036500; 56530204600</t>
  </si>
  <si>
    <t>Modelling a tourism demand in Vietnam</t>
  </si>
  <si>
    <t>International Journal of Economics and Management</t>
  </si>
  <si>
    <t>https://www.scopus.com/inward/record.uri?eid=2-s2.0-85077567968&amp;partnerID=40&amp;md5=160cd372c8141d6765b294a1e9163496</t>
  </si>
  <si>
    <t>2-s2.0-85077567968</t>
  </si>
  <si>
    <t>Goswami G.G.; Sarwar M.R.; Rahman M.M.</t>
  </si>
  <si>
    <t>Goswami, Gour Gobinda (7005721897); Sarwar, Md. Rubaiyath (58168220200); Rahman, Md. Mahbubur (57203217155)</t>
  </si>
  <si>
    <t>7005721897; 58168220200; 57203217155</t>
  </si>
  <si>
    <t>COVID-19 impact on tourism inflow in selected Asia-Pacific countries: a gravity model framework</t>
  </si>
  <si>
    <t>International Journal of Emerging Markets</t>
  </si>
  <si>
    <t>10.1108/IJOEM-07-2022-1196</t>
  </si>
  <si>
    <t>https://www.scopus.com/inward/record.uri?eid=2-s2.0-85151482534&amp;doi=10.1108%2fIJOEM-07-2022-1196&amp;partnerID=40&amp;md5=d4645c15ff5326c8143ffd786baf95b5</t>
  </si>
  <si>
    <t>2-s2.0-85151482534</t>
  </si>
  <si>
    <t>Guha Roy D.; Bhattacharya S.; Mukherjee S.</t>
  </si>
  <si>
    <t>Guha Roy, Diya (57203204942); Bhattacharya, Sujoy (57199365811); Mukherjee, Srabanti (56316810800)</t>
  </si>
  <si>
    <t>57203204942; 57199365811; 56316810800</t>
  </si>
  <si>
    <t>Medical tourism brand equity in emerging markets: scale development and empirical validation</t>
  </si>
  <si>
    <t>10.1108/IJOEM-05-2021-0805</t>
  </si>
  <si>
    <t>https://www.scopus.com/inward/record.uri?eid=2-s2.0-85125818394&amp;doi=10.1108%2fIJOEM-05-2021-0805&amp;partnerID=40&amp;md5=8547121fe4da45f1ebeb540e0727b45a</t>
  </si>
  <si>
    <t>2-s2.0-85125818394</t>
  </si>
  <si>
    <t>Ba D.; Zhang J.; Dong S.; Xia B.; Mu L.</t>
  </si>
  <si>
    <t>Ba, Duoxun (57201352691); Zhang, Jing (57896557200); Dong, Suocheng (8241976600); Xia, Bing (57201992767); Mu, Lin (57897277500)</t>
  </si>
  <si>
    <t>57201352691; 57896557200; 8241976600; 57201992767; 57897277500</t>
  </si>
  <si>
    <t>Spatial-Temporal Characteristics and Driving Factors of the Eco-Efficiency of Tourist Hotels in China</t>
  </si>
  <si>
    <t>International Journal of Environmental Research and Public Health</t>
  </si>
  <si>
    <t>10.3390/ijerph191811515</t>
  </si>
  <si>
    <t>https://www.scopus.com/inward/record.uri?eid=2-s2.0-85138324215&amp;doi=10.3390%2fijerph191811515&amp;partnerID=40&amp;md5=6a6b313064d87218953dd6b252bb1ab1</t>
  </si>
  <si>
    <t>2-s2.0-85138324215</t>
  </si>
  <si>
    <t>Li H.; Xie W.</t>
  </si>
  <si>
    <t>Li, Haijian (57221810234); Xie, Wujie (57213001949)</t>
  </si>
  <si>
    <t>57221810234; 57213001949</t>
  </si>
  <si>
    <t>Research on the Structural Characteristics and Evolutionary Process of China’s Tourism Investment Spatial Correlation Network</t>
  </si>
  <si>
    <t>10.3390/ijerph192315661</t>
  </si>
  <si>
    <t>https://www.scopus.com/inward/record.uri?eid=2-s2.0-85143620294&amp;doi=10.3390%2fijerph192315661&amp;partnerID=40&amp;md5=52a8674b5ebf25c8d312e8d1f2778063</t>
  </si>
  <si>
    <t>2-s2.0-85143620294</t>
  </si>
  <si>
    <t>Shi S.; Li M.; Li Z.; Xi J.</t>
  </si>
  <si>
    <t>Shi, Shanshan (57209240112); Li, Mi (58140383200); Li, Ziqiang (58139526000); Xi, Jianchao (55482033300)</t>
  </si>
  <si>
    <t>57209240112; 58140383200; 58139526000; 55482033300</t>
  </si>
  <si>
    <t>Spatial Heterogeneity and Influencing Factors of High-Grade Tourist Attractions in the Tibetan Plateau</t>
  </si>
  <si>
    <t>10.3390/ijerph20054650</t>
  </si>
  <si>
    <t>https://www.scopus.com/inward/record.uri?eid=2-s2.0-85149977408&amp;doi=10.3390%2fijerph20054650&amp;partnerID=40&amp;md5=990f30c04c61461d494e226731f9c6db</t>
  </si>
  <si>
    <t>2-s2.0-85149977408</t>
  </si>
  <si>
    <t>Sun Y.; Hou G.</t>
  </si>
  <si>
    <t>Sun, Yiyang (57217005302); Hou, Guolin (56165797900)</t>
  </si>
  <si>
    <t>57217005302; 56165797900</t>
  </si>
  <si>
    <t>Analysis on the spatial-temporal evolution characteristics and spatial network structure of tourism eco-efficiency in the yangtze river delta urban agglomeration</t>
  </si>
  <si>
    <t>10.3390/ijerph18052577</t>
  </si>
  <si>
    <t>https://www.scopus.com/inward/record.uri?eid=2-s2.0-85101934014&amp;doi=10.3390%2fijerph18052577&amp;partnerID=40&amp;md5=ecd7c47de04bdccabd361589c06a0b23</t>
  </si>
  <si>
    <t>2-s2.0-85101934014</t>
  </si>
  <si>
    <t>Xie W.; Li H.; Yin Y.</t>
  </si>
  <si>
    <t>Xie, Wujie (57213001949); Li, Haijian (57221810234); Yin, Yufang (57221806378)</t>
  </si>
  <si>
    <t>57213001949; 57221810234; 57221806378</t>
  </si>
  <si>
    <t>Research on the spatial structure of the European Union’s tourism economy and its effects</t>
  </si>
  <si>
    <t>10.3390/ijerph18041389</t>
  </si>
  <si>
    <t>https://www.scopus.com/inward/record.uri?eid=2-s2.0-85100233524&amp;doi=10.3390%2fijerph18041389&amp;partnerID=40&amp;md5=a775577038c9ee18b4fba6a3520dbd25</t>
  </si>
  <si>
    <t>2-s2.0-85100233524</t>
  </si>
  <si>
    <t>Pons M.; Johnson P.A.; Rosas M.; Jover E.</t>
  </si>
  <si>
    <t>Pons, Marc (56407252300); Johnson, Peter A. (55475399900); Rosas, Martí (21234018300); Jover, Eric (24514682200)</t>
  </si>
  <si>
    <t>56407252300; 55475399900; 21234018300; 24514682200</t>
  </si>
  <si>
    <t>A georeferenced agent-based model to analyze the climate change impacts on ski tourism at a regional scale</t>
  </si>
  <si>
    <t>International Journal of Geographical Information Science</t>
  </si>
  <si>
    <t>10.1080/13658816.2014.933481</t>
  </si>
  <si>
    <t>https://www.scopus.com/inward/record.uri?eid=2-s2.0-84918831757&amp;doi=10.1080%2f13658816.2014.933481&amp;partnerID=40&amp;md5=a94a2b6758c4bcf7798695adbc8a51f6</t>
  </si>
  <si>
    <t>2-s2.0-84918831757</t>
  </si>
  <si>
    <t>Abdullah F.; Yanis M.; Razi M.H.; Zainal M.; Ismail N.</t>
  </si>
  <si>
    <t>Abdullah, Faisal (24174376700); Yanis, Muhammad (57202998500); Razi, Muhammad Haikal (57833956600); Zainal, Muzakir (57515066100); Ismail, Nazli (35193985000)</t>
  </si>
  <si>
    <t>24174376700; 57202998500; 57833956600; 57515066100; 35193985000</t>
  </si>
  <si>
    <t>SUBSURFACE MAPPING OF FAULT STRUCTURE IN THE WEH ISLAND BY USING A 3D DENSITY OF GLOBAL GRAVITY</t>
  </si>
  <si>
    <t>International Journal of GEOMATE</t>
  </si>
  <si>
    <t>10.21660/2022.96.3354</t>
  </si>
  <si>
    <t>https://www.scopus.com/inward/record.uri?eid=2-s2.0-85135588857&amp;doi=10.21660%2f2022.96.3354&amp;partnerID=40&amp;md5=6c37e93939b3b2d5a373cd9388d46c3e</t>
  </si>
  <si>
    <t>2-s2.0-85135588857</t>
  </si>
  <si>
    <t>Grimm D.</t>
  </si>
  <si>
    <t>Grimm, Daniela (7007040634)</t>
  </si>
  <si>
    <t>Microgravity and Space Medicine 2.0</t>
  </si>
  <si>
    <t>International Journal of Molecular Sciences</t>
  </si>
  <si>
    <t>10.3390/ijms23084456</t>
  </si>
  <si>
    <t>https://www.scopus.com/inward/record.uri?eid=2-s2.0-85128293669&amp;doi=10.3390%2fijms23084456&amp;partnerID=40&amp;md5=a04cf4f49f60b29fd392ed4ba12a1bbb</t>
  </si>
  <si>
    <t>Editorial</t>
  </si>
  <si>
    <t>2-s2.0-85128293669</t>
  </si>
  <si>
    <t>Alanzi E.M.; Kulendran N.; Nguyen T.-H.</t>
  </si>
  <si>
    <t>Alanzi, Eman Mealith (58483390200); Kulendran, Nada (56445435600); Nguyen, Thu-Huong (55473705700)</t>
  </si>
  <si>
    <t>58483390200; 56445435600; 55473705700</t>
  </si>
  <si>
    <t>Religious Tourism Demand and Country Prosperity: An Empirical Study of Saudi Arabia</t>
  </si>
  <si>
    <t>International Journal of Religious Tourism and Pilgrimage</t>
  </si>
  <si>
    <t>10.21427/X9C7-K225</t>
  </si>
  <si>
    <t>https://www.scopus.com/inward/record.uri?eid=2-s2.0-85164495458&amp;doi=10.21427%2fX9C7-K225&amp;partnerID=40&amp;md5=8711c39e78554e887783c1306b39122d</t>
  </si>
  <si>
    <t>2-s2.0-85164495458</t>
  </si>
  <si>
    <t>Cai L.A.; Liu J.; Huang J.</t>
  </si>
  <si>
    <t>Cai, Liping A. (35315646600); Liu, Jack (35756560700); Huang, Joy (56286815700)</t>
  </si>
  <si>
    <t>35315646600; 35756560700; 56286815700</t>
  </si>
  <si>
    <t>Effects of population migration on rural tourism</t>
  </si>
  <si>
    <t>International Journal of Services, Technology and Management</t>
  </si>
  <si>
    <t>10.1504/ijstm.2010.032077</t>
  </si>
  <si>
    <t>https://www.scopus.com/inward/record.uri?eid=2-s2.0-77949718944&amp;doi=10.1504%2fijstm.2010.032077&amp;partnerID=40&amp;md5=4da31ef00aaa89a099e1645a68a295b8</t>
  </si>
  <si>
    <t>2-s2.0-77949718944</t>
  </si>
  <si>
    <t>Baral L.B.; Nakarmi J.J.; Poudyal K.N.; Karki N.R.; Nalmpantis D.; Dura H.B.; Amatya V.P.</t>
  </si>
  <si>
    <t>Baral, Lok B. (59290197600); Nakarmi, Jeevan J. (35115267400); Poudyal, Khem N. (6504065311); Karki, Nava R. (8589489400); Nalmpantis, Dimitrios (8892417900); Dura, Hari B. (57221800252); Amatya, Vishwa P. (57224447147)</t>
  </si>
  <si>
    <t>59290197600; 35115267400; 6504065311; 8589489400; 8892417900; 57221800252; 57224447147</t>
  </si>
  <si>
    <t>Gravity balance up-down walking supported by circulating rope in mountain is easier than walking in plain</t>
  </si>
  <si>
    <t>International Journal of System Assurance Engineering and Management</t>
  </si>
  <si>
    <t>10.1007/s13198-021-01158-z</t>
  </si>
  <si>
    <t>https://www.scopus.com/inward/record.uri?eid=2-s2.0-85107572780&amp;doi=10.1007%2fs13198-021-01158-z&amp;partnerID=40&amp;md5=fd249000aea393f1c2b4818cc7a4f362</t>
  </si>
  <si>
    <t>2-s2.0-85107572780</t>
  </si>
  <si>
    <t>Nag A.; Sarkar S.</t>
  </si>
  <si>
    <t>Nag, Aditi (57234834100); Sarkar, Satyaki (56438504900)</t>
  </si>
  <si>
    <t>57234834100; 56438504900</t>
  </si>
  <si>
    <t>Developing an integrated model for assessment of tourism, transportation and economy in small heritage sites</t>
  </si>
  <si>
    <t>International Journal of Technological Learning, Innovation and Development</t>
  </si>
  <si>
    <t>10.1504/ijtlid.2022.125694</t>
  </si>
  <si>
    <t>https://www.scopus.com/inward/record.uri?eid=2-s2.0-85140628304&amp;doi=10.1504%2fijtlid.2022.125694&amp;partnerID=40&amp;md5=bc8c1fd098d967d15208476df731e5ba</t>
  </si>
  <si>
    <t>2-s2.0-85140628304</t>
  </si>
  <si>
    <t>Chasapopoulos P.; Den Butter F.A.G.; Mihaylov E.</t>
  </si>
  <si>
    <t>Chasapopoulos, Panagiotis (56267642300); Den Butter, Frank A.G. (56266797000); Mihaylov, Emil (54583906700)</t>
  </si>
  <si>
    <t>56267642300; 56266797000; 54583906700</t>
  </si>
  <si>
    <t>Demand for tourism in Greece: A panel data analysis using the gravity model</t>
  </si>
  <si>
    <t>International Journal of Tourism Policy</t>
  </si>
  <si>
    <t>10.1504/IJTP.2014.063105</t>
  </si>
  <si>
    <t>https://www.scopus.com/inward/record.uri?eid=2-s2.0-84904194322&amp;doi=10.1504%2fIJTP.2014.063105&amp;partnerID=40&amp;md5=3a652bbefd8549e57141762d63d791d0</t>
  </si>
  <si>
    <t>2-s2.0-84904194322</t>
  </si>
  <si>
    <t>Alvarez-Diaz M.; D'Hombres B.; Ghisetti C.; Pontarollo N.</t>
  </si>
  <si>
    <t>Alvarez-Diaz, Marcos (16038424500); D'Hombres, Beatrice (15845204300); Ghisetti, Claudia (55919273300); Pontarollo, Nicola (36028873300)</t>
  </si>
  <si>
    <t>16038424500; 15845204300; 55919273300; 36028873300</t>
  </si>
  <si>
    <t>Analysing domestic tourism flows at the provincial level in Spain by using spatial gravity models</t>
  </si>
  <si>
    <t>International Journal of Tourism Research</t>
  </si>
  <si>
    <t>10.1002/jtr.2344</t>
  </si>
  <si>
    <t>https://www.scopus.com/inward/record.uri?eid=2-s2.0-85077891449&amp;doi=10.1002%2fjtr.2344&amp;partnerID=40&amp;md5=fd8141db4f39fc07ef9a7ec244b67777</t>
  </si>
  <si>
    <t>2-s2.0-85077891449</t>
  </si>
  <si>
    <t>Chow C.K.W.; Tsui W.H.K.</t>
  </si>
  <si>
    <t>Chow, Clement Kong Wing (7402578512); Tsui, Wai Hong Kan (56742923100)</t>
  </si>
  <si>
    <t>7402578512; 56742923100</t>
  </si>
  <si>
    <t>Cross-border tourism: Case study of inbound Russian visitor arrivals to China</t>
  </si>
  <si>
    <t>10.1002/jtr.2297</t>
  </si>
  <si>
    <t>https://www.scopus.com/inward/record.uri?eid=2-s2.0-85071762002&amp;doi=10.1002%2fjtr.2297&amp;partnerID=40&amp;md5=bd06d8aec9f63510f37c2bc4447d9652</t>
  </si>
  <si>
    <t>2-s2.0-85071762002</t>
  </si>
  <si>
    <t>Provenzano D.; Baggio R.</t>
  </si>
  <si>
    <t>Provenzano, Davide (42561710700); Baggio, Rodolfo (23476323900)</t>
  </si>
  <si>
    <t>42561710700; 23476323900</t>
  </si>
  <si>
    <t>The contribution of human migration to tourism: The VFR travel between the EU28 member states</t>
  </si>
  <si>
    <t>10.1002/jtr.2127</t>
  </si>
  <si>
    <t>https://www.scopus.com/inward/record.uri?eid=2-s2.0-85020005790&amp;doi=10.1002%2fjtr.2127&amp;partnerID=40&amp;md5=8dff5b12ffcd864193c42ab24bac2b50</t>
  </si>
  <si>
    <t>2-s2.0-85020005790</t>
  </si>
  <si>
    <t>Tang R.</t>
  </si>
  <si>
    <t>Tang, Rui (57217826346)</t>
  </si>
  <si>
    <t>Does trade facilitation promote the efficiency of inbound tourism?—The empirical test based on Japan</t>
  </si>
  <si>
    <t>10.1002/jtr.2390</t>
  </si>
  <si>
    <t>https://www.scopus.com/inward/record.uri?eid=2-s2.0-85087645974&amp;doi=10.1002%2fjtr.2390&amp;partnerID=40&amp;md5=4ca9e5368239bb953e69b407c2381c84</t>
  </si>
  <si>
    <t>2-s2.0-85087645974</t>
  </si>
  <si>
    <t>Zhou X.; Santana Jiménez Y.; Pérez Rodríguez J.V.; Hernández J.M.</t>
  </si>
  <si>
    <t>Zhou, Xiaoge (56168589600); Santana Jiménez, Yolanda (35800283500); Pérez Rodríguez, Jorge V. (56216749800); Hernández, Juan María (7403026151)</t>
  </si>
  <si>
    <t>56168589600; 35800283500; 56216749800; 7403026151</t>
  </si>
  <si>
    <t>Air pollution and tourism demand: A case study of Beijing, China</t>
  </si>
  <si>
    <t>10.1002/jtr.2301</t>
  </si>
  <si>
    <t>https://www.scopus.com/inward/record.uri?eid=2-s2.0-85069898487&amp;doi=10.1002%2fjtr.2301&amp;partnerID=40&amp;md5=2e9a1fc9cf1ff2314f175256cce53a65</t>
  </si>
  <si>
    <t>2-s2.0-85069898487</t>
  </si>
  <si>
    <t>Bremen R.; Amberg F.; Lehmann G.</t>
  </si>
  <si>
    <t>Bremen, R. (6602814890); Amberg, F. (6508176510); Lehmann, G. (7102967492)</t>
  </si>
  <si>
    <t>6602814890; 6508176510; 7102967492</t>
  </si>
  <si>
    <t>Strengthening of the Spullersee dams</t>
  </si>
  <si>
    <t>International Journal on Hydropower and Dams</t>
  </si>
  <si>
    <t>https://www.scopus.com/inward/record.uri?eid=2-s2.0-3042691892&amp;partnerID=40&amp;md5=2dea98cb5f230ccf350e3a3ba1dd0704</t>
  </si>
  <si>
    <t>2-s2.0-3042691892</t>
  </si>
  <si>
    <t>Čech V.; Hronček P.; Tometzová D.; Hvizdák L.; Košová V.</t>
  </si>
  <si>
    <t>Čech, Vladimír (55341663100); Hronček, Pavel (38761435000); Tometzová, Dana (56020131200); Hvizdák, Ladislav (55970226700); Košová, Vladislava (57211297819)</t>
  </si>
  <si>
    <t>55341663100; 38761435000; 56020131200; 55970226700; 57211297819</t>
  </si>
  <si>
    <t>The impact of historical mining on the relief of low tatras (On the example of malÝ gÁpeĽ hill)</t>
  </si>
  <si>
    <t>International Multidisciplinary Scientific GeoConference Surveying Geology and Mining Ecology Management, SGEM</t>
  </si>
  <si>
    <t>10.5593/sgem2019/1.3/S03.085</t>
  </si>
  <si>
    <t>https://www.scopus.com/inward/record.uri?eid=2-s2.0-85073325784&amp;doi=10.5593%2fsgem2019%2f1.3%2fS03.085&amp;partnerID=40&amp;md5=5cddfacd14adb0ab8ffaede9b2be145c</t>
  </si>
  <si>
    <t>2-s2.0-85073325784</t>
  </si>
  <si>
    <t>Kovacheva S.; Asenova M.; Ivanov I.</t>
  </si>
  <si>
    <t>Kovacheva, Stanislava (57711219400); Asenova, Maria (57191850849); Ivanov, Ivaylo (57214064486)</t>
  </si>
  <si>
    <t>57711219400; 57191850849; 57214064486</t>
  </si>
  <si>
    <t>Possibilities for designing of distribution networks in alternative tourism supply chains</t>
  </si>
  <si>
    <t>10.5593/sgem2019/2.2/S11.116</t>
  </si>
  <si>
    <t>https://www.scopus.com/inward/record.uri?eid=2-s2.0-85073385602&amp;doi=10.5593%2fsgem2019%2f2.2%2fS11.116&amp;partnerID=40&amp;md5=4e787666e27bfab52c26e357abe307f1</t>
  </si>
  <si>
    <t>2-s2.0-85073385602</t>
  </si>
  <si>
    <t>Voicu F.; Voicu G.E.</t>
  </si>
  <si>
    <t>Voicu, Florina (56946896200); Voicu, George Emanuel (7003423053)</t>
  </si>
  <si>
    <t>56946896200; 7003423053</t>
  </si>
  <si>
    <t>Identification of climate phenomenes which are influencing the tourism activity in Șureanu massif area</t>
  </si>
  <si>
    <t>10.5593/sgem2018/2.3/S11.056</t>
  </si>
  <si>
    <t>https://www.scopus.com/inward/record.uri?eid=2-s2.0-85058880504&amp;doi=10.5593%2fsgem2018%2f2.3%2fS11.056&amp;partnerID=40&amp;md5=70f997b95046c6e88e78057bc7ad8d91</t>
  </si>
  <si>
    <t>2-s2.0-85058880504</t>
  </si>
  <si>
    <t>Waters L.B.; Wesselink B.D.; Edwards B.D.; Elimov R.; Hurst G.L.; Jenkinson M.D.; Vaughn S.D.</t>
  </si>
  <si>
    <t>Waters, L.B. (14014502600); Wesselink, B.D. (57191238679); Edwards, B.D. (57210523799); Elimov, R. (57511048700); Hurst, G.L. (57216045043); Jenkinson, M.D. (57215639105); Vaughn, S.D. (57528588000)</t>
  </si>
  <si>
    <t>14014502600; 57191238679; 57210523799; 57511048700; 57216045043; 57215639105; 57528588000</t>
  </si>
  <si>
    <t>The world's first offshore LNG receiving terminal</t>
  </si>
  <si>
    <t>International Petroleum Technology Conference, IPTC 2008</t>
  </si>
  <si>
    <t>10.2523/iptc-12803-ms</t>
  </si>
  <si>
    <t>https://www.scopus.com/inward/record.uri?eid=2-s2.0-67650554788&amp;doi=10.2523%2fiptc-12803-ms&amp;partnerID=40&amp;md5=4cb2b280b6f0d945074bb0cb605158cf</t>
  </si>
  <si>
    <t>2-s2.0-67650554788</t>
  </si>
  <si>
    <t>Lien D.; Tang P.; Zuloaga E.</t>
  </si>
  <si>
    <t>Lien, Donald (7006094582); Tang, Peilan (57226196032); Zuloaga, Erika (57201743546)</t>
  </si>
  <si>
    <t>7006094582; 57226196032; 57201743546</t>
  </si>
  <si>
    <t>Effects of Hallyu and the King Sejong Institute on International Trade and Services in Korea</t>
  </si>
  <si>
    <t>International Trade Journal</t>
  </si>
  <si>
    <t>10.1080/08853908.2021.1990165</t>
  </si>
  <si>
    <t>https://www.scopus.com/inward/record.uri?eid=2-s2.0-85118200582&amp;doi=10.1080%2f08853908.2021.1990165&amp;partnerID=40&amp;md5=23517ef9cb72042a9ff8db714780c881</t>
  </si>
  <si>
    <t>2-s2.0-85118200582</t>
  </si>
  <si>
    <t>Lo M.; Lien D.; Bojanic D.C.</t>
  </si>
  <si>
    <t>Lo, Melody (15048393900); Lien, Donald (7006094582); Bojanic, David C. (6602160863)</t>
  </si>
  <si>
    <t>15048393900; 7006094582; 6602160863</t>
  </si>
  <si>
    <t>The Impact of Cultural Institutes on International Tourism</t>
  </si>
  <si>
    <t>10.1080/08853908.2022.2128478</t>
  </si>
  <si>
    <t>https://www.scopus.com/inward/record.uri?eid=2-s2.0-85139798382&amp;doi=10.1080%2f08853908.2022.2128478&amp;partnerID=40&amp;md5=7ff6d2e2f891631c880a6e3e3a2e2b10</t>
  </si>
  <si>
    <t>2-s2.0-85139798382</t>
  </si>
  <si>
    <t>Tindal R.</t>
  </si>
  <si>
    <t>Tindal, Rob (55693765800)</t>
  </si>
  <si>
    <t>Anchor bolt remediation</t>
  </si>
  <si>
    <t>International Water Power and Dam Construction</t>
  </si>
  <si>
    <t>https://www.scopus.com/inward/record.uri?eid=2-s2.0-84877596814&amp;partnerID=40&amp;md5=aba76a4c3059a8171209cf39bc3640e0</t>
  </si>
  <si>
    <t>2-s2.0-84877596814</t>
  </si>
  <si>
    <t>Ali A.; Supratman; Syamsu A.</t>
  </si>
  <si>
    <t>Ali, A. (59305870100); Supratman (57210914633); Syamsu, A. (57215355388)</t>
  </si>
  <si>
    <t>59305870100; 57210914633; 57215355388</t>
  </si>
  <si>
    <t>Structure of Social Forestry Service Area in Cenrana District, Maros Regency</t>
  </si>
  <si>
    <t>IOP Conference Series: Earth and Environmental Science</t>
  </si>
  <si>
    <t>10.1088/1755-1315/1379/1/012018</t>
  </si>
  <si>
    <t>https://www.scopus.com/inward/record.uri?eid=2-s2.0-85202639696&amp;doi=10.1088%2f1755-1315%2f1379%2f1%2f012018&amp;partnerID=40&amp;md5=5aec099ef870e7214784d6d437b437c4</t>
  </si>
  <si>
    <t>2-s2.0-85202639696</t>
  </si>
  <si>
    <t>Handayani L.; Wardhana D.D.; Hartanto P.; Delinom R.; Sudaryanto; Bakti H.; Lubis R.F.</t>
  </si>
  <si>
    <t>Handayani, L. (57191248962); Wardhana, D.D. (57847594100); Hartanto, P. (57203391673); Delinom, R. (57201620957); Sudaryanto (57195423622); Bakti, H. (55207372600); Lubis, R.F. (57201620925)</t>
  </si>
  <si>
    <t>57191248962; 57847594100; 57203391673; 57201620957; 57195423622; 55207372600; 57201620925</t>
  </si>
  <si>
    <t>Gravity survey of groundwater characterization at Labuan Basin</t>
  </si>
  <si>
    <t>10.1088/1755-1315/118/1/012015</t>
  </si>
  <si>
    <t>https://www.scopus.com/inward/record.uri?eid=2-s2.0-85043241020&amp;doi=10.1088%2f1755-1315%2f118%2f1%2f012015&amp;partnerID=40&amp;md5=f2d9ab3ecd903cf556aa08751600bdb0</t>
  </si>
  <si>
    <t>2-s2.0-85043241020</t>
  </si>
  <si>
    <t>Paembonan A.Y.; Irawati S.M.; Mustofa Y.; Putri I.A.; Ekawati G.M.; Laesanpura A.; Yanis M.</t>
  </si>
  <si>
    <t>Paembonan, A.Y. (57195247723); Irawati, S.M. (57196021140); Mustofa, Y. (59216229800); Putri, I.A. (57548568000); Ekawati, G.M. (57209021169); Laesanpura, A. (6504473299); Yanis, M. (57202998500)</t>
  </si>
  <si>
    <t>57195247723; 57196021140; 59216229800; 57548568000; 57209021169; 6504473299; 57202998500</t>
  </si>
  <si>
    <t>Identifying the structure as a hot water outflow path using gravity in Jatimulyo, South Lampung</t>
  </si>
  <si>
    <t>10.1088/1755-1315/1356/1/012091</t>
  </si>
  <si>
    <t>https://www.scopus.com/inward/record.uri?eid=2-s2.0-85198361320&amp;doi=10.1088%2f1755-1315%2f1356%2f1%2f012091&amp;partnerID=40&amp;md5=fb375f7896a2be9ef389e63171a6798a</t>
  </si>
  <si>
    <t>2-s2.0-85198361320</t>
  </si>
  <si>
    <t>Ranjan P.; Pandey P.K.; Pandey V.; Lepcha P.T.</t>
  </si>
  <si>
    <t>Ranjan, Prem (57211666644); Pandey, Pankaj Kumar (37054434200); Pandey, Vanita (57209634783); Lepcha, Pema Tshering (57221848295)</t>
  </si>
  <si>
    <t>57211666644; 37054434200; 57209634783; 57221848295</t>
  </si>
  <si>
    <t>Spring Water Management to Ensure Long Term Sustainability in North-Eastern Regions of India</t>
  </si>
  <si>
    <t>10.1088/1755-1315/1084/1/012062</t>
  </si>
  <si>
    <t>https://www.scopus.com/inward/record.uri?eid=2-s2.0-85141793768&amp;doi=10.1088%2f1755-1315%2f1084%2f1%2f012062&amp;partnerID=40&amp;md5=5652e2277822798050ccfde20df5559f</t>
  </si>
  <si>
    <t>2-s2.0-85141793768</t>
  </si>
  <si>
    <t>Suartika G.A.M.</t>
  </si>
  <si>
    <t>Suartika, G.A.M. (16319641700)</t>
  </si>
  <si>
    <t>Lessons from a Small Island - Density, Spatial Development, and Identity</t>
  </si>
  <si>
    <t>10.1088/1755-1315/248/1/012016</t>
  </si>
  <si>
    <t>https://www.scopus.com/inward/record.uri?eid=2-s2.0-85066298547&amp;doi=10.1088%2f1755-1315%2f248%2f1%2f012016&amp;partnerID=40&amp;md5=83041877ca4602b459aae44005f30a34</t>
  </si>
  <si>
    <t>2-s2.0-85066298547</t>
  </si>
  <si>
    <t>Supriyadi; Khumaedi S.; Sugiyanto</t>
  </si>
  <si>
    <t>Supriyadi (57190977945); Khumaedi, S. (57215038739); Sugiyanto (57192185477)</t>
  </si>
  <si>
    <t>57190977945; 57215038739; 57192185477</t>
  </si>
  <si>
    <t>Relationship between Time Lapse Microgravity Anomaly with Na and Cl Content for prediction of Sea Water Intrusion in Tourism Area Kota Lama Semarang Indonesia</t>
  </si>
  <si>
    <t>10.1088/1755-1315/424/1/012009</t>
  </si>
  <si>
    <t>https://www.scopus.com/inward/record.uri?eid=2-s2.0-85079773423&amp;doi=10.1088%2f1755-1315%2f424%2f1%2f012009&amp;partnerID=40&amp;md5=77d25f2beec94a7c0ccf2e50d56056e6</t>
  </si>
  <si>
    <t>2-s2.0-85079773423</t>
  </si>
  <si>
    <t>Taurida Alaydrus A.; Susilo A.; Minardi S.; Naba A.; Panji Abraham T.</t>
  </si>
  <si>
    <t>Taurida Alaydrus, A. (57212061629); Susilo, A. (8514122100); Minardi, S. (57212066060); Naba, A. (36146268500); Panji Abraham, T. (58299457000)</t>
  </si>
  <si>
    <t>57212061629; 8514122100; 57212066060; 36146268500; 58299457000</t>
  </si>
  <si>
    <t>3D inversion modelling of gravity and geomagnetic in the coastal aquifer of the Mandalika Lombok</t>
  </si>
  <si>
    <t>10.1088/1755-1315/1175/1/012018</t>
  </si>
  <si>
    <t>https://www.scopus.com/inward/record.uri?eid=2-s2.0-85160945082&amp;doi=10.1088%2f1755-1315%2f1175%2f1%2f012018&amp;partnerID=40&amp;md5=aa32f40901e93e5c87405a7712be2963</t>
  </si>
  <si>
    <t>2-s2.0-85160945082</t>
  </si>
  <si>
    <t>https://www.scopus.com/inward/record.uri?eid=2-s2.0-85039450901&amp;partnerID=40&amp;md5=34ad153495d32391efb15d093e662b35</t>
  </si>
  <si>
    <t>2-s2.0-85039450901</t>
  </si>
  <si>
    <t>Hasanuddin H.; Nurdin H.; Waskito W.; Refdinal R.</t>
  </si>
  <si>
    <t>Hasanuddin, H. (57202281015); Nurdin, H. (57210847915); Waskito, W. (57212314882); Refdinal, R. (57205217215)</t>
  </si>
  <si>
    <t>57202281015; 57210847915; 57212314882; 57205217215</t>
  </si>
  <si>
    <t>The Combination of Coastal Resources Potential: Development of Windmill Techno Park in the Context of Edutourism and Hinterland Analysis</t>
  </si>
  <si>
    <t>IOP Conference Series: Materials Science and Engineering</t>
  </si>
  <si>
    <t>10.1088/1757-899X/335/1/012059</t>
  </si>
  <si>
    <t>https://www.scopus.com/inward/record.uri?eid=2-s2.0-85047760773&amp;doi=10.1088%2f1757-899X%2f335%2f1%2f012059&amp;partnerID=40&amp;md5=9351f140467cde1a56d88494e59c1291</t>
  </si>
  <si>
    <t>2-s2.0-85047760773</t>
  </si>
  <si>
    <t>Qiu X.; Yang L.; Wang G.; Tian B.</t>
  </si>
  <si>
    <t>Qiu, Xiaoyun (57211977235); Yang, Longhai (34877913800); Wang, Gang (57216359041); Tian, Bin (57216357030)</t>
  </si>
  <si>
    <t>57211977235; 34877913800; 57216359041; 57216357030</t>
  </si>
  <si>
    <t>Study on Site Selection of Service Facilities for Tourist Highway Campsites: A Case Study of Songhua Lake Area in Jilin Province</t>
  </si>
  <si>
    <t>10.1088/1757-899X/780/6/062001</t>
  </si>
  <si>
    <t>https://www.scopus.com/inward/record.uri?eid=2-s2.0-85083233671&amp;doi=10.1088%2f1757-899X%2f780%2f6%2f062001&amp;partnerID=40&amp;md5=1eadd7c789c31aa1533f4d117f2938b6</t>
  </si>
  <si>
    <t>2-s2.0-85083233671</t>
  </si>
  <si>
    <t>Supriyadi S.; Khumaedi K.; Sugiyanto S.; Setiawan F.; Yani M.; Teguh T.</t>
  </si>
  <si>
    <t>Supriyadi, S. (57190977945); Khumaedi, K. (57190935615); Sugiyanto, S. (57192185477); Setiawan, Fajar (57217136103); Yani, M. (57217138971); Teguh, T. (57217132573)</t>
  </si>
  <si>
    <t>57190977945; 57190935615; 57192185477; 57217136103; 57217138971; 57217132573</t>
  </si>
  <si>
    <t>Analysis of Time Lapse Microgravity Anomaly Data Case Study in Kota Lama Tourism Area Semarang Indonesia</t>
  </si>
  <si>
    <t>10.1088/1757-899X/846/1/012062</t>
  </si>
  <si>
    <t>https://www.scopus.com/inward/record.uri?eid=2-s2.0-85086403122&amp;doi=10.1088%2f1757-899X%2f846%2f1%2f012062&amp;partnerID=40&amp;md5=61c403e2a905dec66c56cd77885ca395</t>
  </si>
  <si>
    <t>2-s2.0-85086403122</t>
  </si>
  <si>
    <t>Hasan M.F.R.; Susilo A.; Suryo E.A.; Agung P.A.M.; Idmi M.H.; Suaidi D.A.; Aprilia F.</t>
  </si>
  <si>
    <t>Hasan, Muhammad Fathur Rouf (57224961131); Susilo, Adi (8514122100); Suryo, Eko Andi (55496877400); Agung, Putera Agung Maha (57222630217); Idmi, Mohammad Habibiy (58773836400); Suaidi, Daeng Achmad (57210928528); Aprilia, Faridha (57882017700)</t>
  </si>
  <si>
    <t>57224961131; 8514122100; 55496877400; 57222630217; 58773836400; 57210928528; 57882017700</t>
  </si>
  <si>
    <t>Mapping of Landslide Potential in Payung, Batu City, Indonesia, Using Global Gravity Model Plus (GGMplus) Data as Landslide Mitigation</t>
  </si>
  <si>
    <t>Iraqi Geological Journal</t>
  </si>
  <si>
    <t>10.46717/igj.57.1A.13ms-2024-1-24</t>
  </si>
  <si>
    <t>https://www.scopus.com/inward/record.uri?eid=2-s2.0-85191317780&amp;doi=10.46717%2figj.57.1A.13ms-2024-1-24&amp;partnerID=40&amp;md5=79951c2e8730cfaf8410d3af9dd68d78</t>
  </si>
  <si>
    <t>2-s2.0-85191317780</t>
  </si>
  <si>
    <t>McElroy J.L.</t>
  </si>
  <si>
    <t>McElroy, Jerome L. (7103277978)</t>
  </si>
  <si>
    <t>A response to Armstrong and Read, Poirine and Bertram</t>
  </si>
  <si>
    <t>Island Studies Journal</t>
  </si>
  <si>
    <t>https://www.scopus.com/inward/record.uri?eid=2-s2.0-84922787226&amp;partnerID=40&amp;md5=61b71c84fe1311670ed546b27be620a6</t>
  </si>
  <si>
    <t>2-s2.0-84922787226</t>
  </si>
  <si>
    <t>Poirine B.</t>
  </si>
  <si>
    <t>Poirine, Bernard (56333914000)</t>
  </si>
  <si>
    <t>The significance of geographic location in island studies: A rejoinder</t>
  </si>
  <si>
    <t>10.24043/isj.313</t>
  </si>
  <si>
    <t>https://www.scopus.com/inward/record.uri?eid=2-s2.0-84922817674&amp;doi=10.24043%2fisj.313&amp;partnerID=40&amp;md5=e62c05dbbd574cd6800b9c5e16c6530f</t>
  </si>
  <si>
    <t>2-s2.0-84922817674</t>
  </si>
  <si>
    <t>Vítová P.; Harmáček J.; Opršal Z.</t>
  </si>
  <si>
    <t>Vítová, Pavla (57211711958); Harmáček, Jaromír (57191618529); Opršal, Zdeněk (55102927900)</t>
  </si>
  <si>
    <t>57211711958; 57191618529; 55102927900</t>
  </si>
  <si>
    <t>Determinants of tourism flows in small island developing states (SIDS)</t>
  </si>
  <si>
    <t>10.24043/isj.90</t>
  </si>
  <si>
    <t>https://www.scopus.com/inward/record.uri?eid=2-s2.0-85074877623&amp;doi=10.24043%2fisj.90&amp;partnerID=40&amp;md5=42582de0b21f1c56195e814f69065a0d</t>
  </si>
  <si>
    <t>2-s2.0-85074877623</t>
  </si>
  <si>
    <t>Qi D.; Wang B.; Zhao Q.; Jin P.</t>
  </si>
  <si>
    <t>Qi, Danfeng (59001427200); Wang, Bingbing (57804781000); Zhao, Qiuhao (58112080500); Jin, Pingbin (36924093000)</t>
  </si>
  <si>
    <t>59001427200; 57804781000; 58112080500; 36924093000</t>
  </si>
  <si>
    <t>Research on the Spatial Network Structure of Tourist Flows in Hangzhou Based on BERT-BiLSTM-CRF</t>
  </si>
  <si>
    <t>ISPRS International Journal of Geo-Information</t>
  </si>
  <si>
    <t>10.3390/ijgi13040139</t>
  </si>
  <si>
    <t>https://www.scopus.com/inward/record.uri?eid=2-s2.0-85191358300&amp;doi=10.3390%2fijgi13040139&amp;partnerID=40&amp;md5=d113691a9b313ef43ffa7d8b6e32e25c</t>
  </si>
  <si>
    <t>2-s2.0-85191358300</t>
  </si>
  <si>
    <t>Sousa F.A.; Baião C.J.O.; Brito J.M.</t>
  </si>
  <si>
    <t>Sousa, F.A. (57205208061); Baião, C.J.O. (55756464500); Brito, J.M. (57205203904)</t>
  </si>
  <si>
    <t>57205208061; 55756464500; 57205203904</t>
  </si>
  <si>
    <t>Project and technical assistance to the retaining structures of Cabo Girão Tourist Resort</t>
  </si>
  <si>
    <t>ISRM International Workshop on Rock Mechanics and Geoengineering in Volcanic Environments 2010, IWVE 2010</t>
  </si>
  <si>
    <t>10.1201/b10549-48</t>
  </si>
  <si>
    <t>https://www.scopus.com/inward/record.uri?eid=2-s2.0-85059050771&amp;doi=10.1201%2fb10549-48&amp;partnerID=40&amp;md5=69baf619520328e376c5ccf1dbf997f1</t>
  </si>
  <si>
    <t>2-s2.0-85059050771</t>
  </si>
  <si>
    <t>Harrison M.H.</t>
  </si>
  <si>
    <t>Harrison, M.H. (57198673798)</t>
  </si>
  <si>
    <t>The popular commercialisation of space: human factor issues</t>
  </si>
  <si>
    <t>JBIS - Journal of the British Interplanetary Society</t>
  </si>
  <si>
    <t>https://www.scopus.com/inward/record.uri?eid=2-s2.0-70450032869&amp;partnerID=40&amp;md5=48068476f0540de3409ac759d84d6d9c</t>
  </si>
  <si>
    <t>2-s2.0-70450032869</t>
  </si>
  <si>
    <t>Savino R.; Russo G.; Carandente V.; D'Oriano V.</t>
  </si>
  <si>
    <t>Savino, R. (7005886959); Russo, G. (7202429961); Carandente, V. (55574639400); D'Oriano, V. (55620335400)</t>
  </si>
  <si>
    <t>7005886959; 7202429961; 55574639400; 55620335400</t>
  </si>
  <si>
    <t>Hyplane for space tourism and business transportation</t>
  </si>
  <si>
    <t>https://www.scopus.com/inward/record.uri?eid=2-s2.0-84903200614&amp;partnerID=40&amp;md5=87f7f5062c11cedf0643c1383d28522f</t>
  </si>
  <si>
    <t>2-s2.0-84903200614</t>
  </si>
  <si>
    <t>Sivier D.</t>
  </si>
  <si>
    <t>Sivier, David (6506617917)</t>
  </si>
  <si>
    <t>Live from the Mars hotel: Space locations and the film industry</t>
  </si>
  <si>
    <t>https://www.scopus.com/inward/record.uri?eid=2-s2.0-70450092798&amp;partnerID=40&amp;md5=e626dc718d4786d476674d30541349af</t>
  </si>
  <si>
    <t>2-s2.0-70450092798</t>
  </si>
  <si>
    <t>Collins P.</t>
  </si>
  <si>
    <t>Collins, Patrick (57191500383)</t>
  </si>
  <si>
    <t>Space hotels: Civil engineering's new frontier</t>
  </si>
  <si>
    <t>Journal of Aerospace Engineering</t>
  </si>
  <si>
    <t>10.1061/(ASCE)0893-1321(2002)15:1(10)</t>
  </si>
  <si>
    <t>https://www.scopus.com/inward/record.uri?eid=2-s2.0-0036170095&amp;doi=10.1061%2f%28ASCE%290893-1321%282002%2915%3a1%2810%29&amp;partnerID=40&amp;md5=8b501b3e08c3abe06b2d4e80220296f1</t>
  </si>
  <si>
    <t>2-s2.0-0036170095</t>
  </si>
  <si>
    <t>Collins P.; Kuwahara S.; Nishimura T.; Fukuoka T.</t>
  </si>
  <si>
    <t>Collins, Patrick (57191500383); Kuwahara, Sunao (7102549118); Nishimura, Tsuyoshi (36842328600); Fukuoka, Takashi (7102042504)</t>
  </si>
  <si>
    <t>57191500383; 7102549118; 36842328600; 7102042504</t>
  </si>
  <si>
    <t>Design and construction of zero-gravity gymnasium</t>
  </si>
  <si>
    <t>10.1061/(asce)0893-1321(1997)10:2(94)</t>
  </si>
  <si>
    <t>https://www.scopus.com/inward/record.uri?eid=2-s2.0-0031125924&amp;doi=10.1061%2f%28asce%290893-1321%281997%2910%3a2%2894%29&amp;partnerID=40&amp;md5=ce452fc8f2b042fe7706ec0f614be212</t>
  </si>
  <si>
    <t>2-s2.0-0031125924</t>
  </si>
  <si>
    <t>Lashin A.; AlQuraishi A.A.; AlKhidir K.; Kinawy M.M.; Al Jawder A.</t>
  </si>
  <si>
    <t>Lashin, Aref (27967768700); AlQuraishi, Abdulrahman A. (26431813700); AlKhidir, Khalid (57202418706); Kinawy, Mostafa M. (57202424661); Al Jawder, Abdulla (57202422008)</t>
  </si>
  <si>
    <t>27967768700; 26431813700; 57202418706; 57202424661; 57202422008</t>
  </si>
  <si>
    <t>Characterization of the Permo-Triassic upper Khuff reservoir, central Saudi Arabia: An integrated core plugs, petro-fabrics and mercury injection analysis</t>
  </si>
  <si>
    <t>Journal of African Earth Sciences</t>
  </si>
  <si>
    <t>10.1016/j.jafrearsci.2018.05.021</t>
  </si>
  <si>
    <t>https://www.scopus.com/inward/record.uri?eid=2-s2.0-85048303133&amp;doi=10.1016%2fj.jafrearsci.2018.05.021&amp;partnerID=40&amp;md5=ec90037c8ac06d098ff9758551f18e58</t>
  </si>
  <si>
    <t>2-s2.0-85048303133</t>
  </si>
  <si>
    <t>Galli P.; Fraga C.; de Sequeira Santos M.P.</t>
  </si>
  <si>
    <t>Galli, Paolo (57189092256); Fraga, Carla (57189096146); de Sequeira Santos, Marcio Peixoto (35120319700)</t>
  </si>
  <si>
    <t>57189092256; 57189096146; 35120319700</t>
  </si>
  <si>
    <t>Gravitational force exerted by Brazilian tourist destinations on foreign air travelers</t>
  </si>
  <si>
    <t>Journal of Air Transport Management</t>
  </si>
  <si>
    <t>10.1016/j.jairtraman.2016.04.011</t>
  </si>
  <si>
    <t>https://www.scopus.com/inward/record.uri?eid=2-s2.0-84965138676&amp;doi=10.1016%2fj.jairtraman.2016.04.011&amp;partnerID=40&amp;md5=4f0f80713af376f4f9de1a0402238fff</t>
  </si>
  <si>
    <t>2-s2.0-84965138676</t>
  </si>
  <si>
    <t>Tsui W.H.K.; Fung M.K.Y.</t>
  </si>
  <si>
    <t>Tsui, Wai Hong Kan (56742923100); Fung, Michael Ka Yiu (34881816900)</t>
  </si>
  <si>
    <t>56742923100; 34881816900</t>
  </si>
  <si>
    <t>Analysing passenger network changes: The case of Hong Kong</t>
  </si>
  <si>
    <t>10.1016/j.jairtraman.2015.09.001</t>
  </si>
  <si>
    <t>https://www.scopus.com/inward/record.uri?eid=2-s2.0-84941709853&amp;doi=10.1016%2fj.jairtraman.2015.09.001&amp;partnerID=40&amp;md5=c507af615d28a352220294c0e90f6b68</t>
  </si>
  <si>
    <t>2-s2.0-84941709853</t>
  </si>
  <si>
    <t>Zhou H.; Xia J.C.; Luo Q.; Nikolova G.; Sun J.; Hughes B.; Kelobonye K.; Wang H.; Falkmer T.</t>
  </si>
  <si>
    <t>Zhou, Heng (57202080079); Xia, Jianhong (Cecilia) (26636183500); Luo, Qingzhou (26633136800); Nikolova, Gabi (57202072878); Sun, Jie (16312754600); Hughes, Brett (57193412289); Kelobonye, Keone (57202078252); Wang, Hui (57202077950); Falkmer, Torbjorn (6602191563)</t>
  </si>
  <si>
    <t>57202080079; 26636183500; 26633136800; 57202072878; 16312754600; 57193412289; 57202078252; 57202077950; 6602191563</t>
  </si>
  <si>
    <t>Investigating the impact of catchment areas of airports on estimating air travel demand: A case study of regional Western Australia</t>
  </si>
  <si>
    <t>10.1016/j.jairtraman.2018.05.001</t>
  </si>
  <si>
    <t>https://www.scopus.com/inward/record.uri?eid=2-s2.0-85047057330&amp;doi=10.1016%2fj.jairtraman.2018.05.001&amp;partnerID=40&amp;md5=f7bb1c97ba95b587f8d3fa8f214c1621</t>
  </si>
  <si>
    <t>2-s2.0-85047057330</t>
  </si>
  <si>
    <t>Manek N.J.</t>
  </si>
  <si>
    <t>Manek, Nisha J. (6603545874)</t>
  </si>
  <si>
    <t>Symmetry states of the physical space: An expanded reference frame for understanding human consciousness</t>
  </si>
  <si>
    <t>Journal of Alternative and Complementary Medicine</t>
  </si>
  <si>
    <t>10.1089/acm.2011.0604</t>
  </si>
  <si>
    <t>https://www.scopus.com/inward/record.uri?eid=2-s2.0-84856246115&amp;doi=10.1089%2facm.2011.0604&amp;partnerID=40&amp;md5=eee42441cf4ce26ed5032c70cf7d5ac5</t>
  </si>
  <si>
    <t>2-s2.0-84856246115</t>
  </si>
  <si>
    <t>De Lugão P.P.; LaTerra E.F.; Kriegshäuser B.; Fontes S.L.</t>
  </si>
  <si>
    <t>De Lugão, Patricia Pastana (6507471943); LaTerra, Emanuele Francesco (15826434300); Kriegshäuser, Berthold (6602786928); Fontes, Sergio L. (6602887938)</t>
  </si>
  <si>
    <t>6507471943; 15826434300; 6602786928; 6602887938</t>
  </si>
  <si>
    <t>Magnetotelluric studies of the Caldas Novas geothermal reservoir, Brazil</t>
  </si>
  <si>
    <t>Journal of Applied Geophysics</t>
  </si>
  <si>
    <t>10.1016/S0926-9851(01)00097-0</t>
  </si>
  <si>
    <t>https://www.scopus.com/inward/record.uri?eid=2-s2.0-0036109633&amp;doi=10.1016%2fS0926-9851%2801%2900097-0&amp;partnerID=40&amp;md5=c864e27969a4054a675c2bedf09b5eb7</t>
  </si>
  <si>
    <t>2-s2.0-0036109633</t>
  </si>
  <si>
    <t>Gómez-Ortiz D.; Montesinos F.G.; Martín-Crespo T.; Solla M.; Arnoso J.; Vélez E.</t>
  </si>
  <si>
    <t>Gómez-Ortiz, David (13003802100); Montesinos, Fuensanta G. (35618885100); Martín-Crespo, Tomás (7801654209); Solla, Mercedes (57202326745); Arnoso, José (6506316208); Vélez, Emilio (11540866000)</t>
  </si>
  <si>
    <t>13003802100; 35618885100; 7801654209; 57202326745; 6506316208; 11540866000</t>
  </si>
  <si>
    <t>Combination of geophysical prospecting techniques into areas of high protection value: Identification of shallow volcanic structures</t>
  </si>
  <si>
    <t>10.1016/j.jappgeo.2014.07.009</t>
  </si>
  <si>
    <t>https://www.scopus.com/inward/record.uri?eid=2-s2.0-84905252078&amp;doi=10.1016%2fj.jappgeo.2014.07.009&amp;partnerID=40&amp;md5=fe33eb3a41e25b900031a494ba525f25</t>
  </si>
  <si>
    <t>2-s2.0-84905252078</t>
  </si>
  <si>
    <t>Morsy M.; Rashed M.</t>
  </si>
  <si>
    <t>Morsy, Mona (55617192200); Rashed, Mohamed (7006151178)</t>
  </si>
  <si>
    <t>55617192200; 7006151178</t>
  </si>
  <si>
    <t>Integrated magnetic, gravity, and GPR surveys to locate the probable source of hydrocarbon contamination in Sharm El-Sheikh area, south Sinai, Egypt</t>
  </si>
  <si>
    <t>10.1016/j.jappgeo.2012.11.003</t>
  </si>
  <si>
    <t>https://www.scopus.com/inward/record.uri?eid=2-s2.0-84874746772&amp;doi=10.1016%2fj.jappgeo.2012.11.003&amp;partnerID=40&amp;md5=9563f7e79d619d6c5c52d29e9ab975a5</t>
  </si>
  <si>
    <t>2-s2.0-84874746772</t>
  </si>
  <si>
    <t>Iglesias L.M.P.; Bernardo G.</t>
  </si>
  <si>
    <t>Iglesias, Luis Manuel Palmero (57459825300); Bernardo, Graziella (57514723300)</t>
  </si>
  <si>
    <t>57459825300; 57514723300</t>
  </si>
  <si>
    <t>The industrial heritage as text and pretext for contemporary architecture</t>
  </si>
  <si>
    <t>Journal of Architectural Conservation</t>
  </si>
  <si>
    <t>10.1080/13556207.2022.2061140</t>
  </si>
  <si>
    <t>https://www.scopus.com/inward/record.uri?eid=2-s2.0-85129190693&amp;doi=10.1080%2f13556207.2022.2061140&amp;partnerID=40&amp;md5=478cf2491a20cf624b9f049fc8a50fb3</t>
  </si>
  <si>
    <t>2-s2.0-85129190693</t>
  </si>
  <si>
    <t>Bao J.; Xie H.J.</t>
  </si>
  <si>
    <t>Bao, Jigang (23134325800); Xie, Hui Jimmy (35365271000)</t>
  </si>
  <si>
    <t>23134325800; 35365271000</t>
  </si>
  <si>
    <t>Determinants of Domestic Tourism Demand for Guilin; [桂林国内旅游需求影响因素研究]</t>
  </si>
  <si>
    <t>Journal of China Tourism Research</t>
  </si>
  <si>
    <t>10.1080/19388160.2018.1515139</t>
  </si>
  <si>
    <t>https://www.scopus.com/inward/record.uri?eid=2-s2.0-85053543557&amp;doi=10.1080%2f19388160.2018.1515139&amp;partnerID=40&amp;md5=ea7cb1327fae22009c4bc32aab8d7bc4</t>
  </si>
  <si>
    <t>2-s2.0-85053543557</t>
  </si>
  <si>
    <t>Liu M.; Lu M.; Li Z.</t>
  </si>
  <si>
    <t>Liu, Meilun (58950329000); Lu, Mengyuan (59231506400); Li, Zhongyuan (58738083600)</t>
  </si>
  <si>
    <t>58950329000; 59231506400; 58738083600</t>
  </si>
  <si>
    <t>Coupling coordination analysis on digital economy-tourism development-ecological environment</t>
  </si>
  <si>
    <t>Journal of Cleaner Production</t>
  </si>
  <si>
    <t>10.1016/j.jclepro.2024.143320</t>
  </si>
  <si>
    <t>https://www.scopus.com/inward/record.uri?eid=2-s2.0-85200397543&amp;doi=10.1016%2fj.jclepro.2024.143320&amp;partnerID=40&amp;md5=de46bb95989cdc098adafedc751c0260</t>
  </si>
  <si>
    <t>2-s2.0-85200397543</t>
  </si>
  <si>
    <t>Oarga Mulec A.; Mihelič R.; Walochnik J.; Griessler Bulc T.</t>
  </si>
  <si>
    <t>Oarga Mulec, Andreea (55201939500); Mihelič, Rok (6603107212); Walochnik, Julia (6602193338); Griessler Bulc, Tjaša (6602265223)</t>
  </si>
  <si>
    <t>55201939500; 6603107212; 6602193338; 6602265223</t>
  </si>
  <si>
    <t>Composting of the solid fraction of blackwater from a separation system with vacuum toilets - Effects on the process and quality</t>
  </si>
  <si>
    <t>10.1016/j.jclepro.2015.07.080</t>
  </si>
  <si>
    <t>https://www.scopus.com/inward/record.uri?eid=2-s2.0-84959523357&amp;doi=10.1016%2fj.jclepro.2015.07.080&amp;partnerID=40&amp;md5=157820d6a8aec8d7722a87309f00a172</t>
  </si>
  <si>
    <t>2-s2.0-84959523357</t>
  </si>
  <si>
    <t>Gül M.; Yılmaz Ö.; Zeybek Ö.</t>
  </si>
  <si>
    <t>Gül, Murat (7004623702); Yılmaz, Özlem (57205941293); Zeybek, Özer (56644618100)</t>
  </si>
  <si>
    <t>7004623702; 57205941293; 56644618100</t>
  </si>
  <si>
    <t>Morphology of coast and textural characteristics of coastal sediments (NE Gökova Graben, SW Turkey)</t>
  </si>
  <si>
    <t>Journal of Coastal Conservation</t>
  </si>
  <si>
    <t>10.1007/s11852-018-0672-3</t>
  </si>
  <si>
    <t>https://www.scopus.com/inward/record.uri?eid=2-s2.0-85056707134&amp;doi=10.1007%2fs11852-018-0672-3&amp;partnerID=40&amp;md5=87caa094c96752f1a34594762cd72d1f</t>
  </si>
  <si>
    <t>2-s2.0-85056707134</t>
  </si>
  <si>
    <t>Ibrahim J.C.</t>
  </si>
  <si>
    <t>Ibrahim, J.C. (8508337200)</t>
  </si>
  <si>
    <t>Morphodynamics and surf zone sediment transport for two beaches in Trinidad: Response to wet and dry seasons</t>
  </si>
  <si>
    <t>Journal of Coastal Research</t>
  </si>
  <si>
    <t>SPEC. ISS. 42</t>
  </si>
  <si>
    <t>https://www.scopus.com/inward/record.uri?eid=2-s2.0-22444435805&amp;partnerID=40&amp;md5=f8ed2903ad5c5cc64fbaa2ccd805e540</t>
  </si>
  <si>
    <t>2-s2.0-22444435805</t>
  </si>
  <si>
    <t>Negro V.; Del Campo J.M.; Frades J.L.; Antón M.M.; Esteban M.D.; López-Gutiérrez J.-S.; Soukissian T.</t>
  </si>
  <si>
    <t>Negro, Vicente (6602843585); Del Campo, J.M. (36476878500); Frades, J. Luengo (57206698420); Antón, Mario Martín (57216945048); Esteban, M. Dolores (55506315400); López-Gutiérrez, José-Santos (36242112300); Soukissian, Takvor (6602248148)</t>
  </si>
  <si>
    <t>6602843585; 36476878500; 57206698420; 57216945048; 55506315400; 36242112300; 6602248148</t>
  </si>
  <si>
    <t>Impact of Offshore Wind Farms on Marine Ecosystems, Pelagic Species and Fishing</t>
  </si>
  <si>
    <t>sp1</t>
  </si>
  <si>
    <t>10.2112/SI95-023.1</t>
  </si>
  <si>
    <t>https://www.scopus.com/inward/record.uri?eid=2-s2.0-85085503763&amp;doi=10.2112%2fSI95-023.1&amp;partnerID=40&amp;md5=5278879d44512652041aaf2d9001e2be</t>
  </si>
  <si>
    <t>2-s2.0-85085503763</t>
  </si>
  <si>
    <t>Xu M.; Cui B.; Lan S.; Li D.; Wang Y.; Jiang B.</t>
  </si>
  <si>
    <t>Xu, Mingzhe (57216869644); Cui, Buli (26664385000); Lan, Shaobin (57216859166); Li, Dongsheng (57209805635); Wang, Ying (57211418053); Jiang, Baofu (57200370454)</t>
  </si>
  <si>
    <t>57216869644; 26664385000; 57216859166; 57209805635; 57211418053; 57200370454</t>
  </si>
  <si>
    <t>Exploring Dynamic Change of the Tidal Flat Aquaculture Area in the Shandong Peninsula (China) using Multitemporal Landsat Imagery (1990-2015)</t>
  </si>
  <si>
    <t>10.2112/SI99-028.1</t>
  </si>
  <si>
    <t>https://www.scopus.com/inward/record.uri?eid=2-s2.0-85085048044&amp;doi=10.2112%2fSI99-028.1&amp;partnerID=40&amp;md5=52e1ebda336226f2715940bb9f58eb37</t>
  </si>
  <si>
    <t>2-s2.0-85085048044</t>
  </si>
  <si>
    <t>Groizard J.L.; Santana-Gallego M.</t>
  </si>
  <si>
    <t>Groizard, José L. (16067267900); Santana-Gallego, María (36119110700)</t>
  </si>
  <si>
    <t>16067267900; 36119110700</t>
  </si>
  <si>
    <t>The destruction of cultural heritage and international tourism: The case of the Arab countries</t>
  </si>
  <si>
    <t>Journal of Cultural Heritage</t>
  </si>
  <si>
    <t>10.1016/j.culher.2018.06.005</t>
  </si>
  <si>
    <t>https://www.scopus.com/inward/record.uri?eid=2-s2.0-85049638064&amp;doi=10.1016%2fj.culher.2018.06.005&amp;partnerID=40&amp;md5=e31eec393801a81eec31f95b667d6bae</t>
  </si>
  <si>
    <t>2-s2.0-85049638064</t>
  </si>
  <si>
    <t>Shao Y.; Huang S.S.; Huo T.; Huang R.; Li Z.</t>
  </si>
  <si>
    <t>Shao, Yuhong (57203039037); Huang, Songshan (Sam) (35214708800); Huo, Tingting (57218545164); Huang, Rui (59038540500); Li, Zhiyong (57194623995)</t>
  </si>
  <si>
    <t>57203039037; 35214708800; 57218545164; 59038540500; 57194623995</t>
  </si>
  <si>
    <t>Impact of psychic distance stimuli on international tourist flows: A cross-country analysis</t>
  </si>
  <si>
    <t>Journal of Destination Marketing and Management</t>
  </si>
  <si>
    <t>10.1016/j.jdmm.2024.100853</t>
  </si>
  <si>
    <t>https://www.scopus.com/inward/record.uri?eid=2-s2.0-85190939588&amp;doi=10.1016%2fj.jdmm.2024.100853&amp;partnerID=40&amp;md5=f890b7d8640ddd9f797d3a686ad4629f</t>
  </si>
  <si>
    <t>2-s2.0-85190939588</t>
  </si>
  <si>
    <t>Feyrer J.</t>
  </si>
  <si>
    <t>Feyrer, James (24491492300)</t>
  </si>
  <si>
    <t>Distance, trade, and income — The 1967 to 1975 closing of the Suez canal as a natural experiment</t>
  </si>
  <si>
    <t>Journal of Development Economics</t>
  </si>
  <si>
    <t>10.1016/j.jdeveco.2021.102708</t>
  </si>
  <si>
    <t>https://www.scopus.com/inward/record.uri?eid=2-s2.0-85111824854&amp;doi=10.1016%2fj.jdeveco.2021.102708&amp;partnerID=40&amp;md5=c88d671f6d0f1a859c8e427eecaa73e8</t>
  </si>
  <si>
    <t>2-s2.0-85111824854</t>
  </si>
  <si>
    <t>Nitta Y.; Yoshida T.</t>
  </si>
  <si>
    <t>Nitta, Yasushi (57203551130); Yoshida, Takashi (57203554543)</t>
  </si>
  <si>
    <t>57203551130; 57203554543</t>
  </si>
  <si>
    <t>Field verification and evaluation of technology towards introduction of underwater inspection vehicle</t>
  </si>
  <si>
    <t>Journal of Disaster Research</t>
  </si>
  <si>
    <t>10.20965/jdr.2018.p0624</t>
  </si>
  <si>
    <t>https://www.scopus.com/inward/record.uri?eid=2-s2.0-85052223229&amp;doi=10.20965%2fjdr.2018.p0624&amp;partnerID=40&amp;md5=3ca8797251cf88e215abb913cecdd899</t>
  </si>
  <si>
    <t>2-s2.0-85052223229</t>
  </si>
  <si>
    <t>Ghani G.M.</t>
  </si>
  <si>
    <t>Ghani, Gairuzazmi M. (57205703173)</t>
  </si>
  <si>
    <t>Tourist arrivals to muslim countries: Pre-and post-september 11</t>
  </si>
  <si>
    <t>Journal of Economic Cooperation and Development</t>
  </si>
  <si>
    <t>https://www.scopus.com/inward/record.uri?eid=2-s2.0-85077899037&amp;partnerID=40&amp;md5=b4b547349eeb6976da66fc9bbdc7fe8d</t>
  </si>
  <si>
    <t>2-s2.0-85077899037</t>
  </si>
  <si>
    <t>Hartarto R.B.; Azizurrohman M.</t>
  </si>
  <si>
    <t>Hartarto, Romi Bhakti (57223629723); Azizurrohman, Muhammad (57223627437)</t>
  </si>
  <si>
    <t>57223629723; 57223627437</t>
  </si>
  <si>
    <t>Does Halal Tourism Policy Attract More Tourists? Evidence from Indonesia</t>
  </si>
  <si>
    <t>https://www.scopus.com/inward/record.uri?eid=2-s2.0-85146456458&amp;partnerID=40&amp;md5=92729486171eaf34034381d3a002add6</t>
  </si>
  <si>
    <t>2-s2.0-85146456458</t>
  </si>
  <si>
    <t>Ghosh S.</t>
  </si>
  <si>
    <t>Ghosh, Sudeshna (57209784820)</t>
  </si>
  <si>
    <t>Inbound Australian tourism demand from Asia: a panel gravity model</t>
  </si>
  <si>
    <t>Journal of Economic Studies</t>
  </si>
  <si>
    <t>10.1108/JES-04-2020-0186</t>
  </si>
  <si>
    <t>https://www.scopus.com/inward/record.uri?eid=2-s2.0-85095457664&amp;doi=10.1108%2fJES-04-2020-0186&amp;partnerID=40&amp;md5=b70a4a53dbd63fe00f246a227417aa3c</t>
  </si>
  <si>
    <t>2-s2.0-85095457664</t>
  </si>
  <si>
    <t>Rosselló Nadal J.; Santana Gallego M.</t>
  </si>
  <si>
    <t>Rosselló Nadal, Jaume (57220022951); Santana Gallego, María (36119110700)</t>
  </si>
  <si>
    <t>Gravity models for tourism demand modeling: Empirical review and outlook</t>
  </si>
  <si>
    <t>Journal of Economic Surveys</t>
  </si>
  <si>
    <t>10.1111/joes.12502</t>
  </si>
  <si>
    <t>https://www.scopus.com/inward/record.uri?eid=2-s2.0-85127229220&amp;doi=10.1111%2fjoes.12502&amp;partnerID=40&amp;md5=b63c510116d34a1e9ce4d812ce268312</t>
  </si>
  <si>
    <t>2-s2.0-85127229220</t>
  </si>
  <si>
    <t>Arivazhagan R.; Anwaya N.S.; Premalatha K.</t>
  </si>
  <si>
    <t>Arivazhagan, R. (57201348999); Anwaya, N.S. (57885687000); Premalatha, K. (57212520954)</t>
  </si>
  <si>
    <t>57201348999; 57885687000; 57212520954</t>
  </si>
  <si>
    <t>ASSESSMENT OF COASTAL VULNERABILITY IN NORTH CHENNAI REGION IN EAST COAST OF TAMIL NADU</t>
  </si>
  <si>
    <t>Journal of Environmental Protection and Ecology</t>
  </si>
  <si>
    <t>https://www.scopus.com/inward/record.uri?eid=2-s2.0-85137774716&amp;partnerID=40&amp;md5=263a75783a6234733ba4c7e02f3ae2c3</t>
  </si>
  <si>
    <t>2-s2.0-85137774716</t>
  </si>
  <si>
    <t>Kavallari A.; Maas S.; Schmitz P.M.</t>
  </si>
  <si>
    <t>Kavallari, Aikaterini (23389520700); Maas, Sarah (38361961100); Schmitz, P. Michael (7102452334)</t>
  </si>
  <si>
    <t>23389520700; 38361961100; 7102452334</t>
  </si>
  <si>
    <t>Examining the determinants of olive oil demand in nonproducing countries: Evidence from Germany and the UK</t>
  </si>
  <si>
    <t>Journal of Food Products Marketing</t>
  </si>
  <si>
    <t>10.1080/10454446.2011.548721</t>
  </si>
  <si>
    <t>https://www.scopus.com/inward/record.uri?eid=2-s2.0-79957448961&amp;doi=10.1080%2f10454446.2011.548721&amp;partnerID=40&amp;md5=b5613db101c4e2adc1fc9dd09de9f971</t>
  </si>
  <si>
    <t>2-s2.0-79957448961</t>
  </si>
  <si>
    <t>Sheldon P.J.; Var T.</t>
  </si>
  <si>
    <t>Sheldon, Pauline J. (7102931561); Var, Turgut (6602798466)</t>
  </si>
  <si>
    <t>7102931561; 6602798466</t>
  </si>
  <si>
    <t>Tourism forecasting: A review of empirical research</t>
  </si>
  <si>
    <t>Journal of Forecasting</t>
  </si>
  <si>
    <t>10.1002/for.3980040207</t>
  </si>
  <si>
    <t>https://www.scopus.com/inward/record.uri?eid=2-s2.0-84984526179&amp;doi=10.1002%2ffor.3980040207&amp;partnerID=40&amp;md5=ab90fadccb7ddc511feec2ac253ab853</t>
  </si>
  <si>
    <t>2-s2.0-84984526179</t>
  </si>
  <si>
    <t>Matić N.; Miklavčić I.; Maldini K.; Tomas D.; Cuculić V.; Cardellini C.; Frančiškovic-Bilinski S.</t>
  </si>
  <si>
    <t>Matić, Natalija (49964168400); Miklavčić, Igor (22986005100); Maldini, Krešimir (49964014300); Tomas, Damir (36714530500); Cuculić, Vlado (8538556700); Cardellini, Carlo (6603093880); Frančiškovic-Bilinski, Stanislav (6507193422)</t>
  </si>
  <si>
    <t>49964168400; 22986005100; 49964014300; 36714530500; 8538556700; 6603093880; 6507193422</t>
  </si>
  <si>
    <t>Geochemical and isotopic characteristics of karstic springs in coastal mountains (Southern Croatia)</t>
  </si>
  <si>
    <t>Journal of Geochemical Exploration</t>
  </si>
  <si>
    <t>10.1016/j.gexplo.2013.06.007</t>
  </si>
  <si>
    <t>https://www.scopus.com/inward/record.uri?eid=2-s2.0-84881555868&amp;doi=10.1016%2fj.gexplo.2013.06.007&amp;partnerID=40&amp;md5=7ca41160983f4d4798b9bd54d8319c9f</t>
  </si>
  <si>
    <t>2-s2.0-84881555868</t>
  </si>
  <si>
    <t>Huang X.; Liu J.</t>
  </si>
  <si>
    <t>Huang, Xingling (57211858779); Liu, Jianguo (57196292189)</t>
  </si>
  <si>
    <t>57211858779; 57196292189</t>
  </si>
  <si>
    <t>Beyond skyline and borders: Unraveling the evolution and drivers of tourism green development efficiency in the Beijing–Tianjin–Hebei urban agglomeration, China</t>
  </si>
  <si>
    <t>Journal of Geographical Sciences</t>
  </si>
  <si>
    <t>10.1007/s11442-024-2270-7</t>
  </si>
  <si>
    <t>https://www.scopus.com/inward/record.uri?eid=2-s2.0-85204289415&amp;doi=10.1007%2fs11442-024-2270-7&amp;partnerID=40&amp;md5=edb2c4e2541a83e4a2d957668c82ba99</t>
  </si>
  <si>
    <t>2-s2.0-85204289415</t>
  </si>
  <si>
    <t>de la Mata T.; Llano C.</t>
  </si>
  <si>
    <t>de la Mata, Tamara (55257962300); Llano, Carlos (32367781300)</t>
  </si>
  <si>
    <t>55257962300; 32367781300</t>
  </si>
  <si>
    <t>Social networks and trade of services: Modelling interregional flows with spatial and network autocorrelation effects</t>
  </si>
  <si>
    <t>Journal of Geographical Systems</t>
  </si>
  <si>
    <t>10.1007/s10109-013-0183-6</t>
  </si>
  <si>
    <t>https://www.scopus.com/inward/record.uri?eid=2-s2.0-84879460311&amp;doi=10.1007%2fs10109-013-0183-6&amp;partnerID=40&amp;md5=2099c97a31cc52b7f68fa9a6aa49ed3c</t>
  </si>
  <si>
    <t>2-s2.0-84879460311</t>
  </si>
  <si>
    <t>Gan C.; Voda M.; Wang K.; Chen L.; Ye J.</t>
  </si>
  <si>
    <t>Gan, Chang (57208076060); Voda, Mihai (55839672900); Wang, Kai (55547129802); Chen, Lijun (57770630900); Ye, Jun (57222383581)</t>
  </si>
  <si>
    <t>57208076060; 55839672900; 55547129802; 57770630900; 57222383581</t>
  </si>
  <si>
    <t>Spatial network structure of the tourism economy in urban agglomeration: A social network analysis</t>
  </si>
  <si>
    <t>Journal of Hospitality and Tourism Management</t>
  </si>
  <si>
    <t>10.1016/j.jhtm.2021.03.009</t>
  </si>
  <si>
    <t>https://www.scopus.com/inward/record.uri?eid=2-s2.0-85102572617&amp;doi=10.1016%2fj.jhtm.2021.03.009&amp;partnerID=40&amp;md5=ecfa81c6b092b9e97c6f4bdce4867b05</t>
  </si>
  <si>
    <t>2-s2.0-85102572617</t>
  </si>
  <si>
    <t>Okafor L.E.; Tan C.M.; Khalid U.</t>
  </si>
  <si>
    <t>Okafor, Luke Emeka (35208798600); Tan, Chee Meng (57249735500); Khalid, Usman (57190254906)</t>
  </si>
  <si>
    <t>35208798600; 57249735500; 57190254906</t>
  </si>
  <si>
    <t>Does panda diplomacy promote Chinese outbound tourism flows?</t>
  </si>
  <si>
    <t>10.1016/j.jhtm.2021.08.019</t>
  </si>
  <si>
    <t>https://www.scopus.com/inward/record.uri?eid=2-s2.0-85114446429&amp;doi=10.1016%2fj.jhtm.2021.08.019&amp;partnerID=40&amp;md5=0a2f48982646485e246db4471dbeea75</t>
  </si>
  <si>
    <t>2-s2.0-85114446429</t>
  </si>
  <si>
    <t>Ruan W.-Q.; Zhang S.-N.</t>
  </si>
  <si>
    <t>Ruan, Wen-Qi (57195468849); Zhang, Shu-Ning (57209942380)</t>
  </si>
  <si>
    <t>57195468849; 57209942380</t>
  </si>
  <si>
    <t>Can tourism information flow enhance regional tourism economic linkages?</t>
  </si>
  <si>
    <t>10.1016/j.jhtm.2021.11.012</t>
  </si>
  <si>
    <t>https://www.scopus.com/inward/record.uri?eid=2-s2.0-85119609667&amp;doi=10.1016%2fj.jhtm.2021.11.012&amp;partnerID=40&amp;md5=1ebd72e68d4a5f4f890f8a5aeb480984</t>
  </si>
  <si>
    <t>2-s2.0-85119609667</t>
  </si>
  <si>
    <t>Chon K.; Park E.; Zoltan J.</t>
  </si>
  <si>
    <t>Chon, Kaye (7006498220); Park, Eunhye (57216760511); Zoltan, Judit (55582729800)</t>
  </si>
  <si>
    <t>7006498220; 57216760511; 55582729800</t>
  </si>
  <si>
    <t>The Asian Paradigm in Hospitality and Tourism</t>
  </si>
  <si>
    <t>Journal of Hospitality and Tourism Research</t>
  </si>
  <si>
    <t>10.1177/1096348020945370</t>
  </si>
  <si>
    <t>https://www.scopus.com/inward/record.uri?eid=2-s2.0-85089180761&amp;doi=10.1177%2f1096348020945370&amp;partnerID=40&amp;md5=894f203098912ca0b5e485760970c4ab</t>
  </si>
  <si>
    <t>2-s2.0-85089180761</t>
  </si>
  <si>
    <t>Morsy M.A.; Rashed M.A.; El-Masry N.N.; Soliman F.A.</t>
  </si>
  <si>
    <t>Morsy, M.A. (55617192200); Rashed, M.A. (7006151178); El-Masry, N.N. (55818056800); Soliman, F.A. (26647180400)</t>
  </si>
  <si>
    <t>55617192200; 7006151178; 55818056800; 26647180400</t>
  </si>
  <si>
    <t>Potential field methods to investigate the source of hydrocarbon contamination in Sharm El-Maya Bay Area, Sharm El-Sheikh, Egypt</t>
  </si>
  <si>
    <t>Journal of King Abdulaziz University, Earth Sciences</t>
  </si>
  <si>
    <t>10.4197/Ear.24-1.1</t>
  </si>
  <si>
    <t>https://www.scopus.com/inward/record.uri?eid=2-s2.0-84900452040&amp;doi=10.4197%2fEar.24-1.1&amp;partnerID=40&amp;md5=e1db5885ca3e51724a612e54bc0f6d09</t>
  </si>
  <si>
    <t>2-s2.0-84900452040</t>
  </si>
  <si>
    <t>Pei Z.; Yang B.; Liu G.; Wu W.</t>
  </si>
  <si>
    <t>Pei, Zhiyong (59157728100); Yang, Bin (57243923200); Liu, Guangwu (56136740900); Wu, Weiguo (55707511600)</t>
  </si>
  <si>
    <t>59157728100; 57243923200; 56136740900; 55707511600</t>
  </si>
  <si>
    <t>Experimental Research on the Stiffness Step between the Main Hull and Superstructure of Cruise Ships</t>
  </si>
  <si>
    <t>Journal of Marine Science and Engineering</t>
  </si>
  <si>
    <t>10.3390/jmse11071264</t>
  </si>
  <si>
    <t>https://www.scopus.com/inward/record.uri?eid=2-s2.0-85166176625&amp;doi=10.3390%2fjmse11071264&amp;partnerID=40&amp;md5=b40c3355dfc2378d4618fd771e946a25</t>
  </si>
  <si>
    <t>2-s2.0-85166176625</t>
  </si>
  <si>
    <t>Conde-Trugeda J.; Barreiro-Pereira F.</t>
  </si>
  <si>
    <t>Conde-Trugeda, J. (59361069800); Barreiro-Pereira, F. (55907334900)</t>
  </si>
  <si>
    <t>59361069800; 55907334900</t>
  </si>
  <si>
    <t>Optimization of the inter-island maritime transport in the Canary Islands in terms of social benefit and profitability</t>
  </si>
  <si>
    <t>Journal of Maritime Research</t>
  </si>
  <si>
    <t>https://www.scopus.com/inward/record.uri?eid=2-s2.0-85205946046&amp;partnerID=40&amp;md5=39ecc6e2ef7be1bac3628ebea2b5b9fd</t>
  </si>
  <si>
    <t>2-s2.0-85205946046</t>
  </si>
  <si>
    <t>Rastogi S.P.</t>
  </si>
  <si>
    <t>Rastogi, S.P. (7201866676)</t>
  </si>
  <si>
    <t>Environmental umbrella for mine waste disposal on geoengineering considerations</t>
  </si>
  <si>
    <t>Journal of Mines, Metals and Fuels</t>
  </si>
  <si>
    <t>https://www.scopus.com/inward/record.uri?eid=2-s2.0-28644450378&amp;partnerID=40&amp;md5=0ceaa1c069445217c00f6d2cfc5770b0</t>
  </si>
  <si>
    <t>2-s2.0-28644450378</t>
  </si>
  <si>
    <t>Mami F.</t>
  </si>
  <si>
    <t>Mami, Fouad (55588111400)</t>
  </si>
  <si>
    <t>Biopolitics and the emergent self-reflexive Maghribi subjectivity in Laila Lalami's Hope and Other Dangerous Pursuits</t>
  </si>
  <si>
    <t>Journal of North African Studies</t>
  </si>
  <si>
    <t>10.1080/13629387.2018.1480945</t>
  </si>
  <si>
    <t>https://www.scopus.com/inward/record.uri?eid=2-s2.0-85048041966&amp;doi=10.1080%2f13629387.2018.1480945&amp;partnerID=40&amp;md5=fbe3e1e9c6e9c6ee338691e2aadece19</t>
  </si>
  <si>
    <t>2-s2.0-85048041966</t>
  </si>
  <si>
    <t>Alaydrus A.T.; Susilo A.; Naba A.; Minardi S.</t>
  </si>
  <si>
    <t>Alaydrus, A.T. (57212061629); Susilo, A. (8514122100); Naba, A. (36146268500); Minardi, S. (57212066060)</t>
  </si>
  <si>
    <t>57212061629; 8514122100; 36146268500; 57212066060</t>
  </si>
  <si>
    <t>Identification of the constraints of physical properties on fluid flow rate (as a preliminary study for analysis of changes in subsurface conditions in the KEK Mandalika Lombok)</t>
  </si>
  <si>
    <t>Journal of Physics: Conference Series</t>
  </si>
  <si>
    <t>10.1088/1742-6596/1816/1/012100</t>
  </si>
  <si>
    <t>https://www.scopus.com/inward/record.uri?eid=2-s2.0-85103100124&amp;doi=10.1088%2f1742-6596%2f1816%2f1%2f012100&amp;partnerID=40&amp;md5=2435d92db091570efac330ae63243ca3</t>
  </si>
  <si>
    <t>2-s2.0-85103100124</t>
  </si>
  <si>
    <t>Liu C.; Nie G.</t>
  </si>
  <si>
    <t>Liu, Chun (57214101147); Nie, Guihua (8263270400)</t>
  </si>
  <si>
    <t>57214101147; 8263270400</t>
  </si>
  <si>
    <t>Tourism spatial structure of urban agglomeration in the middle reaches of the Yangtze River based on social network analysis</t>
  </si>
  <si>
    <t>10.1088/1742-6596/1423/1/012021</t>
  </si>
  <si>
    <t>https://www.scopus.com/inward/record.uri?eid=2-s2.0-85078132272&amp;doi=10.1088%2f1742-6596%2f1423%2f1%2f012021&amp;partnerID=40&amp;md5=29e1cc72276d1b443faa00c04d1de8ad</t>
  </si>
  <si>
    <t>2-s2.0-85078132272</t>
  </si>
  <si>
    <t>Tosato G.; Girotto S.; Minetto S.; Rossetti A.; Marinetti S.</t>
  </si>
  <si>
    <t>Tosato, Giacomo (57202927626); Girotto, Sergio (6603232045); Minetto, Silvia (6507338666); Rossetti, Antonio (35180385500); Marinetti, Sergio (6701430091)</t>
  </si>
  <si>
    <t>57202927626; 6603232045; 6507338666; 35180385500; 6701430091</t>
  </si>
  <si>
    <t>An integrated CO2 unit for heating, cooling and DHW installed in a hotel. Data from the field.</t>
  </si>
  <si>
    <t>10.1088/1742-6596/1599/1/012058</t>
  </si>
  <si>
    <t>https://www.scopus.com/inward/record.uri?eid=2-s2.0-85092378505&amp;doi=10.1088%2f1742-6596%2f1599%2f1%2f012058&amp;partnerID=40&amp;md5=9c7f7a9205acd20f2928e42fe3bfaf32</t>
  </si>
  <si>
    <t>2-s2.0-85092378505</t>
  </si>
  <si>
    <t>Balli F.; Ghassan H.B.; Al Jeefri E.H.</t>
  </si>
  <si>
    <t>Balli, Faruk (35178972500); Ghassan, Hassan B. (35329415800); Al Jeefri, Essam H. (57205271726)</t>
  </si>
  <si>
    <t>35178972500; 35329415800; 57205271726</t>
  </si>
  <si>
    <t>Towards Understanding GCC Outbound International Tourism</t>
  </si>
  <si>
    <t>Journal of Policy Research in Tourism, Leisure and Events</t>
  </si>
  <si>
    <t>10.1080/19407963.2018.1556671</t>
  </si>
  <si>
    <t>https://www.scopus.com/inward/record.uri?eid=2-s2.0-85059345825&amp;doi=10.1080%2f19407963.2018.1556671&amp;partnerID=40&amp;md5=c089b24706cdee473189efa399a54b64</t>
  </si>
  <si>
    <t>2-s2.0-85059345825</t>
  </si>
  <si>
    <t>Hartarto R.B.; Wardani D.T.K.; Wibowo W.T.</t>
  </si>
  <si>
    <t>Hartarto, Romi Bhakti (57223629723); Wardani, Dyah Titis Kusuma (57223624266); Wibowo, Wahyu Tri (57949920100)</t>
  </si>
  <si>
    <t>57223629723; 57223624266; 57949920100</t>
  </si>
  <si>
    <t>Tourist arrivals to Indonesia: does religion matter?</t>
  </si>
  <si>
    <t>10.1080/19407963.2022.2137807</t>
  </si>
  <si>
    <t>https://www.scopus.com/inward/record.uri?eid=2-s2.0-85141018599&amp;doi=10.1080%2f19407963.2022.2137807&amp;partnerID=40&amp;md5=442e22a0cd8ed12aa5973bc8840c5d7f</t>
  </si>
  <si>
    <t>2-s2.0-85141018599</t>
  </si>
  <si>
    <t>Tokas K.</t>
  </si>
  <si>
    <t>Tokas, Kalpana (57216590206)</t>
  </si>
  <si>
    <t>Impact of multidimensional distances on inbound tourist arrivals: evidence from India</t>
  </si>
  <si>
    <t>10.1080/19407963.2023.2221032</t>
  </si>
  <si>
    <t>https://www.scopus.com/inward/record.uri?eid=2-s2.0-85161878732&amp;doi=10.1080%2f19407963.2023.2221032&amp;partnerID=40&amp;md5=a564c3754e98b0760819c99439b718e8</t>
  </si>
  <si>
    <t>2-s2.0-85161878732</t>
  </si>
  <si>
    <t>Tz-Li W.; Azizurrohman M.; Angga Pramuja R.</t>
  </si>
  <si>
    <t>Tz-Li, Wang (59460431300); Azizurrohman, Muhammad (57223627437); Angga Pramuja, Risky (59459215300)</t>
  </si>
  <si>
    <t>59460431300; 57223627437; 59459215300</t>
  </si>
  <si>
    <t>Attracting tourists to Indonesia: how SEZs and visa-free policies influence international arrivals</t>
  </si>
  <si>
    <t>10.1080/19407963.2024.2432634</t>
  </si>
  <si>
    <t>https://www.scopus.com/inward/record.uri?eid=2-s2.0-85211094208&amp;doi=10.1080%2f19407963.2024.2432634&amp;partnerID=40&amp;md5=76c45bfde08caffaaeec3b11fb441eb2</t>
  </si>
  <si>
    <t>2-s2.0-85211094208</t>
  </si>
  <si>
    <t>Pailwar V.K.; Mitra S.K.</t>
  </si>
  <si>
    <t>Pailwar, Veena Keshav (11240237100); Mitra, Subrata Kumar (56865159900)</t>
  </si>
  <si>
    <t>11240237100; 56865159900</t>
  </si>
  <si>
    <t>International Medical Tourism: The Nonlinear Impact of Exchange-Rate-Adjusted Relative Prices</t>
  </si>
  <si>
    <t>Journal of Quality Assurance in Hospitality and Tourism</t>
  </si>
  <si>
    <t>10.1080/1528008X.2024.2449535</t>
  </si>
  <si>
    <t>https://www.scopus.com/inward/record.uri?eid=2-s2.0-85214361640&amp;doi=10.1080%2f1528008X.2024.2449535&amp;partnerID=40&amp;md5=d9f363589f890f9e17a1ff020040411c</t>
  </si>
  <si>
    <t>2-s2.0-85214361640</t>
  </si>
  <si>
    <t>Shen Z.; Gao X.; Ni M.; An R.; Xie Z.; Tu Y.</t>
  </si>
  <si>
    <t>Shen, Zhiqiang (57188554707); Gao, Xuyang (59476413200); Ni, Ming (58688927500); An, Ran (59476107700); Xie, Zhihao (58900035800); Tu, Yujie (59360512800)</t>
  </si>
  <si>
    <t>57188554707; 59476413200; 58688927500; 59476107700; 58900035800; 59360512800</t>
  </si>
  <si>
    <t>Sustainable Development of Urban Landscape Construction and Tourism in Hefei, China: A SWOT and AHP Analysis</t>
  </si>
  <si>
    <t>Journal of Resources and Ecology</t>
  </si>
  <si>
    <t>10.5814/j.issn.1674-764x.2024.06.026</t>
  </si>
  <si>
    <t>https://www.scopus.com/inward/record.uri?eid=2-s2.0-85212269095&amp;doi=10.5814%2fj.issn.1674-764x.2024.06.026&amp;partnerID=40&amp;md5=378229ab5252153af7b110502a43d38b</t>
  </si>
  <si>
    <t>2-s2.0-85212269095</t>
  </si>
  <si>
    <t>Wang S.; Liu F.; Yang L.; Cai W.</t>
  </si>
  <si>
    <t>Wang, Shu (58607483500); Liu, Fenglian (57862899300); Yang, Lei (57392253700); Cai, Wei (58956421900)</t>
  </si>
  <si>
    <t>58607483500; 57862899300; 57392253700; 58956421900</t>
  </si>
  <si>
    <t>The Characteristics and Driving Factors of the Spatio-temporal Dynamic Evolution of Tourism Ecological Security in the Silk Road Economic Belt</t>
  </si>
  <si>
    <t>10.5814/j.issn.1674-764x.2024.04.024</t>
  </si>
  <si>
    <t>https://www.scopus.com/inward/record.uri?eid=2-s2.0-85200838639&amp;doi=10.5814%2fj.issn.1674-764x.2024.04.024&amp;partnerID=40&amp;md5=6505cc16a35e9fdc355a349ab6e0c0b5</t>
  </si>
  <si>
    <t>2-s2.0-85200838639</t>
  </si>
  <si>
    <t>Edmond H.; Corcoran K.; Crabtree B.</t>
  </si>
  <si>
    <t>Edmond, Helen (6506759346); Corcoran, Kate (7004329865); Crabtree, Bob (7006733032)</t>
  </si>
  <si>
    <t>6506759346; 7004329865; 7006733032</t>
  </si>
  <si>
    <t>Modelling locational access to markets for pluriactivity: a study in the Grampian region of Scotland</t>
  </si>
  <si>
    <t>Journal of Rural Studies</t>
  </si>
  <si>
    <t>10.1016/0743-0167(93)90046-M</t>
  </si>
  <si>
    <t>https://www.scopus.com/inward/record.uri?eid=2-s2.0-0027758247&amp;doi=10.1016%2f0743-0167%2893%2990046-M&amp;partnerID=40&amp;md5=041399a5bef1fe7cfa9b46545843c403</t>
  </si>
  <si>
    <t>2-s2.0-0027758247</t>
  </si>
  <si>
    <t>D'el-Rey Silva L.J.H.; Wolf Klein P.B.; Walde D.H.-G.</t>
  </si>
  <si>
    <t>D'el-Rey Silva, Luiz José Homem (6508385403); Wolf Klein, Percy Boris (49161367500); Walde, Detlef Hans-Gert (6602406756)</t>
  </si>
  <si>
    <t>6508385403; 49161367500; 6602406756</t>
  </si>
  <si>
    <t>The Caldas Novas dome, central Brazil: Structural evolution and implications for the evolution of the Neoproterozoic Brasília belt</t>
  </si>
  <si>
    <t>Journal of South American Earth Sciences</t>
  </si>
  <si>
    <t>10.1016/j.jsames.2004.03.001</t>
  </si>
  <si>
    <t>https://www.scopus.com/inward/record.uri?eid=2-s2.0-7244226503&amp;doi=10.1016%2fj.jsames.2004.03.001&amp;partnerID=40&amp;md5=85ff61ab9e1cb421b0f8f53b502da24c</t>
  </si>
  <si>
    <t>2-s2.0-7244226503</t>
  </si>
  <si>
    <t>Drapkin I.; Ivan S.; Ilya Z.</t>
  </si>
  <si>
    <t>Drapkin, Igor (57191611854); Ivan, Savin (55539536700); Ilya, Zverev (58650432500)</t>
  </si>
  <si>
    <t>57191611854; 55539536700; 58650432500</t>
  </si>
  <si>
    <t>Revisiting the Effect of Hosting Large-Scale Sport Events on International Tourist Inflows</t>
  </si>
  <si>
    <t>Journal of Sports Economics</t>
  </si>
  <si>
    <t>10.1177/15270025231206393</t>
  </si>
  <si>
    <t>https://www.scopus.com/inward/record.uri?eid=2-s2.0-85174285273&amp;doi=10.1177%2f15270025231206393&amp;partnerID=40&amp;md5=796caa1b8c4a2e836b5527e0c52bf7a0</t>
  </si>
  <si>
    <t>2-s2.0-85174285273</t>
  </si>
  <si>
    <t>Fourie, Johan (55273842100); Santana-Gallego, Maria (36119110700)</t>
  </si>
  <si>
    <t>The Invisible Hand of Thierry Henry: How World Cup Qualification Influences Host Country Tourist Arrivals</t>
  </si>
  <si>
    <t>10.1177/1527002515596433</t>
  </si>
  <si>
    <t>https://www.scopus.com/inward/record.uri?eid=2-s2.0-85029054687&amp;doi=10.1177%2f1527002515596433&amp;partnerID=40&amp;md5=d829301636b7938568278291be9dcbf8</t>
  </si>
  <si>
    <t>2-s2.0-85029054687</t>
  </si>
  <si>
    <t>Mayo E.J.; Jarvis L.P.; Xander J.A.</t>
  </si>
  <si>
    <t>Mayo, Edward J. (24787719900); Jarvis, Lance P. (24787057500); Xander, James A. (7801494532)</t>
  </si>
  <si>
    <t>24787719900; 24787057500; 7801494532</t>
  </si>
  <si>
    <t>Beyond the gravity model</t>
  </si>
  <si>
    <t>Journal of the Academy of Marketing Science</t>
  </si>
  <si>
    <t>10.1007/BF02723355</t>
  </si>
  <si>
    <t>https://www.scopus.com/inward/record.uri?eid=2-s2.0-51249177966&amp;doi=10.1007%2fBF02723355&amp;partnerID=40&amp;md5=1fad26b7e992e23097afd9dd0d30be20</t>
  </si>
  <si>
    <t>2-s2.0-51249177966</t>
  </si>
  <si>
    <t>Limper U.; Ahnert T.; Maegele M.; Froehlich M.; Grau M.; Gauger P.; Bauerfeind U.; Görlinger K.; Pötzsch B.; Jordan J.</t>
  </si>
  <si>
    <t>Limper, Ulrich (45261303100); Ahnert, Tobias (57221210775); Maegele, Marc (8415535600); Froehlich, Matthias (58823618700); Grau, Marijke (24830408100); Gauger, Peter (24076000900); Bauerfeind, Ursula (7801660711); Görlinger, Klaus (16202499300); Pötzsch, Bernhard (7004395791); Jordan, Jens (57203593887)</t>
  </si>
  <si>
    <t>45261303100; 57221210775; 8415535600; 58823618700; 24830408100; 24076000900; 7801660711; 16202499300; 7004395791; 57203593887</t>
  </si>
  <si>
    <t>Simulated hypergravity activates hemostasis in healthy volunteers</t>
  </si>
  <si>
    <t>Journal of the American Heart Association</t>
  </si>
  <si>
    <t>e016479</t>
  </si>
  <si>
    <t>10.1161/JAHA.120.016479</t>
  </si>
  <si>
    <t>https://www.scopus.com/inward/record.uri?eid=2-s2.0-85098531709&amp;doi=10.1161%2fJAHA.120.016479&amp;partnerID=40&amp;md5=862c8171327774a09fbe72a7d30a0127</t>
  </si>
  <si>
    <t>2-s2.0-85098531709</t>
  </si>
  <si>
    <t>Porto N.; Garbero N.; Espinola N.</t>
  </si>
  <si>
    <t>Porto, Natalia (57188147800); Garbero, Noelia (57217860495); Espinola, Natalia (57188702152)</t>
  </si>
  <si>
    <t>57188147800; 57217860495; 57188702152</t>
  </si>
  <si>
    <t>Spatial distribution of touristic flows in a gravity model in South America</t>
  </si>
  <si>
    <t>Journal of Tourism Analysis</t>
  </si>
  <si>
    <t>10.1108/JTA-02-2018-0005</t>
  </si>
  <si>
    <t>https://www.scopus.com/inward/record.uri?eid=2-s2.0-85059914897&amp;doi=10.1108%2fJTA-02-2018-0005&amp;partnerID=40&amp;md5=93cd41606fe05bcaceca8bce3a7a5005</t>
  </si>
  <si>
    <t>2-s2.0-85059914897</t>
  </si>
  <si>
    <t>Karimov M.; Jeong J.Y.; Sobirov Y.; Choi C.</t>
  </si>
  <si>
    <t>Karimov, Mamurbek (58342419000); Jeong, Ji Young (57610018600); Sobirov, Yuldoshboy (58183939900); Choi, Changho (58343072100)</t>
  </si>
  <si>
    <t>58342419000; 57610018600; 58183939900; 58343072100</t>
  </si>
  <si>
    <t>The role of transportation infrastructure in the development of international tourism in Uzbekistan</t>
  </si>
  <si>
    <t>Journal of Tourism and Development</t>
  </si>
  <si>
    <t>10.34624/rtd.v41i0.30576</t>
  </si>
  <si>
    <t>https://www.scopus.com/inward/record.uri?eid=2-s2.0-85162803780&amp;doi=10.34624%2frtd.v41i0.30576&amp;partnerID=40&amp;md5=ac18282b16adefa64056274212baec30</t>
  </si>
  <si>
    <t>2-s2.0-85162803780</t>
  </si>
  <si>
    <t>Tangvitoontham N.; Sattayanuwat W.</t>
  </si>
  <si>
    <t>Tangvitoontham, Nantarat (56267741800); Sattayanuwat, Wanasin (55755496400)</t>
  </si>
  <si>
    <t>56267741800; 55755496400</t>
  </si>
  <si>
    <t>Factors influencing Muslim tourists’ decision making on choosing a destination: Case study of Muslim tourists from Organization of Islamic Cooperation</t>
  </si>
  <si>
    <t>10.34624/rtd.v39i0.30348</t>
  </si>
  <si>
    <t>https://www.scopus.com/inward/record.uri?eid=2-s2.0-85139981086&amp;doi=10.34624%2frtd.v39i0.30348&amp;partnerID=40&amp;md5=5141fffec10bbcc6d8442cb6d19d235b</t>
  </si>
  <si>
    <t>2-s2.0-85139981086</t>
  </si>
  <si>
    <t>Malaj E.; Malaj V.</t>
  </si>
  <si>
    <t>Malaj, Emi (58836156500); Malaj, Visar (56400909200)</t>
  </si>
  <si>
    <t>58836156500; 56400909200</t>
  </si>
  <si>
    <t>Determinants of international tourism: Empirical evidence from three Mediterranean countries</t>
  </si>
  <si>
    <t>Journal of Tourism, Heritage and Services Marketing</t>
  </si>
  <si>
    <t>10.5281/zenodo.10539747</t>
  </si>
  <si>
    <t>https://www.scopus.com/inward/record.uri?eid=2-s2.0-85182921153&amp;doi=10.5281%2fzenodo.10539747&amp;partnerID=40&amp;md5=72df7e72c7d0f4bdb6d4aae3840b68d8</t>
  </si>
  <si>
    <t>2-s2.0-85182921153</t>
  </si>
  <si>
    <t>Dai L.; Derudder B.; Liu X.</t>
  </si>
  <si>
    <t>Dai, Liang (57225937015); Derudder, Ben (6602665490); Liu, Xingjian (55875359500)</t>
  </si>
  <si>
    <t>57225937015; 6602665490; 55875359500</t>
  </si>
  <si>
    <t>The evolving structure of the Southeast Asian air transport network through the lens of complex networks, 1979–2012</t>
  </si>
  <si>
    <t>Journal of Transport Geography</t>
  </si>
  <si>
    <t>10.1016/j.jtrangeo.2018.02.010</t>
  </si>
  <si>
    <t>https://www.scopus.com/inward/record.uri?eid=2-s2.0-85042643220&amp;doi=10.1016%2fj.jtrangeo.2018.02.010&amp;partnerID=40&amp;md5=2d0d4eeb6a52cea4895a027bb8dafe6d</t>
  </si>
  <si>
    <t>2-s2.0-85042643220</t>
  </si>
  <si>
    <t>Lenormand M.; Bassolas A.; Ramasco J.J.</t>
  </si>
  <si>
    <t>Lenormand, Maxime (55180819300); Bassolas, Aleix (57163698600); Ramasco, José J. (6603056876)</t>
  </si>
  <si>
    <t>55180819300; 57163698600; 6603056876</t>
  </si>
  <si>
    <t>Systematic comparison of trip distribution laws and models</t>
  </si>
  <si>
    <t>10.1016/j.jtrangeo.2015.12.008</t>
  </si>
  <si>
    <t>https://www.scopus.com/inward/record.uri?eid=2-s2.0-84960371366&amp;doi=10.1016%2fj.jtrangeo.2015.12.008&amp;partnerID=40&amp;md5=591479a7266a7c77436d9c9dcb96430f</t>
  </si>
  <si>
    <t>2-s2.0-84960371366</t>
  </si>
  <si>
    <t>Rosselló-Nadal J.; Santana-Gallego M.</t>
  </si>
  <si>
    <t>Rosselló-Nadal, Jaume (57220022951); Santana-Gallego, María (36119110700)</t>
  </si>
  <si>
    <t>Toward a smaller world. The distance puzzle and international border for tourism</t>
  </si>
  <si>
    <t>10.1016/j.jtrangeo.2024.103809</t>
  </si>
  <si>
    <t>https://www.scopus.com/inward/record.uri?eid=2-s2.0-85183539136&amp;doi=10.1016%2fj.jtrangeo.2024.103809&amp;partnerID=40&amp;md5=f8f180b77714d1ac4ee1d0368fa99ccb</t>
  </si>
  <si>
    <t>2-s2.0-85183539136</t>
  </si>
  <si>
    <t>Nyaupane G.P.; Graefe A.R.</t>
  </si>
  <si>
    <t>Nyaupane, Gyan P. (6505899211); Graefe, Alan R. (6701748267)</t>
  </si>
  <si>
    <t>6505899211; 6701748267</t>
  </si>
  <si>
    <t>Travel distance: A tool for nature-based tourism market segmentation</t>
  </si>
  <si>
    <t>Journal of Travel and Tourism Marketing</t>
  </si>
  <si>
    <t>10.1080/10548400802508457</t>
  </si>
  <si>
    <t>https://www.scopus.com/inward/record.uri?eid=2-s2.0-67650496642&amp;doi=10.1080%2f10548400802508457&amp;partnerID=40&amp;md5=0cb15173e13ca0db4ac10bb8ee1444c9</t>
  </si>
  <si>
    <t>2-s2.0-67650496642</t>
  </si>
  <si>
    <t>Park J.-Y.; Jang S.C.</t>
  </si>
  <si>
    <t>Park, Jeong-Yeol (55292769300); Jang, SooCheong (Shawn) (59157657900)</t>
  </si>
  <si>
    <t>55292769300; 59157657900</t>
  </si>
  <si>
    <t>An Extended Gravity Model: Applying Destination Competitiveness</t>
  </si>
  <si>
    <t>10.1080/10548408.2014.889640</t>
  </si>
  <si>
    <t>https://www.scopus.com/inward/record.uri?eid=2-s2.0-84908573981&amp;doi=10.1080%2f10548408.2014.889640&amp;partnerID=40&amp;md5=0fd3f3c44480c6277f492d133fbdce83</t>
  </si>
  <si>
    <t>2-s2.0-84908573981</t>
  </si>
  <si>
    <t>De Araújo A.F.M.; Lins-Kusterer L.E.F.; Netto E.M.</t>
  </si>
  <si>
    <t>De Araújo, Antonio Fábio Medrado (57219024821); Lins-Kusterer, Liliane Elze Falcão (57208662487); Netto, Eduardo Martins (7003793691)</t>
  </si>
  <si>
    <t>57219024821; 57208662487; 7003793691</t>
  </si>
  <si>
    <t>Space tourism needs a bioethical reboot</t>
  </si>
  <si>
    <t>Journal of Travel Medicine</t>
  </si>
  <si>
    <t>taac137</t>
  </si>
  <si>
    <t>10.1093/jtm/taac137</t>
  </si>
  <si>
    <t>https://www.scopus.com/inward/record.uri?eid=2-s2.0-85164039991&amp;doi=10.1093%2fjtm%2ftaac137&amp;partnerID=40&amp;md5=c570650ca1619b0607d053e99db4493f</t>
  </si>
  <si>
    <t>2-s2.0-85164039991</t>
  </si>
  <si>
    <t>Fourie J.; Rosselló-Nadal J.; Santana-Gallego M.</t>
  </si>
  <si>
    <t>Fourie, Johan (55273842100); Rosselló-Nadal, Jaume (57220022951); Santana-Gallego, María (36119110700)</t>
  </si>
  <si>
    <t>55273842100; 57220022951; 36119110700</t>
  </si>
  <si>
    <t>Fatal Attraction: How Security Threats Hurt Tourism</t>
  </si>
  <si>
    <t>Journal of Travel Research</t>
  </si>
  <si>
    <t>10.1177/0047287519826208</t>
  </si>
  <si>
    <t>https://www.scopus.com/inward/record.uri?eid=2-s2.0-85061492646&amp;doi=10.1177%2f0047287519826208&amp;partnerID=40&amp;md5=06e44eaa1e26e75d4dddbb1dd411becb</t>
  </si>
  <si>
    <t>2-s2.0-85061492646</t>
  </si>
  <si>
    <t>Gabe T.M.; Lynch C.P.; McConnon Jr. J.C.</t>
  </si>
  <si>
    <t>Gabe, Todd M. (6602724769); Lynch, Colleen P. (13204421600); McConnon Jr., James C. (13205058100)</t>
  </si>
  <si>
    <t>6602724769; 13204421600; 13205058100</t>
  </si>
  <si>
    <t>Likelihood of cruise ship passenger return to a visited port: The case of bar harbor, Maine</t>
  </si>
  <si>
    <t>10.1177/0047287505279107</t>
  </si>
  <si>
    <t>https://www.scopus.com/inward/record.uri?eid=2-s2.0-33646262345&amp;doi=10.1177%2f0047287505279107&amp;partnerID=40&amp;md5=7d8128649cbec3a39f94c9c01ecd72bd</t>
  </si>
  <si>
    <t>2-s2.0-33646262345</t>
  </si>
  <si>
    <t>Groizard J.L.; Ismael M.; Santana-Gallego M.</t>
  </si>
  <si>
    <t>Groizard, José L. (16067267900); Ismael, Mohanad (57189268836); Santana-Gallego, María (36119110700)</t>
  </si>
  <si>
    <t>16067267900; 57189268836; 36119110700</t>
  </si>
  <si>
    <t>Political Upheavals, Tourism Flight, and Spillovers: The Case of the Arab Spring</t>
  </si>
  <si>
    <t>10.1177/00472875211002652</t>
  </si>
  <si>
    <t>https://www.scopus.com/inward/record.uri?eid=2-s2.0-85105733064&amp;doi=10.1177%2f00472875211002652&amp;partnerID=40&amp;md5=4115d5efde97db71c141f930edf1c25c</t>
  </si>
  <si>
    <t>2-s2.0-85105733064</t>
  </si>
  <si>
    <t>Jin C.; Cheng J.; Xu J.</t>
  </si>
  <si>
    <t>Jin, Cheng (35113161200); Cheng, Jianquan (7405937687); Xu, Jing (57201874547)</t>
  </si>
  <si>
    <t>35113161200; 7405937687; 57201874547</t>
  </si>
  <si>
    <t>Using User-Generated Content to Explore the Temporal Heterogeneity in Tourist Mobility</t>
  </si>
  <si>
    <t>10.1177/0047287517714906</t>
  </si>
  <si>
    <t>https://www.scopus.com/inward/record.uri?eid=2-s2.0-85046032359&amp;doi=10.1177%2f0047287517714906&amp;partnerID=40&amp;md5=48bfb0e640765a4da0b2d8fa79161b02</t>
  </si>
  <si>
    <t>2-s2.0-85046032359</t>
  </si>
  <si>
    <t>Khalid U.; Okafor L.E.; Burzynska K.</t>
  </si>
  <si>
    <t>Khalid, Usman (57190254906); Okafor, Luke Emeka (35208798600); Burzynska, Katarzyna (57201570848)</t>
  </si>
  <si>
    <t>Do Regional Trade Agreements Enhance International Tourism Flows? Evidence from a Cross-Country Analysis</t>
  </si>
  <si>
    <t>10.1177/00472875211028321</t>
  </si>
  <si>
    <t>https://www.scopus.com/inward/record.uri?eid=2-s2.0-85110348650&amp;doi=10.1177%2f00472875211028321&amp;partnerID=40&amp;md5=08b9cb3b2de5fe83050507ebdbb2ad19</t>
  </si>
  <si>
    <t>2-s2.0-85110348650</t>
  </si>
  <si>
    <t>Khalid U.; Okafor L.E.; Sanusi O.I.</t>
  </si>
  <si>
    <t>Khalid, Usman (57190254906); Okafor, Luke Emeka (35208798600); Sanusi, Olajide Idris (57221920439)</t>
  </si>
  <si>
    <t>57190254906; 35208798600; 57221920439</t>
  </si>
  <si>
    <t>Exploring Diverse Sources of Linguistic Influence on International Tourism Flows</t>
  </si>
  <si>
    <t>10.1177/0047287520988909</t>
  </si>
  <si>
    <t>https://www.scopus.com/inward/record.uri?eid=2-s2.0-85100555375&amp;doi=10.1177%2f0047287520988909&amp;partnerID=40&amp;md5=7b77829f9f4634b0904f4cf3f1e70e10</t>
  </si>
  <si>
    <t>2-s2.0-85100555375</t>
  </si>
  <si>
    <t>Khalid U.; Okafor L.E.; Shafiullah M.</t>
  </si>
  <si>
    <t>Khalid, Usman (57190254906); Okafor, Luke Emeka (35208798600); Shafiullah, Muhammad (57147571000)</t>
  </si>
  <si>
    <t>57190254906; 35208798600; 57147571000</t>
  </si>
  <si>
    <t>The Effects of Economic and Financial Crises on International Tourist Flows: A Cross-Country Analysis</t>
  </si>
  <si>
    <t>10.1177/0047287519834360</t>
  </si>
  <si>
    <t>https://www.scopus.com/inward/record.uri?eid=2-s2.0-85062728474&amp;doi=10.1177%2f0047287519834360&amp;partnerID=40&amp;md5=95bf9221fdef2dfca734770117b3520f</t>
  </si>
  <si>
    <t>2-s2.0-85062728474</t>
  </si>
  <si>
    <t>Lorde T.; Li G.; Airey D.</t>
  </si>
  <si>
    <t>Lorde, Troy (6504461563); Li, Gang (56297816500); Airey, David (56249129000)</t>
  </si>
  <si>
    <t>6504461563; 56297816500; 56249129000</t>
  </si>
  <si>
    <t>Modeling Caribbean Tourism Demand: An Augmented Gravity Approach</t>
  </si>
  <si>
    <t>10.1177/0047287515592852</t>
  </si>
  <si>
    <t>https://www.scopus.com/inward/record.uri?eid=2-s2.0-84981212636&amp;doi=10.1177%2f0047287515592852&amp;partnerID=40&amp;md5=5a8402c6e468b684cd9e13a4d3f5a4f7</t>
  </si>
  <si>
    <t>2-s2.0-84981212636</t>
  </si>
  <si>
    <t>Okafor L.E.; Khalid U.; Burzynska K.</t>
  </si>
  <si>
    <t>Okafor, Luke Emeka (35208798600); Khalid, Usman (57190254906); Burzynska, Katarzyna (57201570848)</t>
  </si>
  <si>
    <t>35208798600; 57190254906; 57201570848</t>
  </si>
  <si>
    <t>The Effect of Migration on International Tourism Flows: The Role of Linguistic Networks and Common Languages</t>
  </si>
  <si>
    <t>10.1177/00472875211008250</t>
  </si>
  <si>
    <t>https://www.scopus.com/inward/record.uri?eid=2-s2.0-85105708958&amp;doi=10.1177%2f00472875211008250&amp;partnerID=40&amp;md5=10057190463f1f43b648696e37b043d4</t>
  </si>
  <si>
    <t>2-s2.0-85105708958</t>
  </si>
  <si>
    <t>Petit S.; Seetaram N.</t>
  </si>
  <si>
    <t>Petit, Sylvain (36139787400); Seetaram, Neelu (18435117200)</t>
  </si>
  <si>
    <t>36139787400; 18435117200</t>
  </si>
  <si>
    <t>Measuring the Effect of Revealed Cultural Preferences on Tourism Exports</t>
  </si>
  <si>
    <t>10.1177/0047287518807582</t>
  </si>
  <si>
    <t>https://www.scopus.com/inward/record.uri?eid=2-s2.0-85060151765&amp;doi=10.1177%2f0047287518807582&amp;partnerID=40&amp;md5=7dce3a1c4e9a4f32acf9296fcb7ce4a7</t>
  </si>
  <si>
    <t>2-s2.0-85060151765</t>
  </si>
  <si>
    <t>Waqas-Awan A.; Rosselló-Nadal J.; Santana-Gallego M.</t>
  </si>
  <si>
    <t>Waqas-Awan, Aon (57216182094); Rosselló-Nadal, Jaume (57220022951); Santana-Gallego, Maria (36119110700)</t>
  </si>
  <si>
    <t>57216182094; 57220022951; 36119110700</t>
  </si>
  <si>
    <t>New Insights into the Role of Personal Income on International Tourism</t>
  </si>
  <si>
    <t>10.1177/0047287520907702</t>
  </si>
  <si>
    <t>https://www.scopus.com/inward/record.uri?eid=2-s2.0-85082744402&amp;doi=10.1177%2f0047287520907702&amp;partnerID=40&amp;md5=031c2e81d993cda7d1a563893a9a7fed</t>
  </si>
  <si>
    <t>2-s2.0-85082744402</t>
  </si>
  <si>
    <t>Yang Y.; Li D.; Li X.</t>
  </si>
  <si>
    <t>Yang, Yang (56184621100); Li, Dong (59284245100); Li, Xiang (Robert) (23397063000)</t>
  </si>
  <si>
    <t>56184621100; 59284245100; 23397063000</t>
  </si>
  <si>
    <t>Public Transport Connectivity and Intercity Tourist Flows</t>
  </si>
  <si>
    <t>10.1177/0047287517741997</t>
  </si>
  <si>
    <t>https://www.scopus.com/inward/record.uri?eid=2-s2.0-85042916934&amp;doi=10.1177%2f0047287517741997&amp;partnerID=40&amp;md5=d44ef9fdc1aa35d437362721d8654065</t>
  </si>
  <si>
    <t>2-s2.0-85042916934</t>
  </si>
  <si>
    <t>Yang Y.; Liu H.; Li X.</t>
  </si>
  <si>
    <t>Yang, Yang (56184621100); Liu, Hongbo (57212370187); Li, Xiang (Robert) (23397063000)</t>
  </si>
  <si>
    <t>56184621100; 57212370187; 23397063000</t>
  </si>
  <si>
    <t>The World Is Flatter? Examining the Relationship between Cultural Distance and International Tourist Flows</t>
  </si>
  <si>
    <t>10.1177/0047287517748780</t>
  </si>
  <si>
    <t>https://www.scopus.com/inward/record.uri?eid=2-s2.0-85048297254&amp;doi=10.1177%2f0047287517748780&amp;partnerID=40&amp;md5=756b9c907cffb050d7c605a25c01a3ae</t>
  </si>
  <si>
    <t>2-s2.0-85048297254</t>
  </si>
  <si>
    <t>Yang Y.; Zhang L.; Wu L.; Li Z.</t>
  </si>
  <si>
    <t>Yang, Yang (56184621100); Zhang, Linjia (56965812900); Wu, Laurie (57213163431); Li, Zhenlong (55809947500)</t>
  </si>
  <si>
    <t>56184621100; 56965812900; 57213163431; 55809947500</t>
  </si>
  <si>
    <t>Does Distance Still Matter? Moderating Effects of Distance Measures on the Relationship Between Pandemic Severity and Bilateral Tourism Demand</t>
  </si>
  <si>
    <t>10.1177/00472875221077978</t>
  </si>
  <si>
    <t>https://www.scopus.com/inward/record.uri?eid=2-s2.0-85125084374&amp;doi=10.1177%2f00472875221077978&amp;partnerID=40&amp;md5=8e2f24fc2b8b08eb62e7314fc47da729</t>
  </si>
  <si>
    <t>2-s2.0-85125084374</t>
  </si>
  <si>
    <t>Zhang Y.; Li X.; Cárdenas D.A.; Liu Y.</t>
  </si>
  <si>
    <t>Zhang, Yingsha (57216696602); Li, Xiang (23397063000); Cárdenas, David A. (16244266700); Liu, Yu (55742311000)</t>
  </si>
  <si>
    <t>57216696602; 23397063000; 16244266700; 55742311000</t>
  </si>
  <si>
    <t>Calculating Theme Parks’ Tourism Demand and Attractiveness Energy: A Reverse Gravity Model and Particle Swarm Optimization</t>
  </si>
  <si>
    <t>10.1177/0047287520977705</t>
  </si>
  <si>
    <t>https://www.scopus.com/inward/record.uri?eid=2-s2.0-85105722492&amp;doi=10.1177%2f0047287520977705&amp;partnerID=40&amp;md5=6f190b1be71ce2ff3a5c292d29411157</t>
  </si>
  <si>
    <t>2-s2.0-85105722492</t>
  </si>
  <si>
    <t>Cró S.; Correia P.; Martins A.M.</t>
  </si>
  <si>
    <t>Cró, Susana (57192239324); Correia, Pedro (56432467900); Martins, António Miguel (57192214348)</t>
  </si>
  <si>
    <t>57192239324; 56432467900; 57192214348</t>
  </si>
  <si>
    <t>The role of promotion expenditures, direct flights and climate in island destinations</t>
  </si>
  <si>
    <t>Journal of Vacation Marketing</t>
  </si>
  <si>
    <t>10.1177/13567667211020492</t>
  </si>
  <si>
    <t>https://www.scopus.com/inward/record.uri?eid=2-s2.0-85107273777&amp;doi=10.1177%2f13567667211020492&amp;partnerID=40&amp;md5=19e90da16ba411a0c01bf6212770d176</t>
  </si>
  <si>
    <t>2-s2.0-85107273777</t>
  </si>
  <si>
    <t>Jong M.-C.; Puah C.-H.; Arip M.A.</t>
  </si>
  <si>
    <t>Jong, Meng-Chang (57219871800); Puah, Chin-Hong (16444742600); Arip, Mohammad Affendy (55792036500)</t>
  </si>
  <si>
    <t>57219871800; 16444742600; 55792036500</t>
  </si>
  <si>
    <t>Modelling tourism demand: An augmented gravity model</t>
  </si>
  <si>
    <t>Jurnal Ekonomi Malaysia</t>
  </si>
  <si>
    <t>10.17576/JEM-2020-5402-09</t>
  </si>
  <si>
    <t>https://www.scopus.com/inward/record.uri?eid=2-s2.0-85095817161&amp;doi=10.17576%2fJEM-2020-5402-09&amp;partnerID=40&amp;md5=a966a047b0d1e60659ec13c82304959f</t>
  </si>
  <si>
    <t>2-s2.0-85095817161</t>
  </si>
  <si>
    <t>Kosnan S.S.A.; Ismail N.W.; Kaliappan S.R.</t>
  </si>
  <si>
    <t>Kosnan, Siti Shuhada Ahmad (55807955800); Ismail, Normaz Wana (25937255600); Kaliappan, Shivee Ranjanee (34979884400)</t>
  </si>
  <si>
    <t>55807955800; 25937255600; 34979884400</t>
  </si>
  <si>
    <t>Determinants of international tourism in malaysia: Evidence from gravity model</t>
  </si>
  <si>
    <t>https://www.scopus.com/inward/record.uri?eid=2-s2.0-84880912267&amp;partnerID=40&amp;md5=28361c41fe240a9dddb351658d2cac7b</t>
  </si>
  <si>
    <t>2-s2.0-84880912267</t>
  </si>
  <si>
    <t>Fourie J.; Rosselló J.; Santana-Gallego M.</t>
  </si>
  <si>
    <t>Fourie, Johan (55273842100); Rosselló, Jaume (57220022951); Santana-Gallego, Maria (36119110700)</t>
  </si>
  <si>
    <t>Religion, religious diversity and tourism</t>
  </si>
  <si>
    <t>Kyklos</t>
  </si>
  <si>
    <t>10.1111/kykl.12066</t>
  </si>
  <si>
    <t>https://www.scopus.com/inward/record.uri?eid=2-s2.0-84921896443&amp;doi=10.1111%2fkykl.12066&amp;partnerID=40&amp;md5=e1c53657aecb247f33bd49b082ffe4cd</t>
  </si>
  <si>
    <t>2-s2.0-84921896443</t>
  </si>
  <si>
    <t>Chen X.; Wang T.; Zheng X.; Han F.; Yang Z.</t>
  </si>
  <si>
    <t>Chen, Xiaodong (36552055500); Wang, Tian (57445416000); Zheng, Xin (57207379809); Han, Fang (36631949700); Yang, Zhaoping (59157705200)</t>
  </si>
  <si>
    <t>36552055500; 57445416000; 57207379809; 36631949700; 59157705200</t>
  </si>
  <si>
    <t>The Structure and Evolution of the Tourism Economic Network of the Tibetan Plateau and Its Driving Factors</t>
  </si>
  <si>
    <t>Land</t>
  </si>
  <si>
    <t>10.3390/land11020241</t>
  </si>
  <si>
    <t>https://www.scopus.com/inward/record.uri?eid=2-s2.0-85124457397&amp;doi=10.3390%2fland11020241&amp;partnerID=40&amp;md5=a272e1eea1c3ee3e2ead806e3a53eeaf</t>
  </si>
  <si>
    <t>2-s2.0-85124457397</t>
  </si>
  <si>
    <t>Lu S.; Huang Y.; Wu X.; Ding Y.</t>
  </si>
  <si>
    <t>Lu, Shiwei (56090901700); Huang, Yaping (52463811100); Wu, Xiaoqing (58075826900); Ding, Yichen (57947098500)</t>
  </si>
  <si>
    <t>56090901700; 52463811100; 58075826900; 57947098500</t>
  </si>
  <si>
    <t>Evaluation, Recognition and Implications of Urban–Rural Integration Development: A Township-Level Analysis of Hanchuan City in Wuhan Metropolitan Area</t>
  </si>
  <si>
    <t>10.3390/land12010014</t>
  </si>
  <si>
    <t>https://www.scopus.com/inward/record.uri?eid=2-s2.0-85146812660&amp;doi=10.3390%2fland12010014&amp;partnerID=40&amp;md5=6dbe56c751d967f2e9689c03ba07d11f</t>
  </si>
  <si>
    <t>2-s2.0-85146812660</t>
  </si>
  <si>
    <t>Shi S.; Liu M.; Xi J.</t>
  </si>
  <si>
    <t>Shi, Shanshan (57209240112); Liu, Menghao (57218418954); Xi, Jianchao (55482033300)</t>
  </si>
  <si>
    <t>57209240112; 57218418954; 55482033300</t>
  </si>
  <si>
    <t>Hierarchical Structure and Organizational Model of County Tourism Network of the Tibetan Plateau</t>
  </si>
  <si>
    <t>10.3390/land11111880</t>
  </si>
  <si>
    <t>https://www.scopus.com/inward/record.uri?eid=2-s2.0-85141887946&amp;doi=10.3390%2fland11111880&amp;partnerID=40&amp;md5=50a7c6f0a81c7deea78a53eb50173ab4</t>
  </si>
  <si>
    <t>2-s2.0-85141887946</t>
  </si>
  <si>
    <t>Wang Y.; An L.; Chen H.; Zhao Y.</t>
  </si>
  <si>
    <t>Wang, Yuewei (37074982800); An, Lidan (55881325500); Chen, Hang (38163236600); Zhao, Yuyan (57905175100)</t>
  </si>
  <si>
    <t>37074982800; 55881325500; 38163236600; 57905175100</t>
  </si>
  <si>
    <t>Spatial Correlation and Influencing Factors of Tourism Eco-Efficiency in the Urban Agglomeration of the Yangtze River Delta Based on Social Network Analysis</t>
  </si>
  <si>
    <t>10.3390/land11112089</t>
  </si>
  <si>
    <t>https://www.scopus.com/inward/record.uri?eid=2-s2.0-85149304105&amp;doi=10.3390%2fland11112089&amp;partnerID=40&amp;md5=b207432ec6f94bc039b3cec3061fcb1c</t>
  </si>
  <si>
    <t>2-s2.0-85149304105</t>
  </si>
  <si>
    <t>Xie X.; Shi P.</t>
  </si>
  <si>
    <t>Xie, Xiaoyi (57224987119); Shi, Peiji (35171427200)</t>
  </si>
  <si>
    <t>57224987119; 35171427200</t>
  </si>
  <si>
    <t>Dynamic Evolution and Collaborative Development Model of Urban Agglomeration in Hexi Corridor from the Perspective of Economic Flow</t>
  </si>
  <si>
    <t>10.3390/land12020274</t>
  </si>
  <si>
    <t>https://www.scopus.com/inward/record.uri?eid=2-s2.0-85148731801&amp;doi=10.3390%2fland12020274&amp;partnerID=40&amp;md5=9daa06efeed9dddcad99135065b9d5b5</t>
  </si>
  <si>
    <t>2-s2.0-85148731801</t>
  </si>
  <si>
    <t>Yan M.; Li Q.; Song Y.</t>
  </si>
  <si>
    <t>Yan, Mi (58554894000); Li, Qingmiao (58554894100); Song, Yan (35224016100)</t>
  </si>
  <si>
    <t>58554894000; 58554894100; 35224016100</t>
  </si>
  <si>
    <t>Spatial and Temporal Distribution Characteristics and Influential Mechanisms of China’s Industrial Landscape Based on Geodetector</t>
  </si>
  <si>
    <t>10.3390/land13060746</t>
  </si>
  <si>
    <t>https://www.scopus.com/inward/record.uri?eid=2-s2.0-85197310934&amp;doi=10.3390%2fland13060746&amp;partnerID=40&amp;md5=acf0a86db6f5151a90e19da7a63e5f52</t>
  </si>
  <si>
    <t>2-s2.0-85197310934</t>
  </si>
  <si>
    <t>Yan M.; Li Q.; Zhang J.</t>
  </si>
  <si>
    <t>Yan, Mi (58554894000); Li, Qingmiao (58554894100); Zhang, Jiazhen (57218142504)</t>
  </si>
  <si>
    <t>58554894000; 58554894100; 57218142504</t>
  </si>
  <si>
    <t>Rethinking Industrial Heritage Tourism Resources in the EU: A Spatial Perspective</t>
  </si>
  <si>
    <t>10.3390/land12081510</t>
  </si>
  <si>
    <t>https://www.scopus.com/inward/record.uri?eid=2-s2.0-85169121695&amp;doi=10.3390%2fland12081510&amp;partnerID=40&amp;md5=cc79a6b3d1e32d807ec9df52b36a4405</t>
  </si>
  <si>
    <t>2-s2.0-85169121695</t>
  </si>
  <si>
    <t>Zhang P.; Zhang L.; Han D.; Wang T.; Zhu H.; Chen Y.</t>
  </si>
  <si>
    <t>Zhang, Pengyang (57887849300); Zhang, Lewen (58166922900); Han, Dandan (58165889100); Wang, Tingting (57216129791); Zhu, He (56266620100); Chen, Yongtao (58166307300)</t>
  </si>
  <si>
    <t>57887849300; 58166922900; 58165889100; 57216129791; 56266620100; 58166307300</t>
  </si>
  <si>
    <t>Coupled and Coordinated Development of the Tourism Industry and Urbanization in Marginal and Less Developed Regions—Taking the Mountainous Border Areas of Western Yunnan as a Case Study</t>
  </si>
  <si>
    <t>10.3390/land12030640</t>
  </si>
  <si>
    <t>https://www.scopus.com/inward/record.uri?eid=2-s2.0-85151381837&amp;doi=10.3390%2fland12030640&amp;partnerID=40&amp;md5=d4e938af6b7b7dc508b61c501803035d</t>
  </si>
  <si>
    <t>2-s2.0-85151381837</t>
  </si>
  <si>
    <t>Zhang X.; Huang X.; Shi J.; Zheng Y.; Wang J.</t>
  </si>
  <si>
    <t>Zhang, Xiaoyuan (57192702191); Huang, Xiankai (55825881400); Shi, Jinlian (56009393300); Zheng, Yaomin (54418336700); Wang, Jiahong (59152025300)</t>
  </si>
  <si>
    <t>57192702191; 55825881400; 56009393300; 54418336700; 59152025300</t>
  </si>
  <si>
    <t>Connections and Spatial Network Structure of the Tourism Economy in Beijing–Tianjin–Hebei: A Social Network Perspective</t>
  </si>
  <si>
    <t>10.3390/land13101691</t>
  </si>
  <si>
    <t>https://www.scopus.com/inward/record.uri?eid=2-s2.0-85207349027&amp;doi=10.3390%2fland13101691&amp;partnerID=40&amp;md5=ab654027be21eb262c7d8e48bfe63a29</t>
  </si>
  <si>
    <t>2-s2.0-85207349027</t>
  </si>
  <si>
    <t>Zhu H.; Tang J.; Xie X.; Ding Z.; Gong L.</t>
  </si>
  <si>
    <t>Zhu, Haiqiang (57194611849); Tang, Junhu (57926356800); Xie, Xia (57219700137); Ding, Zhaolong (57222253826); Gong, Lu (36850778600)</t>
  </si>
  <si>
    <t>57194611849; 57926356800; 57219700137; 57222253826; 36850778600</t>
  </si>
  <si>
    <t>A Coordination Analysis on Rural Revitalization and Tourism High-Quality Development along the Silk Road Economic Belt, China</t>
  </si>
  <si>
    <t>10.3390/land13081173</t>
  </si>
  <si>
    <t>https://www.scopus.com/inward/record.uri?eid=2-s2.0-85202640159&amp;doi=10.3390%2fland13081173&amp;partnerID=40&amp;md5=84882ea5af41d76b8b10ab905874091d</t>
  </si>
  <si>
    <t>2-s2.0-85202640159</t>
  </si>
  <si>
    <t>Qu L.; Li Y.; Chen Z.; Huang Y.</t>
  </si>
  <si>
    <t>Qu, Lulu (57190728744); Li, Yurui (57949571400); Chen, Zongfeng (57190166538); Huang, Yunxin (57205727692)</t>
  </si>
  <si>
    <t>57190728744; 57949571400; 57190166538; 57205727692</t>
  </si>
  <si>
    <t>Exploring the spatiotemporal variation characteristics and influencing factors of gully agricultural production transformation in the Chinese Loess Plateau: A case study of loess hilly and gully region in Yan'an City</t>
  </si>
  <si>
    <t>Land Use Policy</t>
  </si>
  <si>
    <t>10.1016/j.landusepol.2022.106369</t>
  </si>
  <si>
    <t>https://www.scopus.com/inward/record.uri?eid=2-s2.0-85140482513&amp;doi=10.1016%2fj.landusepol.2022.106369&amp;partnerID=40&amp;md5=9d0d6cb7b53df961a56d2636fe0866a9</t>
  </si>
  <si>
    <t>2-s2.0-85140482513</t>
  </si>
  <si>
    <t>Jomard H.; Lebourg T.; Guglielmi Y.</t>
  </si>
  <si>
    <t>Jomard, H. (23090657500); Lebourg, Th. (6602546489); Guglielmi, Y. (6602772013)</t>
  </si>
  <si>
    <t>23090657500; 6602546489; 6602772013</t>
  </si>
  <si>
    <t>Morphological analysis of deep-seated gravitational slope deformation (DSGSD) in the western part of the Argentera massif. A morpho-tectonic control?</t>
  </si>
  <si>
    <t>Landslides</t>
  </si>
  <si>
    <t>10.1007/s10346-013-0434-0</t>
  </si>
  <si>
    <t>https://www.scopus.com/inward/record.uri?eid=2-s2.0-84893704766&amp;doi=10.1007%2fs10346-013-0434-0&amp;partnerID=40&amp;md5=5e4b973e44d653e894da28fb59ac87f0</t>
  </si>
  <si>
    <t>2-s2.0-84893704766</t>
  </si>
  <si>
    <t>Castillo D.A.</t>
  </si>
  <si>
    <t>Castillo, Debra A. (14633303400)</t>
  </si>
  <si>
    <t>Literature and cultural studies war games / puro vacilón</t>
  </si>
  <si>
    <t>Latin American Research Review</t>
  </si>
  <si>
    <t>10.25222/larr.161</t>
  </si>
  <si>
    <t>https://www.scopus.com/inward/record.uri?eid=2-s2.0-85060481997&amp;doi=10.25222%2flarr.161&amp;partnerID=40&amp;md5=4f10546681afe1bc81bac8441237b6f6</t>
  </si>
  <si>
    <t>2-s2.0-85060481997</t>
  </si>
  <si>
    <t>Chong U.; Alimardanov S.</t>
  </si>
  <si>
    <t>Chong, Uipil (10239485800); Alimardanov, Shokhzod (57222320687)</t>
  </si>
  <si>
    <t>10239485800; 57222320687</t>
  </si>
  <si>
    <t>Implementation of Virtual Sea Environment with 3D Whale Animation</t>
  </si>
  <si>
    <t>Lecture Notes in Computer Science (including subseries Lecture Notes in Artificial Intelligence and Lecture Notes in Bioinformatics)</t>
  </si>
  <si>
    <t>13741 LNCS</t>
  </si>
  <si>
    <t>10.1007/978-3-031-27199-1_26</t>
  </si>
  <si>
    <t>https://www.scopus.com/inward/record.uri?eid=2-s2.0-85159447911&amp;doi=10.1007%2f978-3-031-27199-1_26&amp;partnerID=40&amp;md5=314ee6fcd140ffcf162883c4394d59c2</t>
  </si>
  <si>
    <t>2-s2.0-85159447911</t>
  </si>
  <si>
    <t>Torre C.M.; Attardi R.; Sannicandro V.</t>
  </si>
  <si>
    <t>Torre, Carmelo M. (25522663000); Attardi, Raffaele (55515332200); Sannicandro, Valentina (55804053700)</t>
  </si>
  <si>
    <t>25522663000; 55515332200; 55804053700</t>
  </si>
  <si>
    <t>Integrating financial analysis and decision theory for the evaluation of alternative reuse scenarios of historical buildings</t>
  </si>
  <si>
    <t>10.1007/978-3-319-42089-9_13</t>
  </si>
  <si>
    <t>https://www.scopus.com/inward/record.uri?eid=2-s2.0-84978194161&amp;doi=10.1007%2f978-3-319-42089-9_13&amp;partnerID=40&amp;md5=8b407c6b9905aef1e72e1868d62a78ea</t>
  </si>
  <si>
    <t>2-s2.0-84978194161</t>
  </si>
  <si>
    <t>Kolisko P.</t>
  </si>
  <si>
    <t>Kolisko, Pavel (56440164000)</t>
  </si>
  <si>
    <t>Examples of the implementation of Fuzzy models in tourism in the South Moravian Region</t>
  </si>
  <si>
    <t>Lecture Notes in Geoinformation and Cartography</t>
  </si>
  <si>
    <t>10.1007/978-3-319-11463-7_12</t>
  </si>
  <si>
    <t>https://www.scopus.com/inward/record.uri?eid=2-s2.0-84915746787&amp;doi=10.1007%2f978-3-319-11463-7_12&amp;partnerID=40&amp;md5=fe9ce3caac47e86771792b6085e2d85c</t>
  </si>
  <si>
    <t>2-s2.0-84915746787</t>
  </si>
  <si>
    <t>Anand S.; Majumder D.</t>
  </si>
  <si>
    <t>Anand, Shivam (58549147900); Majumder, Debashish (58549238300)</t>
  </si>
  <si>
    <t>58549147900; 58549238300</t>
  </si>
  <si>
    <t>System Design for Earth-to-Earth Commute—Research and Development</t>
  </si>
  <si>
    <t>Lecture Notes in Mechanical Engineering</t>
  </si>
  <si>
    <t>10.1007/978-981-99-1665-8_30</t>
  </si>
  <si>
    <t>https://www.scopus.com/inward/record.uri?eid=2-s2.0-85168766689&amp;doi=10.1007%2f978-981-99-1665-8_30&amp;partnerID=40&amp;md5=a977a254c8fa5a5f1e14776e5bf3458d</t>
  </si>
  <si>
    <t>2-s2.0-85168766689</t>
  </si>
  <si>
    <t>Lestari N.P.N.E.; Suidarma I.M.; Gorda A.A.A.N.R.</t>
  </si>
  <si>
    <t>Lestari, Ni Putu Nina Eka (57190030517); Suidarma, I. Made (57196465044); Gorda, A. A. A. NgurahTini Rusmini (57215573648)</t>
  </si>
  <si>
    <t>57190030517; 57196465044; 57215573648</t>
  </si>
  <si>
    <t>Strategic Development for the Tourism Industry Using the Penta Helix Model (A Case Study of Kuta Beach, Bali Tourist Attraction)</t>
  </si>
  <si>
    <t>Lecture Notes in Networks and Systems</t>
  </si>
  <si>
    <t>923 LNNS</t>
  </si>
  <si>
    <t>10.1007/978-3-031-55911-2_31</t>
  </si>
  <si>
    <t>https://www.scopus.com/inward/record.uri?eid=2-s2.0-85189517963&amp;doi=10.1007%2f978-3-031-55911-2_31&amp;partnerID=40&amp;md5=f802fd24e734520f1e79852da0e4f10c</t>
  </si>
  <si>
    <t>2-s2.0-85189517963</t>
  </si>
  <si>
    <t>Manju; Singh S.; Kumar S.</t>
  </si>
  <si>
    <t>Manju (58857126100); Singh, Samayveer (57209533254); Kumar, Sandeep (57197068167)</t>
  </si>
  <si>
    <t>58857126100; 57209533254; 57197068167</t>
  </si>
  <si>
    <t>IoT-Based Smart Indoor Navigation System with Voice Assistance for Museums</t>
  </si>
  <si>
    <t>967 LNNS</t>
  </si>
  <si>
    <t>10.1007/978-981-97-2053-8_34</t>
  </si>
  <si>
    <t>https://www.scopus.com/inward/record.uri?eid=2-s2.0-85199482500&amp;doi=10.1007%2f978-981-97-2053-8_34&amp;partnerID=40&amp;md5=92a654bbe7ceeb5d63749e238ddd94ec</t>
  </si>
  <si>
    <t>2-s2.0-85199482500</t>
  </si>
  <si>
    <t>AHFE Conferences on Physical Ergonomics and Human Factors, Social and Occupational Ergonomics, and Cross-Cultural Decision Making, 2021</t>
  </si>
  <si>
    <t>https://www.scopus.com/inward/record.uri?eid=2-s2.0-85112346791&amp;partnerID=40&amp;md5=932e6afe9c15bc34de44d89f7c0b3e24</t>
  </si>
  <si>
    <t>2-s2.0-85112346791</t>
  </si>
  <si>
    <t>International Perm Forum on Science and Global Challenges of the 21st Century, 2021</t>
  </si>
  <si>
    <t>342 LNNS</t>
  </si>
  <si>
    <t>https://www.scopus.com/inward/record.uri?eid=2-s2.0-85118115131&amp;partnerID=40&amp;md5=d920aef691db19f227dfdb9e72ccc15b</t>
  </si>
  <si>
    <t>2-s2.0-85118115131</t>
  </si>
  <si>
    <t>Smith S.L.J.</t>
  </si>
  <si>
    <t>Smith, Stephen L. J. (55574212862)</t>
  </si>
  <si>
    <t>U.s. vacation travel patterns: Correlates of distance decay and the willingness to travel</t>
  </si>
  <si>
    <t>Leisure Sciences</t>
  </si>
  <si>
    <t>10.1080/01490408509512116</t>
  </si>
  <si>
    <t>https://www.scopus.com/inward/record.uri?eid=2-s2.0-0022211637&amp;doi=10.1080%2f01490408509512116&amp;partnerID=40&amp;md5=033719ab0287d1202f532d03b5a9471a</t>
  </si>
  <si>
    <t>2-s2.0-0022211637</t>
  </si>
  <si>
    <t>Wazir H.U.; Narang P.; Silvani G.; Mehner C.; Poole K.; Burke C.; Chou J.</t>
  </si>
  <si>
    <t>Wazir, Hakim Ullah (58165801600); Narang, Pooja (58166643400); Silvani, Giulia (25650832700); Mehner, Christine (55497704600); Poole, Kate (7101984840); Burke, Catherine (25221468000); Chou, Joshua (23567607600)</t>
  </si>
  <si>
    <t>58165801600; 58166643400; 25650832700; 55497704600; 7101984840; 25221468000; 23567607600</t>
  </si>
  <si>
    <t>Bacterial Virulence and Prevention for Human Spaceflight</t>
  </si>
  <si>
    <t>Life</t>
  </si>
  <si>
    <t>10.3390/life13030656</t>
  </si>
  <si>
    <t>https://www.scopus.com/inward/record.uri?eid=2-s2.0-85151345125&amp;doi=10.3390%2flife13030656&amp;partnerID=40&amp;md5=dc2134c97aea84c9ff97d6df4033aa0a</t>
  </si>
  <si>
    <t>2-s2.0-85151345125</t>
  </si>
  <si>
    <t>Gupta U.; Baig S.; Majid A.; Bell S.M.</t>
  </si>
  <si>
    <t>Gupta, Udit (57893760300); Baig, Sheharyar (57189239074); Majid, Arshad (7005199088); Bell, Simon M (55327934300)</t>
  </si>
  <si>
    <t>57893760300; 57189239074; 7005199088; 55327934300</t>
  </si>
  <si>
    <t>The neurology of space flight; How does space flight effect the human nervous system?</t>
  </si>
  <si>
    <t>Life Sciences in Space Research</t>
  </si>
  <si>
    <t>10.1016/j.lssr.2022.09.003</t>
  </si>
  <si>
    <t>https://www.scopus.com/inward/record.uri?eid=2-s2.0-85138142626&amp;doi=10.1016%2fj.lssr.2022.09.003&amp;partnerID=40&amp;md5=fbbd1f66416eaedf6834754ef1934d8a</t>
  </si>
  <si>
    <t>2-s2.0-85138142626</t>
  </si>
  <si>
    <t>Park J.-Y.; Jang S.S.</t>
  </si>
  <si>
    <t>Park, Jeong-Yeol (55292769300); Jang, Soocheong Shawn (59157657900)</t>
  </si>
  <si>
    <t>An extended gravity model: Applying destination competitiveness</t>
  </si>
  <si>
    <t>Management Science in Hospitality and Tourism: Theory, Practice, and Applications</t>
  </si>
  <si>
    <t>https://www.scopus.com/inward/record.uri?eid=2-s2.0-85052444266&amp;partnerID=40&amp;md5=a75009ede1feaa632dd50ac1cab1f486</t>
  </si>
  <si>
    <t>2-s2.0-85052444266</t>
  </si>
  <si>
    <t>Hothi N.; Hothi G.</t>
  </si>
  <si>
    <t>Hothi, Navjot (34980001500); Hothi, Gagandeep (57646390800)</t>
  </si>
  <si>
    <t>34980001500; 57646390800</t>
  </si>
  <si>
    <t>Water crisis of Shimla Town: Past and present scenario</t>
  </si>
  <si>
    <t>Materials Today: Proceedings</t>
  </si>
  <si>
    <t>10.1016/j.matpr.2022.03.715</t>
  </si>
  <si>
    <t>https://www.scopus.com/inward/record.uri?eid=2-s2.0-85128942618&amp;doi=10.1016%2fj.matpr.2022.03.715&amp;partnerID=40&amp;md5=667d83f2f42ddb1a703c45cc64b3ceba</t>
  </si>
  <si>
    <t>2-s2.0-85128942618</t>
  </si>
  <si>
    <t>Al-Habahbeh O.M.</t>
  </si>
  <si>
    <t>Al-Habahbeh, Osama M. (34874576300)</t>
  </si>
  <si>
    <t>Sustainable Design of an Artificial Lake in Jafer Basin Based on Gravity Flow</t>
  </si>
  <si>
    <t>Mathematical Modelling of Engineering Problems</t>
  </si>
  <si>
    <t>10.18280/mmep.090113</t>
  </si>
  <si>
    <t>https://www.scopus.com/inward/record.uri?eid=2-s2.0-85126828317&amp;doi=10.18280%2fmmep.090113&amp;partnerID=40&amp;md5=1cecca59f188e50d6f9fae63b48f7c01</t>
  </si>
  <si>
    <t>2-s2.0-85126828317</t>
  </si>
  <si>
    <t>Stough Roger R.</t>
  </si>
  <si>
    <t>Stough, Roger R. (55762755900)</t>
  </si>
  <si>
    <t>GRAVITY MODEL: ASSESSING MULTIREGIONAL TOURIST PROMOTIONAL PROGRAMS.</t>
  </si>
  <si>
    <t>Modeling and Simulation, Proceedings of the Annual Pittsburgh Conference</t>
  </si>
  <si>
    <t>https://www.scopus.com/inward/record.uri?eid=2-s2.0-0021727136&amp;partnerID=40&amp;md5=6911354091b5084e6f7670af0b45ec9f</t>
  </si>
  <si>
    <t>2-s2.0-0021727136</t>
  </si>
  <si>
    <t>Navrátil J.; Martinsc S.; Pícha K.; Navŕ́ J.</t>
  </si>
  <si>
    <t>Navrátil, Josef (12645843300); Martinsc, Stanislav (10142438200); Pícha, Kamil (35223822600); Navŕ́, Jana (56154338400)</t>
  </si>
  <si>
    <t>12645843300; 10142438200; 35223822600; 56154338400</t>
  </si>
  <si>
    <t>Anglers' choice of fisheries in the Czech Republic; [Výběr rybářských revírů sportovními rybáři v české Republice]</t>
  </si>
  <si>
    <t>Moravian Geographical Reports</t>
  </si>
  <si>
    <t>https://www.scopus.com/inward/record.uri?eid=2-s2.0-84855614448&amp;partnerID=40&amp;md5=521c1db7521967f1afef353ca0558262</t>
  </si>
  <si>
    <t>2-s2.0-84855614448</t>
  </si>
  <si>
    <t>Zhou J.; Zhou Z.</t>
  </si>
  <si>
    <t>Zhou, Jiaqi (57411675200); Zhou, Zhibin (57220158057)</t>
  </si>
  <si>
    <t>57411675200; 57220158057</t>
  </si>
  <si>
    <t>The influences of cultural values on the cultural product trade: evidence from China, Japan and Korea</t>
  </si>
  <si>
    <t>Nankai Business Review International</t>
  </si>
  <si>
    <t>10.1108/NBRI-07-2020-0035</t>
  </si>
  <si>
    <t>https://www.scopus.com/inward/record.uri?eid=2-s2.0-85122814777&amp;doi=10.1108%2fNBRI-07-2020-0035&amp;partnerID=40&amp;md5=7281f8fae829d3405ea559703b6b7cda</t>
  </si>
  <si>
    <t>2-s2.0-85122814777</t>
  </si>
  <si>
    <t>Brandolini P.; Faccini F.; Piccazzo M.</t>
  </si>
  <si>
    <t>Brandolini, P. (16027877000); Faccini, F. (16028383400); Piccazzo, M. (6602899690)</t>
  </si>
  <si>
    <t>16027877000; 16028383400; 6602899690</t>
  </si>
  <si>
    <t>Geomorphological hazard and tourist vulnerability along Portofino Park trails (Italy)</t>
  </si>
  <si>
    <t>Natural Hazards and Earth System Science</t>
  </si>
  <si>
    <t>10.5194/nhess-6-563-2006</t>
  </si>
  <si>
    <t>https://www.scopus.com/inward/record.uri?eid=2-s2.0-34447533858&amp;doi=10.5194%2fnhess-6-563-2006&amp;partnerID=40&amp;md5=f24db590efec0e5f2de9190f5643710e</t>
  </si>
  <si>
    <t>2-s2.0-34447533858</t>
  </si>
  <si>
    <t>Chasseriau P.; Radogna P.; Logean P.; Lattion V.; Olivier R.</t>
  </si>
  <si>
    <t>Chasseriau, Pierrick (6506923867); Radogna, PierVittorio (56115022400); Logean, Philippe (56115461000); Lattion, Vincent (56114237200); Olivier, Raymond (7003560800)</t>
  </si>
  <si>
    <t>6506923867; 56115022400; 56115461000; 56114237200; 7003560800</t>
  </si>
  <si>
    <t>Modeling and monitoring the Tortin alpine glacier by gravity and DGPS surveys</t>
  </si>
  <si>
    <t>Near Surface 2005</t>
  </si>
  <si>
    <t>https://www.scopus.com/inward/record.uri?eid=2-s2.0-84898656785&amp;partnerID=40&amp;md5=d959336f75ec6e4a193fd9230c6d2a49</t>
  </si>
  <si>
    <t>2-s2.0-84898656785</t>
  </si>
  <si>
    <t>Battersby S.</t>
  </si>
  <si>
    <t>Battersby, Stephen (26022948100)</t>
  </si>
  <si>
    <t>Milky Way mysteries: Fast-moving clouds defy gravity</t>
  </si>
  <si>
    <t>New Scientist</t>
  </si>
  <si>
    <t>10.1016/S0262-4079(12)60843-4</t>
  </si>
  <si>
    <t>https://www.scopus.com/inward/record.uri?eid=2-s2.0-84859255247&amp;doi=10.1016%2fS0262-4079%2812%2960843-4&amp;partnerID=40&amp;md5=f237a73febaeba50eecd0a1a77a2147a</t>
  </si>
  <si>
    <t>2-s2.0-84859255247</t>
  </si>
  <si>
    <t>Khan M.A.</t>
  </si>
  <si>
    <t>Khan, M. Amer (57222007312)</t>
  </si>
  <si>
    <t>An Analysis of the Space Tourism Market in the United Arab Emirates and the Kingdom of Saudi Arabia and Its Potential for Development of Zero-Gravity and Suborbital Commercial Spaceflights</t>
  </si>
  <si>
    <t>New Space</t>
  </si>
  <si>
    <t>10.1089/space.2021.0007</t>
  </si>
  <si>
    <t>https://www.scopus.com/inward/record.uri?eid=2-s2.0-85141883734&amp;doi=10.1089%2fspace.2021.0007&amp;partnerID=40&amp;md5=eaaef2e53bcbc773516e5ddf2975f63b</t>
  </si>
  <si>
    <t>2-s2.0-85141883734</t>
  </si>
  <si>
    <t>Kasiviswanathan D.; Chinnasamy Perumal R.; Bhuvaneswari S.; Kumar P.; Sundaresan L.; Philip M.; Puthenpurackal Krishnankutty S.; Chatterjee S.</t>
  </si>
  <si>
    <t>Kasiviswanathan, Dharanibalan (57034276200); Chinnasamy Perumal, Rajadurai (49362203000); Bhuvaneswari, Srinivasan (57201797851); Kumar, Pavitra (57202733620); Sundaresan, Lakshmikirupa (56441621600); Philip, Manuel (57206471581); Puthenpurackal Krishnankutty, Sajesh (57218328301); Chatterjee, Suvro (7402749970)</t>
  </si>
  <si>
    <t>57034276200; 49362203000; 57201797851; 57202733620; 56441621600; 57206471581; 57218328301; 7402749970</t>
  </si>
  <si>
    <t>Interactome of miRNAs and transcriptome of human umbilical cord endothelial cells exposed to short-term simulated microgravity</t>
  </si>
  <si>
    <t>npj Microgravity</t>
  </si>
  <si>
    <t>10.1038/s41526-020-00108-6</t>
  </si>
  <si>
    <t>https://www.scopus.com/inward/record.uri?eid=2-s2.0-85088838403&amp;doi=10.1038%2fs41526-020-00108-6&amp;partnerID=40&amp;md5=c1d57b8b8443b3db304765235e13a1d9</t>
  </si>
  <si>
    <t>2-s2.0-85088838403</t>
  </si>
  <si>
    <t>Surisetty V.V.A.K.; Venkateswarlu C.; Ramesh M.; Gireesh B.; Naidu C.V.; Sheela Nair L.; Sharma R.</t>
  </si>
  <si>
    <t>Surisetty, V V Arun Kumar (57202199406); Venkateswarlu, Ch (57222963821); Ramesh, M. (57217047208); Gireesh, B. (57222957906); Naidu, C.V. (36856371800); Sheela Nair, L. (25650463400); Sharma, Rashmi (58728034900)</t>
  </si>
  <si>
    <t>57202199406; 57222963821; 57217047208; 57222957906; 36856371800; 25650463400; 58728034900</t>
  </si>
  <si>
    <t>Practical use of smartphone cameras in rip current monitoring studies</t>
  </si>
  <si>
    <t>Ocean and Coastal Management</t>
  </si>
  <si>
    <t>10.1016/j.ocecoaman.2023.106776</t>
  </si>
  <si>
    <t>https://www.scopus.com/inward/record.uri?eid=2-s2.0-85166474336&amp;doi=10.1016%2fj.ocecoaman.2023.106776&amp;partnerID=40&amp;md5=2a2641c576d27a2bccfcf59872026b04</t>
  </si>
  <si>
    <t>2-s2.0-85166474336</t>
  </si>
  <si>
    <t>Cuesta I.; Grau F.X.; Giralt F.</t>
  </si>
  <si>
    <t>Cuesta, I. (7004060735); Grau, F.X. (7003568512); Giralt, Francesc (7004781237)</t>
  </si>
  <si>
    <t>7004060735; 7003568512; 7004781237</t>
  </si>
  <si>
    <t>Numerical simulation of oil spills in a generalized domain</t>
  </si>
  <si>
    <t>Oil and Chemical Pollution</t>
  </si>
  <si>
    <t>10.1016/S0269-8579(05)80020-6</t>
  </si>
  <si>
    <t>https://www.scopus.com/inward/record.uri?eid=2-s2.0-0025534206&amp;doi=10.1016%2fS0269-8579%2805%2980020-6&amp;partnerID=40&amp;md5=90762f0597e49e91dbacee47c1370a4f</t>
  </si>
  <si>
    <t>2-s2.0-0025534206</t>
  </si>
  <si>
    <t>Cevik S.</t>
  </si>
  <si>
    <t>Cevik, Serhan (56085736700)</t>
  </si>
  <si>
    <t>Going Viral: A Gravity Model of Infectious Diseases and Tourism Flows</t>
  </si>
  <si>
    <t>Open Economies Review</t>
  </si>
  <si>
    <t>10.1007/s11079-021-09619-5</t>
  </si>
  <si>
    <t>https://www.scopus.com/inward/record.uri?eid=2-s2.0-85105386223&amp;doi=10.1007%2fs11079-021-09619-5&amp;partnerID=40&amp;md5=0e48ed83bf3e27a1990ecbe53719ae04</t>
  </si>
  <si>
    <t>2-s2.0-85105386223</t>
  </si>
  <si>
    <t>Yamaguchi K.</t>
  </si>
  <si>
    <t>Yamaguchi, Katsuhiro (15830869100)</t>
  </si>
  <si>
    <t>Cross-border integration in Northeast Asian air transport market</t>
  </si>
  <si>
    <t>Pacific Economic Review</t>
  </si>
  <si>
    <t>10.1111/j.1468-0106.2010.00534.x</t>
  </si>
  <si>
    <t>https://www.scopus.com/inward/record.uri?eid=2-s2.0-79551675660&amp;doi=10.1111%2fj.1468-0106.2010.00534.x&amp;partnerID=40&amp;md5=d7ed3e199c788dd07897095002cb288d</t>
  </si>
  <si>
    <t>2-s2.0-79551675660</t>
  </si>
  <si>
    <t>Akbar G.</t>
  </si>
  <si>
    <t>Akbar, Ghani (56602708800)</t>
  </si>
  <si>
    <t>Problems and Potential of Agriculture for Improving Livelihood in Malakand Division, Pakistan</t>
  </si>
  <si>
    <t>Pakistan Journal of Agricultural Research</t>
  </si>
  <si>
    <t>10.17582/journal.pjar/2020/33.2.351.361</t>
  </si>
  <si>
    <t>https://www.scopus.com/inward/record.uri?eid=2-s2.0-85130205156&amp;doi=10.17582%2fjournal.pjar%2f2020%2f33.2.351.361&amp;partnerID=40&amp;md5=7e078d9cd37d2d5831c36f93e32d0970</t>
  </si>
  <si>
    <t>2-s2.0-85130205156</t>
  </si>
  <si>
    <t>Cafiso G.; Cellini R.; Cuccia T.</t>
  </si>
  <si>
    <t>Cafiso, Gianluca (36990092200); Cellini, Roberto (6603869638); Cuccia, Tiziana (15520419900)</t>
  </si>
  <si>
    <t>36990092200; 6603869638; 15520419900</t>
  </si>
  <si>
    <t>Do economic crises lead tourists to closer destinations? Italy at the time of the Great Recession</t>
  </si>
  <si>
    <t>Papers in Regional Science</t>
  </si>
  <si>
    <t>10.1111/pirs.12242</t>
  </si>
  <si>
    <t>https://www.scopus.com/inward/record.uri?eid=2-s2.0-84994508598&amp;doi=10.1111%2fpirs.12242&amp;partnerID=40&amp;md5=99ced244ea5506f01ec334112923d852</t>
  </si>
  <si>
    <t>2-s2.0-84994508598</t>
  </si>
  <si>
    <t>de la Mata T.; Llano-Verduras C.</t>
  </si>
  <si>
    <t>de la Mata, Tamara (55257962300); Llano-Verduras, Carlos (32367781300)</t>
  </si>
  <si>
    <t>Spatial pattern and domestic tourism: An econometric analysis using inter-regional monetary flows by type of journey</t>
  </si>
  <si>
    <t>10.1111/j.1435-5957.2011.00376.x</t>
  </si>
  <si>
    <t>https://www.scopus.com/inward/record.uri?eid=2-s2.0-84862591121&amp;doi=10.1111%2fj.1435-5957.2011.00376.x&amp;partnerID=40&amp;md5=f86e0adce281e05d2bd92a2c2d93ffd6</t>
  </si>
  <si>
    <t>2-s2.0-84862591121</t>
  </si>
  <si>
    <t>Panzera E.; de Graaff T.; de Groot H.L.F.</t>
  </si>
  <si>
    <t>Panzera, Elisa (57218600442); de Graaff, Thomas (6506187528); de Groot, Henri L.F. (7102115441)</t>
  </si>
  <si>
    <t>57218600442; 6506187528; 7102115441</t>
  </si>
  <si>
    <t>European cultural heritage and tourism flows: The magnetic role of superstar World Heritage Sites</t>
  </si>
  <si>
    <t>10.1111/pirs.12562</t>
  </si>
  <si>
    <t>https://www.scopus.com/inward/record.uri?eid=2-s2.0-85089751369&amp;doi=10.1111%2fpirs.12562&amp;partnerID=40&amp;md5=d691c503cf126fe6aca87ff1f0d7713a</t>
  </si>
  <si>
    <t>2-s2.0-85089751369</t>
  </si>
  <si>
    <t>Pompili T.; Pisati M.; Lorenzini E.</t>
  </si>
  <si>
    <t>Pompili, Tomaso (6506646492); Pisati, Maurizio (6506555620); Lorenzini, Eleonora (37059199800)</t>
  </si>
  <si>
    <t>6506646492; 6506555620; 37059199800</t>
  </si>
  <si>
    <t>Determinants of international tourist choices in Italian provinces: A joint demand–supply approach with spatial effects</t>
  </si>
  <si>
    <t>10.1111/pirs.12467</t>
  </si>
  <si>
    <t>https://www.scopus.com/inward/record.uri?eid=2-s2.0-85070110436&amp;doi=10.1111%2fpirs.12467&amp;partnerID=40&amp;md5=24fe86a863244bb88f113da94105e99c</t>
  </si>
  <si>
    <t>2-s2.0-85070110436</t>
  </si>
  <si>
    <t>Gani A.; Al-Kharusi S.</t>
  </si>
  <si>
    <t>Gani, Azmat (7003355308); Al-Kharusi, Sami (57190024959)</t>
  </si>
  <si>
    <t>7003355308; 57190024959</t>
  </si>
  <si>
    <t>Exploring Oman’s International Tourism Determinants in a Gravity Modelling Framework</t>
  </si>
  <si>
    <t>Perspectives on Global Development and Technology</t>
  </si>
  <si>
    <t>10.1163/15691497-12341664</t>
  </si>
  <si>
    <t>https://www.scopus.com/inward/record.uri?eid=2-s2.0-85197375688&amp;doi=10.1163%2f15691497-12341664&amp;partnerID=40&amp;md5=40673b00bcb7893536c58099f78ff746</t>
  </si>
  <si>
    <t>2-s2.0-85197375688</t>
  </si>
  <si>
    <t>Huang F.; Qiao S.; Peng J.; Guo B.; Xiong X.; Han N.</t>
  </si>
  <si>
    <t>Huang, Feihu (56362636600); Qiao, Shaojie (16205409900); Peng, Jian (55712856500); Guo, Bing (55695245700); Xiong, Xi (55343989000); Han, Nan (56300116600)</t>
  </si>
  <si>
    <t>56362636600; 16205409900; 55712856500; 55695245700; 55343989000; 56300116600</t>
  </si>
  <si>
    <t>A movement model for air passengers based on trip purpose</t>
  </si>
  <si>
    <t>Physica A: Statistical Mechanics and its Applications</t>
  </si>
  <si>
    <t>10.1016/j.physa.2019.04.040</t>
  </si>
  <si>
    <t>https://www.scopus.com/inward/record.uri?eid=2-s2.0-85064003318&amp;doi=10.1016%2fj.physa.2019.04.040&amp;partnerID=40&amp;md5=b6ef42837e9c80ce6e3e07fcd85f1c41</t>
  </si>
  <si>
    <t>2-s2.0-85064003318</t>
  </si>
  <si>
    <t>Vittala G.; Rachman M.A.P.; Rahayu N.L.V.; Junianti N.K.M.; Kartawijaya E.D.; Swandari N.M.L.; Laksmita P.A.</t>
  </si>
  <si>
    <t>Vittala, Govinda (57444464400); Rachman, Muhammad Adrian Putra (59403869600); Rahayu, Ni Luh Veni (59403659400); Junianti, Ni Komang Mega (59403765600); Kartawijaya, Emily Devina (59403765700); Swandari, Ni Made Lidia (59403971600); Laksmita, Putu Ayunia (59404074700)</t>
  </si>
  <si>
    <t>57444464400; 59403869600; 59403659400; 59403765600; 59403765700; 59403971600; 59404074700</t>
  </si>
  <si>
    <t>Physiotherapy treatments for the patient with Bankart lesion repair: a case report study</t>
  </si>
  <si>
    <t>Physical Therapy Journal of Indonesia</t>
  </si>
  <si>
    <t>10.51559/ptji.v4i1.88</t>
  </si>
  <si>
    <t>https://www.scopus.com/inward/record.uri?eid=2-s2.0-85208624481&amp;doi=10.51559%2fptji.v4i1.88&amp;partnerID=40&amp;md5=117cb04b7ee97905676824d997916ddd</t>
  </si>
  <si>
    <t>2-s2.0-85208624481</t>
  </si>
  <si>
    <t>Lovett R.J.; Page J.; Fletcher B.; Sandstrum S.</t>
  </si>
  <si>
    <t>Lovett, Rod J. (55561864000); Page, Jayson (57206271024); Fletcher, Bryan (55560818400); Sandstrum, Steve (6507396543)</t>
  </si>
  <si>
    <t>55561864000; 57206271024; 55560818400; 6507396543</t>
  </si>
  <si>
    <t>Protecting the magic city</t>
  </si>
  <si>
    <t>Pipelines 2012: Innovations in Design, Construction, Operations, and Maintenance - Doing More with Less - Proceedings of the Pipelines 2012 Conference</t>
  </si>
  <si>
    <t>10.1061/9780784412480.035</t>
  </si>
  <si>
    <t>https://www.scopus.com/inward/record.uri?eid=2-s2.0-84872593284&amp;doi=10.1061%2f9780784412480.035&amp;partnerID=40&amp;md5=305ecd5147885a39fc9fed09b8e82f60</t>
  </si>
  <si>
    <t>2-s2.0-84872593284</t>
  </si>
  <si>
    <t>Martinez A.</t>
  </si>
  <si>
    <t>Martinez, Alfredo (57869015500)</t>
  </si>
  <si>
    <t>City of Laredo-Eastern Chacon Creek Interceptor and Drainage Improvements</t>
  </si>
  <si>
    <t>Pipelines 2022: Planning and Design - Proceedings of Sessions of the Pipelines 2022 Conference</t>
  </si>
  <si>
    <t>10.1061/9780784484296.031</t>
  </si>
  <si>
    <t>https://www.scopus.com/inward/record.uri?eid=2-s2.0-85137045029&amp;doi=10.1061%2f9780784484296.031&amp;partnerID=40&amp;md5=b8c19f9ed951b9998dc63ed5d847e867</t>
  </si>
  <si>
    <t>2-s2.0-85137045029</t>
  </si>
  <si>
    <t>Fan W.; Luo Y.</t>
  </si>
  <si>
    <t>Fan, Wenhao (59217738400); Luo, Yanyun (57190732719)</t>
  </si>
  <si>
    <t>59217738400; 57190732719</t>
  </si>
  <si>
    <t>Impacts of Climate Change on the Distribution of Suitable Habitats and Ecological Niche for Trollius Wildflowers in Ili River Valley, Tacheng, Altay Prefecture</t>
  </si>
  <si>
    <t>Plants</t>
  </si>
  <si>
    <t>10.3390/plants13131752</t>
  </si>
  <si>
    <t>https://www.scopus.com/inward/record.uri?eid=2-s2.0-85198479750&amp;doi=10.3390%2fplants13131752&amp;partnerID=40&amp;md5=81c95e6da14a5b2ceca54ad3ccd685dd</t>
  </si>
  <si>
    <t>2-s2.0-85198479750</t>
  </si>
  <si>
    <t>Chen M.; Yang F.; Sun J.; Deng L.; Luo J.</t>
  </si>
  <si>
    <t>Chen, Mengchan (59140559900); Yang, Fangqin (58512077200); Sun, Jianwei (57211558152); Deng, Lingling (59140601900); Luo, Jing (56300663200)</t>
  </si>
  <si>
    <t>59140559900; 58512077200; 57211558152; 59140601900; 56300663200</t>
  </si>
  <si>
    <t>Spatiotemporal differentiation and driving mechanisms of high-level Grade A tourist attractions in the Yangtze River Delta City Cluster</t>
  </si>
  <si>
    <t>PLoS ONE</t>
  </si>
  <si>
    <t>e0300181</t>
  </si>
  <si>
    <t>10.1371/journal.pone.0300181</t>
  </si>
  <si>
    <t>https://www.scopus.com/inward/record.uri?eid=2-s2.0-85194016002&amp;doi=10.1371%2fjournal.pone.0300181&amp;partnerID=40&amp;md5=a68933bcbfb12a7971d42ddc9236afbd</t>
  </si>
  <si>
    <t>2-s2.0-85194016002</t>
  </si>
  <si>
    <t>Li C.; He L.; Guo W.; Wang K.; Tang S.</t>
  </si>
  <si>
    <t>Li, Chengzhe (59124785400); He, Linya (59124506800); Guo, Wei (57221924507); Wang, Kewen (57698669700); Tang, Sen (59124785500)</t>
  </si>
  <si>
    <t>59124785400; 59124506800; 57221924507; 57698669700; 59124785500</t>
  </si>
  <si>
    <t>A study on the influence of perceived distance on China's inbound Tourism and the interaction of non-economic distance: An analysis of dynamic extended gravity model based on 61 countries' entry data (2004–2018)</t>
  </si>
  <si>
    <t>e0297442</t>
  </si>
  <si>
    <t>10.1371/journal.pone.0297442</t>
  </si>
  <si>
    <t>https://www.scopus.com/inward/record.uri?eid=2-s2.0-85192871814&amp;doi=10.1371%2fjournal.pone.0297442&amp;partnerID=40&amp;md5=63e75f1a455aa9db65f967f2e7f31301</t>
  </si>
  <si>
    <t>2-s2.0-85192871814</t>
  </si>
  <si>
    <t>Liao Z.; Zhang L.</t>
  </si>
  <si>
    <t>Liao, Zhenjie (57214095200); Zhang, Lijuan (57343214600)</t>
  </si>
  <si>
    <t>57214095200; 57343214600</t>
  </si>
  <si>
    <t>Spatial distribution evolution and accessibility of A-level scenic spots in Guangdong Province from the perspective of quantitative geography</t>
  </si>
  <si>
    <t>e0257400</t>
  </si>
  <si>
    <t>10.1371/journal.pone.0257400</t>
  </si>
  <si>
    <t>https://www.scopus.com/inward/record.uri?eid=2-s2.0-85119257565&amp;doi=10.1371%2fjournal.pone.0257400&amp;partnerID=40&amp;md5=ce47dfb6cd9a8773d53c706970648a16</t>
  </si>
  <si>
    <t>2-s2.0-85119257565</t>
  </si>
  <si>
    <t>Liu G.</t>
  </si>
  <si>
    <t>Liu, Gengyu (57218956518)</t>
  </si>
  <si>
    <t>Traffic-related pollution history (1994-2014) determined using urban lake sediments from Nanjing, China</t>
  </si>
  <si>
    <t>e0255395</t>
  </si>
  <si>
    <t>10.1371/journal.pone.0255395</t>
  </si>
  <si>
    <t>https://www.scopus.com/inward/record.uri?eid=2-s2.0-85111769624&amp;doi=10.1371%2fjournal.pone.0255395&amp;partnerID=40&amp;md5=7781d6514a828e9f7544a6d08591eb92</t>
  </si>
  <si>
    <t>2-s2.0-85111769624</t>
  </si>
  <si>
    <t>Peng D.; Liang Z.; Ding Y.; Liang L.; Zhai A.; Zhang Y.; Gong X.</t>
  </si>
  <si>
    <t>Peng, Donghui (58173408000); Liang, Zongzheng (59312928200); Ding, Yapeng (57216845457); Liang, Liuke (59157998700); Zhai, Aohui (58900451400); Zhang, Yan (58900352600); Gong, Xu (58900451500)</t>
  </si>
  <si>
    <t>58173408000; 59312928200; 57216845457; 59157998700; 58900451400; 58900352600; 58900451500</t>
  </si>
  <si>
    <t>Spatial and temporal distribution characteristics and influencing factors of tourism eco-efficiency in the Yellow River Basin based on the geographical and temporal weighted regression model</t>
  </si>
  <si>
    <t>e0295186</t>
  </si>
  <si>
    <t>10.1371/journal.pone.0295186</t>
  </si>
  <si>
    <t>https://www.scopus.com/inward/record.uri?eid=2-s2.0-85185718753&amp;doi=10.1371%2fjournal.pone.0295186&amp;partnerID=40&amp;md5=e639bfc711523b9dca1cf1cd3fbe33d8</t>
  </si>
  <si>
    <t>2-s2.0-85185718753</t>
  </si>
  <si>
    <t>Piil J.F.; Lundbye-Jensen J.; Christiansen L.; Ioannou L.; Tsoutsoubi L.; Dallas C.N.; Mantzios K.; Flouris A.D.; Nybo L.</t>
  </si>
  <si>
    <t>Piil, Jacob F. (57204390254); Lundbye-Jensen, Jesper (14008322700); Christiansen, Lasse (56478475300); Ioannou, Leonidas (57204396679); Tsoutsoubi, Lydia (57204391671); Dallas, Constantinos N. (57204391645); Mantzios, Konstantinos (57204391194); Flouris, Andreas D. (8446310300); Nybo, Lars (6701485434)</t>
  </si>
  <si>
    <t>57204390254; 14008322700; 56478475300; 57204396679; 57204391671; 57204391645; 57204391194; 8446310300; 6701485434</t>
  </si>
  <si>
    <t>High prevalence of hypohydration in occupations with heat stress - Perspectives for performance in combined cognitive and motor tasks</t>
  </si>
  <si>
    <t>e0205321</t>
  </si>
  <si>
    <t>10.1371/journal.pone.0205321</t>
  </si>
  <si>
    <t>https://www.scopus.com/inward/record.uri?eid=2-s2.0-85055427801&amp;doi=10.1371%2fjournal.pone.0205321&amp;partnerID=40&amp;md5=fa2831bb9d8352c395f41a7573ac2899</t>
  </si>
  <si>
    <t>2-s2.0-85055427801</t>
  </si>
  <si>
    <t>Shymanskyi O.; Wang J.; Pu Y.</t>
  </si>
  <si>
    <t>Shymanskyi, Oleksandr (57849739300); Wang, Jue (35096921200); Pu, Yue (57194071377)</t>
  </si>
  <si>
    <t>57849739300; 35096921200; 57194071377</t>
  </si>
  <si>
    <t>Global tourist flows under the Belt and Road Initiative: A complex network analysis</t>
  </si>
  <si>
    <t>e0272964</t>
  </si>
  <si>
    <t>10.1371/journal.pone.0272964</t>
  </si>
  <si>
    <t>https://www.scopus.com/inward/record.uri?eid=2-s2.0-85136192496&amp;doi=10.1371%2fjournal.pone.0272964&amp;partnerID=40&amp;md5=c9a08b481e992d2c08ff0f0484c10820</t>
  </si>
  <si>
    <t>2-s2.0-85136192496</t>
  </si>
  <si>
    <t>Tao J.; Jin X.; Cheng H.; Wang Q.</t>
  </si>
  <si>
    <t>Tao, Jilei (59413610800); Jin, Xiulong (35215148900); Cheng, Hai (59299333400); Wang, Qinan (59413754500)</t>
  </si>
  <si>
    <t>59413610800; 35215148900; 59299333400; 59413754500</t>
  </si>
  <si>
    <t>Spatial correlation network structure of operational efficiency and its driving factors: A case study of star-rated hotels in China</t>
  </si>
  <si>
    <t>e0313500</t>
  </si>
  <si>
    <t>10.1371/journal.pone.0313500</t>
  </si>
  <si>
    <t>https://www.scopus.com/inward/record.uri?eid=2-s2.0-85209404837&amp;doi=10.1371%2fjournal.pone.0313500&amp;partnerID=40&amp;md5=137ec2114117650fdd5b5877de222b5c</t>
  </si>
  <si>
    <t>2-s2.0-85209404837</t>
  </si>
  <si>
    <t>Wu S.; Hong Y.; Jia Y.; Xu X.; Wang J.</t>
  </si>
  <si>
    <t>Wu, Shifeng (57536300100); Hong, Yu (58500692300); Jia, Yinuo (57943835100); Xu, Xin (58500597400); Wang, Jiangyun (57930290800)</t>
  </si>
  <si>
    <t>57536300100; 58500692300; 57943835100; 58500597400; 57930290800</t>
  </si>
  <si>
    <t>Analysis on spatial structure characteristics and influencing factors of Beijing-Tianjin-Hebei Region MICE cities</t>
  </si>
  <si>
    <t>e0287695</t>
  </si>
  <si>
    <t>10.1371/journal.pone.0287695</t>
  </si>
  <si>
    <t>https://www.scopus.com/inward/record.uri?eid=2-s2.0-85165518490&amp;doi=10.1371%2fjournal.pone.0287695&amp;partnerID=40&amp;md5=dce50db6cbe9bcd9a216ff9f29a0626e</t>
  </si>
  <si>
    <t>2-s2.0-85165518490</t>
  </si>
  <si>
    <t>Yin J.; Ni Y.; Fan Y.</t>
  </si>
  <si>
    <t>Yin, Jie (57211026785); Ni, Yensen (7402909831); Fan, Yangchu (58647439100)</t>
  </si>
  <si>
    <t>57211026785; 7402909831; 58647439100</t>
  </si>
  <si>
    <t>Tourism cooperation in the Belt and Road Initiative from economic and spatial insights</t>
  </si>
  <si>
    <t>e0300392</t>
  </si>
  <si>
    <t>10.1371/journal.pone.0300392</t>
  </si>
  <si>
    <t>https://www.scopus.com/inward/record.uri?eid=2-s2.0-85193843327&amp;doi=10.1371%2fjournal.pone.0300392&amp;partnerID=40&amp;md5=0ffac37caed751a0c731f8d465dcc3ca</t>
  </si>
  <si>
    <t>2-s2.0-85193843327</t>
  </si>
  <si>
    <t>Yuan Y.; Medel M.</t>
  </si>
  <si>
    <t>Yuan, Yihong (35308210700); Medel, Monica (56528177400)</t>
  </si>
  <si>
    <t>35308210700; 56528177400</t>
  </si>
  <si>
    <t>Characterizing international travel behavior from geotagged photos: A case study of Flickr</t>
  </si>
  <si>
    <t>e0154885</t>
  </si>
  <si>
    <t>10.1371/journal.pone.0154885</t>
  </si>
  <si>
    <t>https://www.scopus.com/inward/record.uri?eid=2-s2.0-84969835085&amp;doi=10.1371%2fjournal.pone.0154885&amp;partnerID=40&amp;md5=22565cb7c449f09d128a248e6b5febc0</t>
  </si>
  <si>
    <t>2-s2.0-84969835085</t>
  </si>
  <si>
    <t>Philpott K.D.</t>
  </si>
  <si>
    <t>Philpott, Keith D. (6701525263)</t>
  </si>
  <si>
    <t>Minewater remediation in the United Kingdom</t>
  </si>
  <si>
    <t>Polish Geological Institute Special Papers</t>
  </si>
  <si>
    <t>https://www.scopus.com/inward/record.uri?eid=2-s2.0-0036994358&amp;partnerID=40&amp;md5=4497624a11b5bcc14ac474ecf38d8195</t>
  </si>
  <si>
    <t>2-s2.0-0036994358</t>
  </si>
  <si>
    <t>Oluwafemi F.A.; Olubiyi-Oluwafemi R.A.</t>
  </si>
  <si>
    <t>Oluwafemi, Funmilola A. (57193774302); Olubiyi-Oluwafemi, Ropo A. (59484486000)</t>
  </si>
  <si>
    <t>57193774302; 59484486000</t>
  </si>
  <si>
    <t>Spaceflight hygiene: A keynote for space travelers and spacecraft designers</t>
  </si>
  <si>
    <t>Precision Medicine for Long and Safe Permanence of Humans in Space</t>
  </si>
  <si>
    <t>10.1016/B978-0-443-22259-7.00020-5</t>
  </si>
  <si>
    <t>https://www.scopus.com/inward/record.uri?eid=2-s2.0-85212896440&amp;doi=10.1016%2fB978-0-443-22259-7.00020-5&amp;partnerID=40&amp;md5=c0a17d0105b0e75fbd5db3df1c9deb48</t>
  </si>
  <si>
    <t>2-s2.0-85212896440</t>
  </si>
  <si>
    <t>Sardak S.; Korneyev M.; Dzhyndzhoian V.; Fedotova T.; Tryfonova O.</t>
  </si>
  <si>
    <t>Sardak, Sergii (41262374500); Korneyev, Maksim (56206309900); Dzhyndzhoian, Vladimir (57200443596); Fedotova, Tatyana (57200446303); Tryfonova, Olha (57200442773)</t>
  </si>
  <si>
    <t>41262374500; 56206309900; 57200443596; 57200446303; 57200442773</t>
  </si>
  <si>
    <t>Current trends in global demographic processes</t>
  </si>
  <si>
    <t>Problems and Perspectives in Management</t>
  </si>
  <si>
    <t>10.21511/ppm.16(1).2018.05</t>
  </si>
  <si>
    <t>https://www.scopus.com/inward/record.uri?eid=2-s2.0-85041365948&amp;doi=10.21511%2fppm.16%281%29.2018.05&amp;partnerID=40&amp;md5=e0ebae52d05620a8aaa1e9ca16e604de</t>
  </si>
  <si>
    <t>2-s2.0-85041365948</t>
  </si>
  <si>
    <t>Siskos E.; Darvidou K.</t>
  </si>
  <si>
    <t>Siskos, Evangelos (6507611255); Darvidou, Konstantia (57207890510)</t>
  </si>
  <si>
    <t>6507611255; 57207890510</t>
  </si>
  <si>
    <t>Bilateral trade and tourism relations between the EU and BSEC countries</t>
  </si>
  <si>
    <t>10.21511/ppm.16(4).2018.09</t>
  </si>
  <si>
    <t>https://www.scopus.com/inward/record.uri?eid=2-s2.0-85063178828&amp;doi=10.21511%2fppm.16%284%29.2018.09&amp;partnerID=40&amp;md5=6a19f888c88550baa7e207189451f486</t>
  </si>
  <si>
    <t>2-s2.0-85063178828</t>
  </si>
  <si>
    <t>Proceedings - 2010 International Conference on Intelligent Computing and Integrated Systems, ICISS2010</t>
  </si>
  <si>
    <t>https://www.scopus.com/inward/record.uri?eid=2-s2.0-78651427563&amp;partnerID=40&amp;md5=2cd5b4e7526ef4de8165a0e5f30f0843</t>
  </si>
  <si>
    <t>2-s2.0-78651427563</t>
  </si>
  <si>
    <t>Xu Y.</t>
  </si>
  <si>
    <t>Xu, Yijun (55320581100)</t>
  </si>
  <si>
    <t>Research on the development trend of Harbin's ice-snow tourist market based on the gravity model</t>
  </si>
  <si>
    <t>Proceedings - 2012 IEEE Symposium on Robotics and Applications, ISRA 2012</t>
  </si>
  <si>
    <t>10.1109/ISRA.2012.6219278</t>
  </si>
  <si>
    <t>https://www.scopus.com/inward/record.uri?eid=2-s2.0-84864211900&amp;doi=10.1109%2fISRA.2012.6219278&amp;partnerID=40&amp;md5=97b095f06dd935754dd464f88d5d2e2a</t>
  </si>
  <si>
    <t>2-s2.0-84864211900</t>
  </si>
  <si>
    <t>Sobolevsky S.; Sitko I.; Des Combes R.T.; Hawelka B.; Arias J.M.; Ratti C.</t>
  </si>
  <si>
    <t>Sobolevsky, Stanislav (16640202600); Sitko, Izabela (25958402700); Des Combes, Remi Tachet (57219623717); Hawelka, Bartosz (56042846200); Arias, Juan Murillo (56533188600); Ratti, Carlo (35230766400)</t>
  </si>
  <si>
    <t>16640202600; 25958402700; 57219623717; 56042846200; 56533188600; 35230766400</t>
  </si>
  <si>
    <t>Money on the move: Big data of bank card transactions as the new proxy for human mobility patterns and regional delineation. The case of residents and foreign visitors in Spain</t>
  </si>
  <si>
    <t>Proceedings - 2014 IEEE International Congress on Big Data, BigData Congress 2014</t>
  </si>
  <si>
    <t>10.1109/BigData.Congress.2014.28</t>
  </si>
  <si>
    <t>https://www.scopus.com/inward/record.uri?eid=2-s2.0-84923882854&amp;doi=10.1109%2fBigData.Congress.2014.28&amp;partnerID=40&amp;md5=da80fed1bd69fcf061fc647d0d28d34f</t>
  </si>
  <si>
    <t>2-s2.0-84923882854</t>
  </si>
  <si>
    <t>Zhou L.; Dong Q.</t>
  </si>
  <si>
    <t>Zhou, Lei (57199016530); Dong, Qingming (56104773500)</t>
  </si>
  <si>
    <t>57199016530; 56104773500</t>
  </si>
  <si>
    <t>Research on tourism development of Xinjiang based on grey relational analysis and gravity model</t>
  </si>
  <si>
    <t>Proceedings of IEEE International Conference on Grey Systems and Intelligent Services, GSIS</t>
  </si>
  <si>
    <t>10.1109/GSIS.2013.6714743</t>
  </si>
  <si>
    <t>https://www.scopus.com/inward/record.uri?eid=2-s2.0-84897894676&amp;doi=10.1109%2fGSIS.2013.6714743&amp;partnerID=40&amp;md5=dc04b1ad4d1278f9fc26884411762000</t>
  </si>
  <si>
    <t>2-s2.0-84897894676</t>
  </si>
  <si>
    <t>Proceedings of 2013 IEEE International Conference on Grey Systems and Intelligent Services, GSIS 2013</t>
  </si>
  <si>
    <t>https://www.scopus.com/inward/record.uri?eid=2-s2.0-84897859620&amp;partnerID=40&amp;md5=4a0263a19f2ab512a096209f177a6557</t>
  </si>
  <si>
    <t>2-s2.0-84897859620</t>
  </si>
  <si>
    <t>Tamas A.</t>
  </si>
  <si>
    <t>Tamas, Anca (56967840500)</t>
  </si>
  <si>
    <t>An augmented gravity model using linder variable to study UK tourism flows</t>
  </si>
  <si>
    <t>Proceedings of the 33rd International Business Information Management Association Conference, IBIMA 2019: Education Excellence and Innovation Management through Vision 2020</t>
  </si>
  <si>
    <t>https://www.scopus.com/inward/record.uri?eid=2-s2.0-85074068069&amp;partnerID=40&amp;md5=6c8898e4b9aa94842f67bf9e0e3c1165</t>
  </si>
  <si>
    <t>2-s2.0-85074068069</t>
  </si>
  <si>
    <t>Collins Patrick; Fukuoka Takashi; Nishimura Tsuyoshi</t>
  </si>
  <si>
    <t>Collins, Patrick (57191500383); Fukuoka, Takashi (7102042504); Nishimura, Tsuyoshi (36842328600)</t>
  </si>
  <si>
    <t>57191500383; 7102042504; 36842328600</t>
  </si>
  <si>
    <t>Zero-gravity sports centers</t>
  </si>
  <si>
    <t>Proceedings of the 4th International Conference on Engineering, Construction, and Operations in Space</t>
  </si>
  <si>
    <t>https://www.scopus.com/inward/record.uri?eid=2-s2.0-0028259460&amp;partnerID=40&amp;md5=230b06de6a8e89b419abd10e6ed6b5ab</t>
  </si>
  <si>
    <t>2-s2.0-0028259460</t>
  </si>
  <si>
    <t>Savini A.; Pennetta M.; Corselli C.</t>
  </si>
  <si>
    <t>Savini, Alessandra (8383758600); Pennetta, Micla (6506801010); Corselli, Cesare (6603560017)</t>
  </si>
  <si>
    <t>8383758600; 6506801010; 6603560017</t>
  </si>
  <si>
    <t>Geophysical investigations for exploring marine sand deposits (Cilento Peninsula - Southern Italy)</t>
  </si>
  <si>
    <t>Proceedings of the 7th International Conference on the Mediterranean Coastal Environment, MEDCOAST 2005</t>
  </si>
  <si>
    <t>https://www.scopus.com/inward/record.uri?eid=2-s2.0-84859361810&amp;partnerID=40&amp;md5=772e57ccd10856a43b756eaa8599770e</t>
  </si>
  <si>
    <t>2-s2.0-84859361810</t>
  </si>
  <si>
    <t>Yanagihara H.; Yamamoto T.; Kazama S.</t>
  </si>
  <si>
    <t>Yanagihara, Hayata (57223090893); Yamamoto, Tao (57223094122); Kazama, So (7004478513)</t>
  </si>
  <si>
    <t>57223090893; 57223094122; 7004478513</t>
  </si>
  <si>
    <t>Estimation of Inland Flood Damage Based on Extreme Precipitation in Japan</t>
  </si>
  <si>
    <t>Proceedings of the IAHR World Congress</t>
  </si>
  <si>
    <t>10.3850/IAHR-39WC2521716X2022214</t>
  </si>
  <si>
    <t>https://www.scopus.com/inward/record.uri?eid=2-s2.0-85178378271&amp;doi=10.3850%2fIAHR-39WC2521716X2022214&amp;partnerID=40&amp;md5=80db45653f9a6de1b1afabddd04c6677</t>
  </si>
  <si>
    <t>2-s2.0-85178378271</t>
  </si>
  <si>
    <t>Acker D.; Gutierrez E.; Kugic A.; Modi P.; Calatayud J.P.; Khan S.; Böttger J.; Drozdowski O.; Diamond M.; Kirsch T.L.; Pippert A.</t>
  </si>
  <si>
    <t>Acker, Denis (57871977100); Gutierrez, Elizabeth (57871907000); Kugic, Alma (58531359500); Modi, Prishit (58261902800); Calatayud, Javier Palacios (58530916000); Khan, Sajeel (58531806400); Böttger, Julienne (58025064900); Drozdowski, Olaf (58531806500); Diamond, Madison (58531126000); Kirsch, Tim Lukas (57877005900); Pippert, Adrian (57214074817)</t>
  </si>
  <si>
    <t>57871977100; 57871907000; 58531359500; 58261902800; 58530916000; 58531806400; 58025064900; 58531806500; 58531126000; 57877005900; 57214074817</t>
  </si>
  <si>
    <t>An innovative and interdisciplinary approach to a self-sustainable lunar village</t>
  </si>
  <si>
    <t>Proceedings of the International Astronautical Congress, IAC</t>
  </si>
  <si>
    <t>2022-September</t>
  </si>
  <si>
    <t>https://www.scopus.com/inward/record.uri?eid=2-s2.0-85167570718&amp;partnerID=40&amp;md5=c36d4cfdd86044537da8be1388cca91f</t>
  </si>
  <si>
    <t>2-s2.0-85167570718</t>
  </si>
  <si>
    <t>Autino A.V.; Foing B.; Jha D.; Jewell S.I.; Rezende J.; Feoli E.</t>
  </si>
  <si>
    <t>Autino, Adriano V. (16645007200); Foing, Bernard (7005973296); Jha, Devanshu (57219760916); Jewell, Susan Ip (57208623312); Rezende, Julio (57208623848); Feoli, Enrico (6603978816)</t>
  </si>
  <si>
    <t>16645007200; 7005973296; 57219760916; 57208623312; 57208623848; 6603978816</t>
  </si>
  <si>
    <t>“FROM SPACE EXPLORATION, TO SUBORBITAL SPACE TOURISM, TO LIVING AND WORKING IN SPACE: EVOLUTION OF THE MISSION REQUIREMENTS”</t>
  </si>
  <si>
    <t>D4</t>
  </si>
  <si>
    <t>https://www.scopus.com/inward/record.uri?eid=2-s2.0-85127604734&amp;partnerID=40&amp;md5=bdc6c0a6d07b9c26f1ca5e48066c36d5</t>
  </si>
  <si>
    <t>2-s2.0-85127604734</t>
  </si>
  <si>
    <t>Autino A.V.; Foing B.; Wolfson N.C.; Armagost C.</t>
  </si>
  <si>
    <t>Autino, Adriano V. (16645007200); Foing, Bernard (7005973296); Wolfson, Nancy C. (57193775587); Armagost, Cole (57221352540)</t>
  </si>
  <si>
    <t>16645007200; 7005973296; 57193775587; 57221352540</t>
  </si>
  <si>
    <t>“WHY THE CIVILIAN SPACE DEVELOPMENT SHALL KICK-OFF NOW”</t>
  </si>
  <si>
    <t>https://www.scopus.com/inward/record.uri?eid=2-s2.0-85167608336&amp;partnerID=40&amp;md5=d026ef9d4ae4579ef741e9ccb55af232</t>
  </si>
  <si>
    <t>2-s2.0-85167608336</t>
  </si>
  <si>
    <t>Bannova O.; Mayorova V.; Igritsky V.</t>
  </si>
  <si>
    <t>Bannova, O. (16314906200); Mayorova, V. (23976393100); Igritsky, V. (56556987800)</t>
  </si>
  <si>
    <t>16314906200; 23976393100; 56556987800</t>
  </si>
  <si>
    <t>Developing mission architectures for forthcoming space exploration pursuits using experience of multidisciplinary international projects</t>
  </si>
  <si>
    <t>2020-October</t>
  </si>
  <si>
    <t>https://www.scopus.com/inward/record.uri?eid=2-s2.0-85100916311&amp;partnerID=40&amp;md5=2a7c82887c19993f7dd8daffd4174cec</t>
  </si>
  <si>
    <t>2-s2.0-85100916311</t>
  </si>
  <si>
    <t>Bulchandani K.; Kumar P.</t>
  </si>
  <si>
    <t>Bulchandani, Krishna (58531568700); Kumar, Prince (58531270800)</t>
  </si>
  <si>
    <t>58531568700; 58531270800</t>
  </si>
  <si>
    <t>Menstruation In Space</t>
  </si>
  <si>
    <t>https://www.scopus.com/inward/record.uri?eid=2-s2.0-85167611777&amp;partnerID=40&amp;md5=4da20c77411a33669baba2c321ae98a9</t>
  </si>
  <si>
    <t>2-s2.0-85167611777</t>
  </si>
  <si>
    <t>Carandente V.; D'Oriano V.; Gallina A.; Russo G.; Savino R.</t>
  </si>
  <si>
    <t>Carandente, V. (55574639400); D'Oriano, V. (55620335400); Gallina, A. (56287990000); Russo, G. (7202429961); Savino, R. (7005886959)</t>
  </si>
  <si>
    <t>55574639400; 55620335400; 56287990000; 7202429961; 7005886959</t>
  </si>
  <si>
    <t>Aerothermodynamic and system analysis of a small hypersonic airplane (hyplane)</t>
  </si>
  <si>
    <t>https://www.scopus.com/inward/record.uri?eid=2-s2.0-84904633053&amp;partnerID=40&amp;md5=643cdb979d6035fb08103ac177e2fff5</t>
  </si>
  <si>
    <t>2-s2.0-84904633053</t>
  </si>
  <si>
    <t>Carroll J.A.</t>
  </si>
  <si>
    <t>Carroll, Joseph A. (7402035312)</t>
  </si>
  <si>
    <t>Do humans have a future in Moon or mars gravity?</t>
  </si>
  <si>
    <t>2019-October</t>
  </si>
  <si>
    <t>IAC-19_D3_1_9_x51638</t>
  </si>
  <si>
    <t>https://www.scopus.com/inward/record.uri?eid=2-s2.0-85079183066&amp;partnerID=40&amp;md5=74d6177f7a2fb6f85d80ed4e74c45c79</t>
  </si>
  <si>
    <t>2-s2.0-85079183066</t>
  </si>
  <si>
    <t>How the design of humanized zero gravity toilet benefit space tourists with disabilities</t>
  </si>
  <si>
    <t>https://www.scopus.com/inward/record.uri?eid=2-s2.0-84904644051&amp;partnerID=40&amp;md5=2fb0d90564236909ce2a3cb4d55e2718</t>
  </si>
  <si>
    <t>2-s2.0-84904644051</t>
  </si>
  <si>
    <t>Debnath K.B.</t>
  </si>
  <si>
    <t>Debnath, Kumar Biswajit (55845704000)</t>
  </si>
  <si>
    <t>Living beyond earth: The architectural features of human habitats in extreme environments of space and other planetary surfaces</t>
  </si>
  <si>
    <t>https://www.scopus.com/inward/record.uri?eid=2-s2.0-84883512530&amp;partnerID=40&amp;md5=af9f6fc1c7a20584145c4545c117207c</t>
  </si>
  <si>
    <t>2-s2.0-84883512530</t>
  </si>
  <si>
    <t>Ghani F.; Cheung I.; Phillips A.; Tawhai M.; Ashworth E.</t>
  </si>
  <si>
    <t>Ghani, Fay (58541275900); Cheung, Irene (57681634900); Phillips, Anthony (25931065800); Tawhai, Merryn (6602735857); Ashworth, Edward (57220088941)</t>
  </si>
  <si>
    <t>58541275900; 57681634900; 25931065800; 6602735857; 57220088941</t>
  </si>
  <si>
    <t>Pulmonary volume and capacity outcomes upon returning to Earth following microgravity exposure: A systematic review and meta-analysis</t>
  </si>
  <si>
    <t>2023-October</t>
  </si>
  <si>
    <t>https://www.scopus.com/inward/record.uri?eid=2-s2.0-85187992546&amp;partnerID=40&amp;md5=5f362a63e278ae87561c8ce55d5926dc</t>
  </si>
  <si>
    <t>2-s2.0-85187992546</t>
  </si>
  <si>
    <t>An analysis of the space tourism market in the United Arab Emirates and the kingdom of Saudi Arabia and its potential for development of zero-gravity and sub-orbital commercial spaceflights</t>
  </si>
  <si>
    <t>https://www.scopus.com/inward/record.uri?eid=2-s2.0-85100915993&amp;partnerID=40&amp;md5=5fb3d2d88a8124883d5508f115d70b13</t>
  </si>
  <si>
    <t>2-s2.0-85100915993</t>
  </si>
  <si>
    <t>Kirihara Y.; Takahashi C.; Yamazaki T.</t>
  </si>
  <si>
    <t>Kirihara, Yuko (57222003768); Takahashi, Chieko (57222004628); Yamazaki, Taichi (57222007572)</t>
  </si>
  <si>
    <t>57222003768; 57222004628; 57222007572</t>
  </si>
  <si>
    <t>Creating a new business of space flight attendant service &amp; SFA academy</t>
  </si>
  <si>
    <t>https://www.scopus.com/inward/record.uri?eid=2-s2.0-85100938130&amp;partnerID=40&amp;md5=effad0fa677a7991880f436359d73916</t>
  </si>
  <si>
    <t>2-s2.0-85100938130</t>
  </si>
  <si>
    <t>Li Y.; Cao S.; Tang S.</t>
  </si>
  <si>
    <t>Li, Yi (55924904800); Cao, Su (57198571403); Tang, Shuo (7403437042)</t>
  </si>
  <si>
    <t>55924904800; 57198571403; 7403437042</t>
  </si>
  <si>
    <t>A conceptual study of a suborbital passenger flight vehicle with aircraft-like configuration</t>
  </si>
  <si>
    <t>https://www.scopus.com/inward/record.uri?eid=2-s2.0-85016454345&amp;partnerID=40&amp;md5=d46d0d04bff70ba4528cff9bffb5caba</t>
  </si>
  <si>
    <t>2-s2.0-85016454345</t>
  </si>
  <si>
    <t>Loskutova D.</t>
  </si>
  <si>
    <t>Loskutova, Dmitry (57222003905)</t>
  </si>
  <si>
    <t>Development of the international space station as commercial investment in orbital research</t>
  </si>
  <si>
    <t>https://www.scopus.com/inward/record.uri?eid=2-s2.0-85100927702&amp;partnerID=40&amp;md5=6410ecfb85668ecfb734d3d695f61bc6</t>
  </si>
  <si>
    <t>2-s2.0-85100927702</t>
  </si>
  <si>
    <t>Marzioli P.; Renda M.</t>
  </si>
  <si>
    <t>Marzioli, Paolo (57191591682); Renda, Maurizio (57222002835)</t>
  </si>
  <si>
    <t>57191591682; 57222002835</t>
  </si>
  <si>
    <t>Space hospital: How future space-based medical infrastructures could revolutionize tomorrow's health care system</t>
  </si>
  <si>
    <t>https://www.scopus.com/inward/record.uri?eid=2-s2.0-85100940477&amp;partnerID=40&amp;md5=12f48e36e8e4df61d42bb44e9abf0646</t>
  </si>
  <si>
    <t>2-s2.0-85100940477</t>
  </si>
  <si>
    <t>Murayama C.; Yamazaki T.; Kawakami T.</t>
  </si>
  <si>
    <t>Murayama, Chikako (58531273600); Yamazaki, Taichi (57222007572); Kawakami, Taiko (57222006126)</t>
  </si>
  <si>
    <t>58531273600; 57222007572; 57222006126</t>
  </si>
  <si>
    <t>THE NEED FOR A SPACE VERSION OF HAND SIGNALS</t>
  </si>
  <si>
    <t>https://www.scopus.com/inward/record.uri?eid=2-s2.0-85167569283&amp;partnerID=40&amp;md5=a0b6dc0ff43fd57b0b99bc6641687f2b</t>
  </si>
  <si>
    <t>2-s2.0-85167569283</t>
  </si>
  <si>
    <t>Nield G.C.; Sloan J.; McIntyre N.</t>
  </si>
  <si>
    <t>Nield, George C. (35781859000); Sloan, John (56350295600); McIntyre, Nate (57193768107)</t>
  </si>
  <si>
    <t>35781859000; 56350295600; 57193768107</t>
  </si>
  <si>
    <t>The role of commercial space transportation in an international Moon Village</t>
  </si>
  <si>
    <t>https://www.scopus.com/inward/record.uri?eid=2-s2.0-85016451118&amp;partnerID=40&amp;md5=de199060888498f70250da43098fd969</t>
  </si>
  <si>
    <t>2-s2.0-85016451118</t>
  </si>
  <si>
    <t>Onuki M.</t>
  </si>
  <si>
    <t>Onuki, Misuzu (23976723500)</t>
  </si>
  <si>
    <t>Spaceport public private partnerships in Japan, which support commercial human space flight activities</t>
  </si>
  <si>
    <t>https://www.scopus.com/inward/record.uri?eid=2-s2.0-84883548500&amp;partnerID=40&amp;md5=638410523018b59eaa27536e88f3dec3</t>
  </si>
  <si>
    <t>2-s2.0-84883548500</t>
  </si>
  <si>
    <t>Performances of a small hypersonic airplane (HYPLANE)</t>
  </si>
  <si>
    <t>https://www.scopus.com/inward/record.uri?eid=2-s2.0-84938278336&amp;partnerID=40&amp;md5=6e6bc4863233b2d953296d97997ad889</t>
  </si>
  <si>
    <t>2-s2.0-84938278336</t>
  </si>
  <si>
    <t>Timmermansa R.; Al-Ekabi C.; Alekseeva E.; Agusti M.B.; Bamber D.; Borgersen Ø.; Bradshaw M.; Brinkmeyer A.; De Cerio Goenaga R.D.; Pierre E.; Fagioli G.; Falk-Petersen E.; Filipowicz D.; Fleischer J.; Bourne E.G.; Goel K.; Harrison S.; Harwood J.; Høyland P.; Khvostova E.; Kumar S.; Ling X.; Barnett D.L.; Livne O.; Mandelblit N.; McBarron K.; Memon K.; Meyer M.; Minster G.; Pillet K.; Qin Z.; Mantilla C.A.R.; Sackey D.; Spannagel R.; Torrado M.; Vandenhoeck R.; Venkatapathy N.; Woodley A.; Zhangb Y.</t>
  </si>
  <si>
    <t>Timmermansa, Remco (56287919200); Al-Ekabi, Cenan (57193778109); Alekseeva, Evgeniia (57507838800); Agusti, Mariona Badenas (57193766389); Bamber, Daniel (57193768336); Borgersen, Øystein (57193774605); Bradshaw, Miranda (57193776666); Brinkmeyer, Alex (54988563500); De Cerio Goenaga, Rainer Diaz (57193767892); Pierre, Evellin (57193772498); Fagioli, Giulia (57193777238); Falk-Petersen, Erik (57193771130); Filipowicz, Dorota (57223365722); Fleischer, Jennifer (57193778038); Bourne, Enrique Garcia (57193767704); Goel, Konark (57193777078); Harrison, Samuel (58454562300); Harwood, Jay (55912276500); Høyland, Per (57193775574); Khvostova, Ekaterina (57193777363); Kumar, Sanjeev (57193771885); Ling, Xiaodong (57193772519); Barnett, Danna Linn (57215018837); Livne, Ofer (57191573244); Mandelblit, Nili (6506611454); McBarron, Kelsey (57193767284); Memon, Kamran (57222005504); Meyer, Marit (55809781700); Minster, Gedi (57193769375); Pillet, Karine (57193767672); Qin, Zhaohui (57193774623); Mantilla, Camilo Andres Reyes (57193771508); Sackey, Daniel (57193775655); Spannagel, Ruven (35335445300); Torrado, Mickael (57193771341); Vandenhoeck, Ray (57193768943); Venkatapathy, Nandakumar (57193773910); Woodley, Alicia (57193767503); Zhangb, Yongqian (57193774452)</t>
  </si>
  <si>
    <t>56287919200; 57193778109; 57507838800; 57193766389; 57193768336; 57193774605; 57193776666; 54988563500; 57193767892; 57193772498; 57193777238; 57193771130; 57223365722; 57193778038; 57193767704; 57193777078; 58454562300; 55912276500; 57193775574; 57193777363; 57193771885; 57193772519; 57215018837; 57191573244; 6506611454; 57193767284; 57222005504; 55809781700; 57193769375; 57193767672; 57193774623; 57193771508; 57193775655; 35335445300; 57193771341; 57193768943; 57193773910; 57193767503; 57193774452</t>
  </si>
  <si>
    <t>Artificial gravity conceptual orbiting station design</t>
  </si>
  <si>
    <t>https://www.scopus.com/inward/record.uri?eid=2-s2.0-85016484324&amp;partnerID=40&amp;md5=f495aa562dc75027f19fb208447c0ec8</t>
  </si>
  <si>
    <t>2-s2.0-85016484324</t>
  </si>
  <si>
    <t>Torgerson D.; Berk J.; Straub J.; Nervold A.</t>
  </si>
  <si>
    <t>Torgerson, Donovan (55813491400); Berk, Josh (55758584700); Straub, Jeremy (57757363200); Nervold, Anders (55758654300)</t>
  </si>
  <si>
    <t>55813491400; 55758584700; 57757363200; 55758654300</t>
  </si>
  <si>
    <t>Space station 2.0: A public-private model for international space exploration</t>
  </si>
  <si>
    <t>https://www.scopus.com/inward/record.uri?eid=2-s2.0-84904701283&amp;partnerID=40&amp;md5=aa5230a9ff195ddd7d8c5d9bed806487</t>
  </si>
  <si>
    <t>2-s2.0-84904701283</t>
  </si>
  <si>
    <t>Tüllmann R.; Arbinger C.</t>
  </si>
  <si>
    <t>Tüllmann, Ralph (8849697900); Arbinger, Christian (8860384800)</t>
  </si>
  <si>
    <t>8849697900; 8860384800</t>
  </si>
  <si>
    <t>Air meets space: Shaping the future of commercial space traffic</t>
  </si>
  <si>
    <t>https://www.scopus.com/inward/record.uri?eid=2-s2.0-85016470332&amp;partnerID=40&amp;md5=d8f5a5a89b1e066deb7c7d7d27f5933f</t>
  </si>
  <si>
    <t>2-s2.0-85016470332</t>
  </si>
  <si>
    <t>Viberti C.</t>
  </si>
  <si>
    <t>Viberti, Carlo (6507248059)</t>
  </si>
  <si>
    <t>The SpaceLand business model to overcome cultural barriers in Space-engagement world-wide</t>
  </si>
  <si>
    <t>https://www.scopus.com/inward/record.uri?eid=2-s2.0-85167622579&amp;partnerID=40&amp;md5=c5a813c74075921a32f1db13e173ba13</t>
  </si>
  <si>
    <t>2-s2.0-85167622579</t>
  </si>
  <si>
    <t>Vidmar M.; Cohen M.</t>
  </si>
  <si>
    <t>Vidmar, Matjaz (57203357465); Cohen, Maureen (57222413665)</t>
  </si>
  <si>
    <t>57203357465; 57222413665</t>
  </si>
  <si>
    <t>Is the deep space gateway in the right place?</t>
  </si>
  <si>
    <t>IAC-19_D3_1_5_x49941</t>
  </si>
  <si>
    <t>https://www.scopus.com/inward/record.uri?eid=2-s2.0-85079162276&amp;partnerID=40&amp;md5=9381c7565d4c29c8432a721d47f46543</t>
  </si>
  <si>
    <t>2-s2.0-85079162276</t>
  </si>
  <si>
    <t>Vidmar M.; Webber D.</t>
  </si>
  <si>
    <t>Vidmar, Matjaz (57203357465); Webber, Derek (15133734400)</t>
  </si>
  <si>
    <t>57203357465; 15133734400</t>
  </si>
  <si>
    <t>Gateway earth: A pragmatic modular architecture for space access and exploration</t>
  </si>
  <si>
    <t>https://www.scopus.com/inward/record.uri?eid=2-s2.0-85051386799&amp;partnerID=40&amp;md5=28b602ebfc05501a66f9de416b028c7c</t>
  </si>
  <si>
    <t>2-s2.0-85051386799</t>
  </si>
  <si>
    <t>Wilson A.R.</t>
  </si>
  <si>
    <t>Wilson, Andrew Ross (57214103383)</t>
  </si>
  <si>
    <t>AN OBSERVATIONAL CASE STUDY ON THE RESPONSE OF INSULIN-DEPENDENT DIABETES MELLITUS TO ALTERED GRAVITY CONDITIONS IN A HUMAN TEST SUBJECT</t>
  </si>
  <si>
    <t>https://www.scopus.com/inward/record.uri?eid=2-s2.0-85188012004&amp;partnerID=40&amp;md5=67c8100598cdc8aa157720594108c9fc</t>
  </si>
  <si>
    <t>2-s2.0-85188012004</t>
  </si>
  <si>
    <t>Yamazaki T.</t>
  </si>
  <si>
    <t>Yamazaki, Taichi (57222007572)</t>
  </si>
  <si>
    <t>ASTRAX Space service catalog system for space tourism</t>
  </si>
  <si>
    <t>https://www.scopus.com/inward/record.uri?eid=2-s2.0-85100951233&amp;partnerID=40&amp;md5=2e42b6c85020f54516ea493ca4a8e9f9</t>
  </si>
  <si>
    <t>2-s2.0-85100951233</t>
  </si>
  <si>
    <t>Yonemoto K.; Fujikawa T.</t>
  </si>
  <si>
    <t>Yonemoto, Koichi (35306015300); Fujikawa, Takahiro (56417263000)</t>
  </si>
  <si>
    <t>35306015300; 56417263000</t>
  </si>
  <si>
    <t>Preliminary design of suborbital spaceplane with LNG engines by a Japanese university start-up with the partnership of industries</t>
  </si>
  <si>
    <t>IAC-19_D2_4_6_x53715</t>
  </si>
  <si>
    <t>https://www.scopus.com/inward/record.uri?eid=2-s2.0-85079138711&amp;partnerID=40&amp;md5=da1d1684a9c37b2c01e9fba62a0d5134</t>
  </si>
  <si>
    <t>2-s2.0-85079138711</t>
  </si>
  <si>
    <t>Collins Patrick; Kuwahara Sunao; Nishimura Tsuyoshi; Fukuoka Takashi</t>
  </si>
  <si>
    <t>Artificial-gravity swimming-pool</t>
  </si>
  <si>
    <t>Proceedings of the International Conference and Exposition on Engineering, Construction, and Operations in Space</t>
  </si>
  <si>
    <t>https://www.scopus.com/inward/record.uri?eid=2-s2.0-0031699847&amp;partnerID=40&amp;md5=8649db773fcdc84375ada407645703ad</t>
  </si>
  <si>
    <t>2-s2.0-0031699847</t>
  </si>
  <si>
    <t>Proceedings of the 1998 6th International Conference and Exposition on Engineering Construction, and Operations in Space</t>
  </si>
  <si>
    <t>https://www.scopus.com/inward/record.uri?eid=2-s2.0-0031701969&amp;partnerID=40&amp;md5=f845a1432df6a4227fb57aa22b58bde8</t>
  </si>
  <si>
    <t>2-s2.0-0031701969</t>
  </si>
  <si>
    <t>Proceedings of the International Conference on Engineering, Construction, and Operations in Space</t>
  </si>
  <si>
    <t>https://www.scopus.com/inward/record.uri?eid=2-s2.0-0029709893&amp;partnerID=40&amp;md5=7e72783a0500735bda78c6982776691b</t>
  </si>
  <si>
    <t>2-s2.0-0029709893</t>
  </si>
  <si>
    <t>Kalapodis N.; Kampas G.; Webb J.; Ktenidou O.-J.</t>
  </si>
  <si>
    <t>Kalapodis, N. (57202547939); Kampas, G. (26655805400); Webb, J. (57222998674); Ktenidou, O.-J. (37054186200)</t>
  </si>
  <si>
    <t>57202547939; 26655805400; 57222998674; 37054186200</t>
  </si>
  <si>
    <t>The effect of self-weight on free-standing blocks</t>
  </si>
  <si>
    <t>Proceedings of the International Conference on Natural Hazards and Infrastructure</t>
  </si>
  <si>
    <t>https://www.scopus.com/inward/record.uri?eid=2-s2.0-85086523663&amp;partnerID=40&amp;md5=2d8decdebf28f0e758b4e711f2fe2f3f</t>
  </si>
  <si>
    <t>2-s2.0-85086523663</t>
  </si>
  <si>
    <t>Marquez L.; Gamage P.; Singh D.; Lemiale V.; Dess T.; Ashton P.; Ryan L.</t>
  </si>
  <si>
    <t>Marquez, Leorey (8533297300); Gamage, Pawan (57962417800); Singh, Dhirendra (57050843900); Lemiale, Vincent (18634757600); Dess, Trevor (57962417700); Ashton, Peter (57962059600); Ryan, Luke (58572584000)</t>
  </si>
  <si>
    <t>8533297300; 57962417800; 57050843900; 18634757600; 57962417700; 57962059600; 58572584000</t>
  </si>
  <si>
    <t>SEEKER: A Web-Based Simulation Tool for Planning Community Evacuations</t>
  </si>
  <si>
    <t>Proceedings of the International ISCRAM Conference</t>
  </si>
  <si>
    <t>2022-November</t>
  </si>
  <si>
    <t>https://www.scopus.com/inward/record.uri?eid=2-s2.0-85170646408&amp;partnerID=40&amp;md5=9b8a53a845f31e1a13fb6b49797fbdb2</t>
  </si>
  <si>
    <t>2-s2.0-85170646408</t>
  </si>
  <si>
    <t>Munoz Alvaro; Martinez Polioptro</t>
  </si>
  <si>
    <t>Munoz, Alvaro (56187376900); Martinez, Polioptro (7202906438)</t>
  </si>
  <si>
    <t>56187376900; 7202906438</t>
  </si>
  <si>
    <t>Forced circulation and aeration in the coastal lagoon of Bojorquez, Mexico</t>
  </si>
  <si>
    <t>Proceedings, Congress of the International Association of Hydraulic Research, IAHR</t>
  </si>
  <si>
    <t>B pt 1</t>
  </si>
  <si>
    <t>https://www.scopus.com/inward/record.uri?eid=2-s2.0-0030673897&amp;partnerID=40&amp;md5=ebf63d49fbdc0f3b899d3d125a61f029</t>
  </si>
  <si>
    <t>2-s2.0-0030673897</t>
  </si>
  <si>
    <t>Reidy H.</t>
  </si>
  <si>
    <t>Reidy, Heath (25937481500)</t>
  </si>
  <si>
    <t>Pie in the sky?</t>
  </si>
  <si>
    <t>Professional Engineering</t>
  </si>
  <si>
    <t>https://www.scopus.com/inward/record.uri?eid=2-s2.0-77956034132&amp;partnerID=40&amp;md5=bcf3f2384209004deae2c995c9c1f0f0</t>
  </si>
  <si>
    <t>2-s2.0-77956034132</t>
  </si>
  <si>
    <t>Xiao Y.; Wang F.; Liu Y.; Wang J.</t>
  </si>
  <si>
    <t>Xiao, Yu (57198732843); Wang, Fahui (57203340330); Liu, Yu (55742311000); Wang, Jiaoe (34873918300)</t>
  </si>
  <si>
    <t>57198732843; 57203340330; 55742311000; 34873918300</t>
  </si>
  <si>
    <t>Reconstructing Gravitational Attractions of Major Cities in China from Air Passenger Flow Data, 2001-2008: A Particle Swarm Optimization Approach</t>
  </si>
  <si>
    <t>Professional Geographer</t>
  </si>
  <si>
    <t>10.1080/00330124.2012.679445</t>
  </si>
  <si>
    <t>https://www.scopus.com/inward/record.uri?eid=2-s2.0-84875300944&amp;doi=10.1080%2f00330124.2012.679445&amp;partnerID=40&amp;md5=3aead66327fad66e4566933f67f34e80</t>
  </si>
  <si>
    <t>2-s2.0-84875300944</t>
  </si>
  <si>
    <t>Koh H.Y.</t>
  </si>
  <si>
    <t>Koh, Ho Youn (56637730800)</t>
  </si>
  <si>
    <t>Overseas Korean Studies Programs as Public Diplomacy: An Empirical Analysis of Tourist and Student Inflows</t>
  </si>
  <si>
    <t>Public Diplomacy of South Korea</t>
  </si>
  <si>
    <t>10.4324/9781003474012-7</t>
  </si>
  <si>
    <t>https://www.scopus.com/inward/record.uri?eid=2-s2.0-85209968049&amp;doi=10.4324%2f9781003474012-7&amp;partnerID=40&amp;md5=52d622bc29bfa5169c7c891f5aa1afce</t>
  </si>
  <si>
    <t>2-s2.0-85209968049</t>
  </si>
  <si>
    <t>Braitenberg C.; Sampietro D.; Pivetta T.; Zuliani D.; Barbagallo A.; Fabris P.; Rossi L.; Fabbri J.; Mansi A.H.</t>
  </si>
  <si>
    <t>Braitenberg, Carla (6701356934); Sampietro, Daniele (38261500000); Pivetta, Tommaso (56700115000); Zuliani, David (9537185200); Barbagallo, Alfio (55262958400); Fabris, Paolo (55292804800); Rossi, Lorenzo (57035552800); Fabbri, Julius (6602782980); Mansi, Ahmed Hamdi (57188732572)</t>
  </si>
  <si>
    <t>6701356934; 38261500000; 56700115000; 9537185200; 55262958400; 55292804800; 57035552800; 6602782980; 57188732572</t>
  </si>
  <si>
    <t>Gravity for Detecting Caves: Airborne and Terrestrial Simulations Based on a Comprehensive Karstic Cave Benchmark</t>
  </si>
  <si>
    <t>Pure and Applied Geophysics</t>
  </si>
  <si>
    <t>10.1007/s00024-015-1182-y</t>
  </si>
  <si>
    <t>https://www.scopus.com/inward/record.uri?eid=2-s2.0-84962656441&amp;doi=10.1007%2fs00024-015-1182-y&amp;partnerID=40&amp;md5=d2aaa9de03763b8a8b148f5623215b42</t>
  </si>
  <si>
    <t>2-s2.0-84962656441</t>
  </si>
  <si>
    <t>Genç M.</t>
  </si>
  <si>
    <t>Genç, Murat (7003967790)</t>
  </si>
  <si>
    <t>Migration and tourism flows to New Zealand</t>
  </si>
  <si>
    <t>Quantitative Methods in Tourism Economics</t>
  </si>
  <si>
    <t>10.1007/978-3-7908-2879-5_7</t>
  </si>
  <si>
    <t>https://www.scopus.com/inward/record.uri?eid=2-s2.0-84925413075&amp;doi=10.1007%2f978-3-7908-2879-5_7&amp;partnerID=40&amp;md5=a8288c2f08f7cadcd5f3cfb76feb5188</t>
  </si>
  <si>
    <t>2-s2.0-84925413075</t>
  </si>
  <si>
    <t>Hasannia Kolaee M.; Mirzapour Al-E-Hashem S.M.J.</t>
  </si>
  <si>
    <t>Hasannia Kolaee, Mansoureh (57189387648); Mirzapour Al-E-Hashem, Seyed Mohammad Javad (57200776002)</t>
  </si>
  <si>
    <t>57189387648; 57200776002</t>
  </si>
  <si>
    <t>Stochastic medical tourism problem with variable residence time considering gravity function</t>
  </si>
  <si>
    <t>RAIRO - Operations Research</t>
  </si>
  <si>
    <t>10.1051/ro/2022082</t>
  </si>
  <si>
    <t>https://www.scopus.com/inward/record.uri?eid=2-s2.0-85133720432&amp;doi=10.1051%2fro%2f2022082&amp;partnerID=40&amp;md5=064c14acd366b6cbab0e4b98ebac6070</t>
  </si>
  <si>
    <t>2-s2.0-85133720432</t>
  </si>
  <si>
    <t>Beckmann M.J.</t>
  </si>
  <si>
    <t>Beckmann, Martin J. (7102223533)</t>
  </si>
  <si>
    <t>Market share, distance and potential</t>
  </si>
  <si>
    <t>Regional and Urban Economics</t>
  </si>
  <si>
    <t>10.1016/0034-3331(71)90015-7</t>
  </si>
  <si>
    <t>https://www.scopus.com/inward/record.uri?eid=2-s2.0-2942636382&amp;doi=10.1016%2f0034-3331%2871%2990015-7&amp;partnerID=40&amp;md5=61ee4c4f915ae1c5d039ab1f847a6338</t>
  </si>
  <si>
    <t>2-s2.0-2942636382</t>
  </si>
  <si>
    <t>Priego F.J.; Rosselló J.; Santana-Gallego M.</t>
  </si>
  <si>
    <t>Priego, Francisco J. (56222740800); Rosselló, Jaume (57220022951); Santana-Gallego, Maria (36119110700)</t>
  </si>
  <si>
    <t>56222740800; 57220022951; 36119110700</t>
  </si>
  <si>
    <t>The impact of climate change on domestic tourism: a gravity model for Spain</t>
  </si>
  <si>
    <t>Regional Environmental Change</t>
  </si>
  <si>
    <t>10.1007/s10113-014-0645-5</t>
  </si>
  <si>
    <t>https://www.scopus.com/inward/record.uri?eid=2-s2.0-84939886748&amp;doi=10.1007%2fs10113-014-0645-5&amp;partnerID=40&amp;md5=485903959801c03c9d183105e4947d5b</t>
  </si>
  <si>
    <t>2-s2.0-84939886748</t>
  </si>
  <si>
    <t>álvarez-Díaz M.; D'Hombres B.; Ghisetti C.</t>
  </si>
  <si>
    <t>álvarez-Díaz, Marcos (16038424500); D'Hombres, Beatrice (15845204300); Ghisetti, Claudia (55919273300)</t>
  </si>
  <si>
    <t>16038424500; 15845204300; 55919273300</t>
  </si>
  <si>
    <t>Modelling inter- and intra-regional tourism flows in Spain - a spatial econometric approach</t>
  </si>
  <si>
    <t>Regional Statistics</t>
  </si>
  <si>
    <t>10.15196/RS070205</t>
  </si>
  <si>
    <t>https://www.scopus.com/inward/record.uri?eid=2-s2.0-85051558635&amp;doi=10.15196%2fRS070205&amp;partnerID=40&amp;md5=23bb18153a775d98074ade3a2fee3b29</t>
  </si>
  <si>
    <t>2-s2.0-85051558635</t>
  </si>
  <si>
    <t>Li Q.; Guo H.; Luo L.; Wang X.; Yang S.</t>
  </si>
  <si>
    <t>Li, Qian (59078199000); Guo, Huadong (57214151151); Luo, Lei (55642725400); Wang, Xinyuan (23006384200); Yang, Shu (57222168860)</t>
  </si>
  <si>
    <t>59078199000; 57214151151; 55642725400; 23006384200; 57222168860</t>
  </si>
  <si>
    <t>Impact Analysis of Land Use and Land Cover Change on Karez in Turpan Basin of China</t>
  </si>
  <si>
    <t>Remote Sensing</t>
  </si>
  <si>
    <t>10.3390/rs15082146</t>
  </si>
  <si>
    <t>https://www.scopus.com/inward/record.uri?eid=2-s2.0-85156130027&amp;doi=10.3390%2frs15082146&amp;partnerID=40&amp;md5=312a55da120b304245b83e9e8aad5cb3</t>
  </si>
  <si>
    <t>2-s2.0-85156130027</t>
  </si>
  <si>
    <t>Notarnicola C.</t>
  </si>
  <si>
    <t>Notarnicola, Claudia (56213274700)</t>
  </si>
  <si>
    <t>Observing snow cover and water resource changes in the high mountain asia region in comparison with global mountain trends over 2000–2018</t>
  </si>
  <si>
    <t>10.3390/rs12233913</t>
  </si>
  <si>
    <t>https://www.scopus.com/inward/record.uri?eid=2-s2.0-85097019787&amp;doi=10.3390%2frs12233913&amp;partnerID=40&amp;md5=48be4f46c562eb50c0e156087312df30</t>
  </si>
  <si>
    <t>2-s2.0-85097019787</t>
  </si>
  <si>
    <t>Chattoraj S.L.; Ray P.K.C.; Kannaujiya S.</t>
  </si>
  <si>
    <t>Chattoraj, Shovan Lal (26431708000); Ray, P. K. Champati (23003241000); Kannaujiya, Suresh (56960582300)</t>
  </si>
  <si>
    <t>26431708000; 23003241000; 56960582300</t>
  </si>
  <si>
    <t>Simulation Outputs of Major Debris Flows in Garhwal Himalaya: A Geotechnical Modeling Approach for Hazard Mitigation</t>
  </si>
  <si>
    <t>Remote Sensing of Northwest Himalayan Ecosystems</t>
  </si>
  <si>
    <t>10.1007/978-981-13-2128-3_3</t>
  </si>
  <si>
    <t>https://www.scopus.com/inward/record.uri?eid=2-s2.0-85099381694&amp;doi=10.1007%2f978-981-13-2128-3_3&amp;partnerID=40&amp;md5=efa47c0bd8a4293ff774088dbdce3322</t>
  </si>
  <si>
    <t>2-s2.0-85099381694</t>
  </si>
  <si>
    <t>Bollati I.M.; Lenz B.C.; Zanoletti E.</t>
  </si>
  <si>
    <t>Bollati, Irene Maria (50161013600); Lenz, Beatrice Crosa (57209660466); Zanoletti, Enrico (57194601483)</t>
  </si>
  <si>
    <t>50161013600; 57209660466; 57194601483</t>
  </si>
  <si>
    <t>A procedure to structure multidisciplinary educational fieldworks for understanding spatio-temporal evolution of the Alpine landscape</t>
  </si>
  <si>
    <t>Rendiconti Online Societa Geologica Italiana</t>
  </si>
  <si>
    <t>10.3301/ROL.2019.46</t>
  </si>
  <si>
    <t>https://www.scopus.com/inward/record.uri?eid=2-s2.0-85078207351&amp;doi=10.3301%2fROL.2019.46&amp;partnerID=40&amp;md5=6225d97a352ba21b7c8ea18d9a559e33</t>
  </si>
  <si>
    <t>2-s2.0-85078207351</t>
  </si>
  <si>
    <t>Del Bon A.; Burri E.; Ragni P.; Ferrari A.; Doulati Ardejani F.; Younesian A.</t>
  </si>
  <si>
    <t>Del Bon, Andrea (26037361900); Burri, Ezio (8433147400); Ragni, Pietro (7004679179); Ferrari, Angelo (55616233100); Doulati Ardejani, Faramarz (14424207900); Younesian, Ali (54402180300)</t>
  </si>
  <si>
    <t>26037361900; 8433147400; 7004679179; 55616233100; 14424207900; 54402180300</t>
  </si>
  <si>
    <t>The management of water resources between traditions and sustainability: The Qanats of Shahrood province (north-eastern Iran)</t>
  </si>
  <si>
    <t>10.3301/ROL.2019.06</t>
  </si>
  <si>
    <t>https://www.scopus.com/inward/record.uri?eid=2-s2.0-85064567944&amp;doi=10.3301%2fROL.2019.06&amp;partnerID=40&amp;md5=8d0050ac891fe9ad08a9a9da9cf047f4</t>
  </si>
  <si>
    <t>2-s2.0-85064567944</t>
  </si>
  <si>
    <t>Yan G.; Zhao J.; Shen J.; Shen W.; Wang W.</t>
  </si>
  <si>
    <t>Yan, Guodong (36018785000); Zhao, Jinlin (57218578897); Shen, Jing (57211549587); Shen, Wenlu (57211549570); Wang, Wei (57211549592)</t>
  </si>
  <si>
    <t>36018785000; 57218578897; 57211549587; 57211549570; 57211549592</t>
  </si>
  <si>
    <t>Research on optimal route of material distribution center of Asia Pacific cruise ships</t>
  </si>
  <si>
    <t>Report on the Development of Cruise Industry in China (2019)</t>
  </si>
  <si>
    <t>10.1007/978-981-15-4661-7_18</t>
  </si>
  <si>
    <t>https://www.scopus.com/inward/record.uri?eid=2-s2.0-85089641628&amp;doi=10.1007%2f978-981-15-4661-7_18&amp;partnerID=40&amp;md5=a408f316a9dd1bf5ebfa9b54920ba5db</t>
  </si>
  <si>
    <t>2-s2.0-85089641628</t>
  </si>
  <si>
    <t>Eff E.A.; Jensen C.D.</t>
  </si>
  <si>
    <t>Eff, E. Anthon (6508035802); Jensen, Christa D. (36866332500)</t>
  </si>
  <si>
    <t>6508035802; 36866332500</t>
  </si>
  <si>
    <t>The integration of periodic markets in Mayan Guatemala: A gravity approach</t>
  </si>
  <si>
    <t>Research in Economic Anthropology</t>
  </si>
  <si>
    <t>10.1108/S0190-128120140000034012</t>
  </si>
  <si>
    <t>https://www.scopus.com/inward/record.uri?eid=2-s2.0-84908477963&amp;doi=10.1108%2fS0190-128120140000034012&amp;partnerID=40&amp;md5=6c1bd1b6640918742a467ec7dad2dc47</t>
  </si>
  <si>
    <t>2-s2.0-84908477963</t>
  </si>
  <si>
    <t>Zhuang S.; Xia N.; Gao X.; Zhao X.; Liang J.; Wang Z.; Li M.</t>
  </si>
  <si>
    <t>Zhuang, Sudan (58136946400); Xia, Nan (56706971100); Gao, Xing (58135869500); Zhao, Xin (57963554300); Liang, Jiale (57225891899); Wang, Ziyu (58992048400); Li, Manchun (35115110600)</t>
  </si>
  <si>
    <t>58136946400; 56706971100; 58135869500; 57963554300; 57225891899; 58992048400; 35115110600</t>
  </si>
  <si>
    <t>Coupling coordination analysis between railway transport accessibility and tourism economic connection during 2010–2019: A case study of the Yangtze River Delta</t>
  </si>
  <si>
    <t>Research in Transportation Business and Management</t>
  </si>
  <si>
    <t>10.1016/j.rtbm.2024.101134</t>
  </si>
  <si>
    <t>https://www.scopus.com/inward/record.uri?eid=2-s2.0-85193233216&amp;doi=10.1016%2fj.rtbm.2024.101134&amp;partnerID=40&amp;md5=22051bff1e329832a2217d75eeed4afb</t>
  </si>
  <si>
    <t>2-s2.0-85193233216</t>
  </si>
  <si>
    <t>Peering Through the Fog of Uncertainty: Out-of-Sample Forecasts of Post-Pandemic Tourism</t>
  </si>
  <si>
    <t>Review of Economics</t>
  </si>
  <si>
    <t>10.1515/roe-2023-0110</t>
  </si>
  <si>
    <t>https://www.scopus.com/inward/record.uri?eid=2-s2.0-85190339322&amp;doi=10.1515%2froe-2023-0110&amp;partnerID=40&amp;md5=a7ecedf411f91cd93f065430e36ee911</t>
  </si>
  <si>
    <t>2-s2.0-85190339322</t>
  </si>
  <si>
    <t>Tiwari P.; Doi M.; Kawakami T.</t>
  </si>
  <si>
    <t>Tiwari, Piyush (7006992573); Doi, Masayuki (7201918702); Kawakami, Tetsu (7401566318)</t>
  </si>
  <si>
    <t>7006992573; 7201918702; 7401566318</t>
  </si>
  <si>
    <t>Analysis of household leisure and shopping behavior in Ibaraki Prefecture, Japan</t>
  </si>
  <si>
    <t>Review of Urban and Regional Development Studies</t>
  </si>
  <si>
    <t>10.1111/j.1467-940X.2006.00116.x</t>
  </si>
  <si>
    <t>https://www.scopus.com/inward/record.uri?eid=2-s2.0-33845686712&amp;doi=10.1111%2fj.1467-940X.2006.00116.x&amp;partnerID=40&amp;md5=a5b729080de0866259a68ad2badc4f37</t>
  </si>
  <si>
    <t>2-s2.0-33845686712</t>
  </si>
  <si>
    <t>Samir D.; Mohamed H.A.; Seghir G.M.</t>
  </si>
  <si>
    <t>Samir, Djelti (57396252000); Mohamed, Hadj Ahmed (57396469900); Seghir, Guellil Mohamed (57202436072)</t>
  </si>
  <si>
    <t>57396252000; 57396469900; 57202436072</t>
  </si>
  <si>
    <t>Migration Networks and the Moroccan Tourism: A Panel Data Analysis</t>
  </si>
  <si>
    <t>Revista de Metodos Cuantitativos para la Economia y la Empresa</t>
  </si>
  <si>
    <t>10.46661/REVMETODOSCUANTECONEMPRESA.4482</t>
  </si>
  <si>
    <t>https://www.scopus.com/inward/record.uri?eid=2-s2.0-85122234626&amp;doi=10.46661%2fREVMETODOSCUANTECONEMPRESA.4482&amp;partnerID=40&amp;md5=2cb82db2c1765062fb3bb3722adf6af0</t>
  </si>
  <si>
    <t>2-s2.0-85122234626</t>
  </si>
  <si>
    <t>Apuani T.; Corazzato C.</t>
  </si>
  <si>
    <t>Apuani, T. (17134387900); Corazzato, C. (9747781900)</t>
  </si>
  <si>
    <t>17134387900; 9747781900</t>
  </si>
  <si>
    <t>Numerical model of the Stromboli volcano (Italy) including the effect of magma pressure in the dyke system</t>
  </si>
  <si>
    <t>Rock Mechanics and Rock Engineering</t>
  </si>
  <si>
    <t>10.1007/s00603-008-0163-1</t>
  </si>
  <si>
    <t>https://www.scopus.com/inward/record.uri?eid=2-s2.0-59549106161&amp;doi=10.1007%2fs00603-008-0163-1&amp;partnerID=40&amp;md5=1963301c6a924ac5b7bd8f9883fb76bf</t>
  </si>
  <si>
    <t>2-s2.0-59549106161</t>
  </si>
  <si>
    <t>Kul’neva P.V.</t>
  </si>
  <si>
    <t>Kul’neva, Polina Victorovna (57220926131)</t>
  </si>
  <si>
    <t>The Place of Historical Memory in Perception of China by Japanese Society</t>
  </si>
  <si>
    <t>Russian Japanology Review</t>
  </si>
  <si>
    <t>10.24411/2658-6789-2020-10003</t>
  </si>
  <si>
    <t>https://www.scopus.com/inward/record.uri?eid=2-s2.0-85166262973&amp;doi=10.24411%2f2658-6789-2020-10003&amp;partnerID=40&amp;md5=50c9183434b364cd3f97b4e25cd99fe7</t>
  </si>
  <si>
    <t>2-s2.0-85166262973</t>
  </si>
  <si>
    <t>Bijwe V.B.; Mahajan R.; Vaidya R.; Patel K.; Hiwale D.; Walke A.A.</t>
  </si>
  <si>
    <t>Bijwe, Vilas B. (55692871900); Mahajan, Rahul (12785146200); Vaidya, Rohit (42062487200); Patel, Kaustubh (57198881470); Hiwale, Diwakar (57260491200); Walke, Abhijit Ashok (57290768900)</t>
  </si>
  <si>
    <t>55692871900; 12785146200; 42062487200; 57198881470; 57260491200; 57290768900</t>
  </si>
  <si>
    <t>Simulation Methodology Development for Vibration Test of Bus Body Structure Code AIS-153:2018</t>
  </si>
  <si>
    <t>SAE Technical Papers</t>
  </si>
  <si>
    <t>10.4271/2024-26-0249</t>
  </si>
  <si>
    <t>https://www.scopus.com/inward/record.uri?eid=2-s2.0-85187017667&amp;doi=10.4271%2f2024-26-0249&amp;partnerID=40&amp;md5=745067346cf756fa2f9a9ae41c99c12f</t>
  </si>
  <si>
    <t>2-s2.0-85187017667</t>
  </si>
  <si>
    <t>Taylor T.C.</t>
  </si>
  <si>
    <t>Taylor, Thomas C. (25639107300)</t>
  </si>
  <si>
    <t>Commercial space habitation</t>
  </si>
  <si>
    <t>10.4271/2001-01-2172</t>
  </si>
  <si>
    <t>https://www.scopus.com/inward/record.uri?eid=2-s2.0-85072465681&amp;doi=10.4271%2f2001-01-2172&amp;partnerID=40&amp;md5=03120ce85e7a56120b015fe3b32fccdc</t>
  </si>
  <si>
    <t>2-s2.0-85072465681</t>
  </si>
  <si>
    <t>Li Y.; Terason S.</t>
  </si>
  <si>
    <t>Li, Yanan (57316171900); Terason, Sid (56530757600)</t>
  </si>
  <si>
    <t>57316171900; 56530757600</t>
  </si>
  <si>
    <t>Configuring the Pattern of Sustainable Tourism Development as Affected by the Construction of a High-Speed Railway System</t>
  </si>
  <si>
    <t>SAGE Open</t>
  </si>
  <si>
    <t>10.1177/21582440231181368</t>
  </si>
  <si>
    <t>https://www.scopus.com/inward/record.uri?eid=2-s2.0-85164605816&amp;doi=10.1177%2f21582440231181368&amp;partnerID=40&amp;md5=b9ee0f1353ebbe88999f38e063fb55ce</t>
  </si>
  <si>
    <t>2-s2.0-85164605816</t>
  </si>
  <si>
    <t>Holden C.</t>
  </si>
  <si>
    <t>Holden, C. (57198288997)</t>
  </si>
  <si>
    <t>Cancun, Paris ... Or space?</t>
  </si>
  <si>
    <t>Science</t>
  </si>
  <si>
    <t>https://www.scopus.com/inward/record.uri?eid=2-s2.0-0032571466&amp;partnerID=40&amp;md5=73b43ff4c9efe360fd9fb023907f0f7e</t>
  </si>
  <si>
    <t>2-s2.0-0032571466</t>
  </si>
  <si>
    <t>Ruiz-Constán A.; Ruiz-Armenteros A.M.; Martos-Rosillo S.; Galindo-Zaldívar J.; Lazecky M.; García M.; Sousa J.J.; Sanz de Galdeano C.; Delgado-Blasco J.M.; Jiménez-Gavilán P.; Caro-Cuenca M.; Luque-Espinar J.A.</t>
  </si>
  <si>
    <t>Ruiz-Constán, A. (55915058200); Ruiz-Armenteros, A.M. (57201799172); Martos-Rosillo, S. (35105531500); Galindo-Zaldívar, J. (7004513427); Lazecky, M. (37072643400); García, M. (6701734858); Sousa, J.J. (55413934600); Sanz de Galdeano, C. (7004223013); Delgado-Blasco, J.M. (57192664765); Jiménez-Gavilán, P. (55573807600); Caro-Cuenca, M. (54082849200); Luque-Espinar, J.A. (23766747200)</t>
  </si>
  <si>
    <t>55915058200; 57201799172; 35105531500; 7004513427; 37072643400; 6701734858; 55413934600; 7004223013; 57192664765; 55573807600; 54082849200; 23766747200</t>
  </si>
  <si>
    <t>SAR interferometry monitoring of subsidence in a detritic basin related to water depletion in the underlying confined carbonate aquifer (Torremolinos, southern Spain)</t>
  </si>
  <si>
    <t>Science of the Total Environment</t>
  </si>
  <si>
    <t>10.1016/j.scitotenv.2018.04.280</t>
  </si>
  <si>
    <t>https://www.scopus.com/inward/record.uri?eid=2-s2.0-85046121193&amp;doi=10.1016%2fj.scitotenv.2018.04.280&amp;partnerID=40&amp;md5=f660653cc400d1d3712697a284ed5086</t>
  </si>
  <si>
    <t>2-s2.0-85046121193</t>
  </si>
  <si>
    <t>Salhi A.; Benabdelouahab S.; Bouayad E.O.; Benabdelouahab T.; Larifi I.; El Mousaoui M.; Acharrat N.; Himi M.; Casas Ponsati A.</t>
  </si>
  <si>
    <t>Salhi, Adil (56071078300); Benabdelouahab, Sara (57192191480); Bouayad, El Ouazna (57219468675); Benabdelouahab, Tarik (56766050800); Larifi, Ihsan (57219474309); El Mousaoui, Mhamed (57215078140); Acharrat, Noeman (57219468923); Himi, Mahjoub (23034244800); Casas Ponsati, Albert (7801312916)</t>
  </si>
  <si>
    <t>56071078300; 57192191480; 57219468675; 56766050800; 57219474309; 57215078140; 57219468923; 23034244800; 7801312916</t>
  </si>
  <si>
    <t>Impacts and social implications of landuse-environment conflicts in a typical Mediterranean watershed</t>
  </si>
  <si>
    <t>10.1016/j.scitotenv.2020.142853</t>
  </si>
  <si>
    <t>https://www.scopus.com/inward/record.uri?eid=2-s2.0-85092928529&amp;doi=10.1016%2fj.scitotenv.2020.142853&amp;partnerID=40&amp;md5=6480654a95a8f87b804b36fa08731b13</t>
  </si>
  <si>
    <t>2-s2.0-85092928529</t>
  </si>
  <si>
    <t>Terrier M.; Monfort D.; Lambert J.; Le Roy S.; Pedreros R.; Sedan O.</t>
  </si>
  <si>
    <t>Terrier, M. (17339552400); Monfort, D. (55607385200); Lambert, J. (8736181100); Le Roy, S. (55675611200); Pedreros, R. (55957428200); Sedan, O. (26423226800)</t>
  </si>
  <si>
    <t>17339552400; 55607385200; 8736181100; 55675611200; 55957428200; 26423226800</t>
  </si>
  <si>
    <t>Method for evaluating vulnerability to tsunamis of low-tomedium intensity: Application to the French côte D'Azur</t>
  </si>
  <si>
    <t>Science of Tsunami Hazards</t>
  </si>
  <si>
    <t>https://www.scopus.com/inward/record.uri?eid=2-s2.0-84877127401&amp;partnerID=40&amp;md5=87b739ca0d71220687edd0a2277ac7ee</t>
  </si>
  <si>
    <t>2-s2.0-84877127401</t>
  </si>
  <si>
    <t>Lu F.; Qin W.; Wang Y.-X.</t>
  </si>
  <si>
    <t>Lu, Fei (57639582400); Qin, Wei (57254107700); Wang, Yu-Xuan (57254222200)</t>
  </si>
  <si>
    <t>57639582400; 57254107700; 57254222200</t>
  </si>
  <si>
    <t>Research on Spatial Pattern Dynamic Evolution Algorithm and Optimization Model Construction and Driving Mechanism of Provincial Tourism Eco-Efficiency in China under the Background of Cloud Computing</t>
  </si>
  <si>
    <t>Scientific Programming</t>
  </si>
  <si>
    <t>10.1155/2021/1951264</t>
  </si>
  <si>
    <t>https://www.scopus.com/inward/record.uri?eid=2-s2.0-85114674811&amp;doi=10.1155%2f2021%2f1951264&amp;partnerID=40&amp;md5=2d76171c12ea87d9d50ebfb1a0fc0848</t>
  </si>
  <si>
    <t>2-s2.0-85114674811</t>
  </si>
  <si>
    <t>Guest Edited Collection: Gravitational biology and space medicine</t>
  </si>
  <si>
    <t>Scientific Reports</t>
  </si>
  <si>
    <t>10.1038/s41598-019-51231-8</t>
  </si>
  <si>
    <t>https://www.scopus.com/inward/record.uri?eid=2-s2.0-85073069181&amp;doi=10.1038%2fs41598-019-51231-8&amp;partnerID=40&amp;md5=8ae7b85cd42c4307bcface6417a26ee4</t>
  </si>
  <si>
    <t>2-s2.0-85073069181</t>
  </si>
  <si>
    <t>Liao Z.; Zhang L.; Wang X.; Liang S.</t>
  </si>
  <si>
    <t>Liao, Zhenjie (57214095200); Zhang, Lijuan (57343214600); Wang, Xuanfei (57812339800); Liang, Shan (57813326900)</t>
  </si>
  <si>
    <t>57214095200; 57343214600; 57812339800; 57813326900</t>
  </si>
  <si>
    <t>Structural characteristics and influencing factors of a spatial correlation network for tourism environmental efficiency in China</t>
  </si>
  <si>
    <t>10.1038/s41598-024-52434-4</t>
  </si>
  <si>
    <t>https://www.scopus.com/inward/record.uri?eid=2-s2.0-85183751600&amp;doi=10.1038%2fs41598-024-52434-4&amp;partnerID=40&amp;md5=60614ee56a2154701fed7273e01b5f98</t>
  </si>
  <si>
    <t>2-s2.0-85183751600</t>
  </si>
  <si>
    <t>Scotti F.; Flori A.; Secchi P.; Arena M.; Azzone G.</t>
  </si>
  <si>
    <t>Scotti, Francesco (57222666699); Flori, Andrea (56497765100); Secchi, Piercesare (7003583430); Arena, Marika (12752603200); Azzone, Giovanni (7007157841)</t>
  </si>
  <si>
    <t>57222666699; 56497765100; 7003583430; 12752603200; 7007157841</t>
  </si>
  <si>
    <t>Exploring drivers of overnight stays and same-day visits in the tourism sector</t>
  </si>
  <si>
    <t>10.1038/s41598-024-60229-w</t>
  </si>
  <si>
    <t>https://www.scopus.com/inward/record.uri?eid=2-s2.0-85191794767&amp;doi=10.1038%2fs41598-024-60229-w&amp;partnerID=40&amp;md5=4a7c72bad3be9fb41937f7b02e79a26c</t>
  </si>
  <si>
    <t>2-s2.0-85191794767</t>
  </si>
  <si>
    <t>Wu Y.; Xu A.; Wang C.; Shi Y.</t>
  </si>
  <si>
    <t>Wu, Yizhen (57927075500); Xu, Anxin (56954219100); Wang, Chao (57862595500); Shi, Yuting (58091060800)</t>
  </si>
  <si>
    <t>57927075500; 56954219100; 57862595500; 58091060800</t>
  </si>
  <si>
    <t>Spatial and temporal evolution and influencing factors of tourism eco-efficiency in Fujian province under the target of carbon peak</t>
  </si>
  <si>
    <t>10.1038/s41598-023-50468-8</t>
  </si>
  <si>
    <t>https://www.scopus.com/inward/record.uri?eid=2-s2.0-85180716711&amp;doi=10.1038%2fs41598-023-50468-8&amp;partnerID=40&amp;md5=d57bee836877195341d9b93711aeec9a</t>
  </si>
  <si>
    <t>2-s2.0-85180716711</t>
  </si>
  <si>
    <t>Chi P.-Y.; Yang Y.; Lin C.-H.</t>
  </si>
  <si>
    <t>Chi, Pei-Yu (57204554865); Yang, Yiwen (57218496404); Lin, Chin-Ho (57191203030)</t>
  </si>
  <si>
    <t>57204554865; 57218496404; 57191203030</t>
  </si>
  <si>
    <t>Effect of international travel sanctions on global tourist arrivals</t>
  </si>
  <si>
    <t>Scottish Journal of Political Economy</t>
  </si>
  <si>
    <t>10.1111/sjpe.12385</t>
  </si>
  <si>
    <t>https://www.scopus.com/inward/record.uri?eid=2-s2.0-85193753414&amp;doi=10.1111%2fsjpe.12385&amp;partnerID=40&amp;md5=f6959e9e5beac81fd246ce1e154bd154</t>
  </si>
  <si>
    <t>2-s2.0-85193753414</t>
  </si>
  <si>
    <t>Nobile L.</t>
  </si>
  <si>
    <t>Nobile, Lucio (7003368414)</t>
  </si>
  <si>
    <t>An Overview of Seismic Risk Management for Italian Architectural Heritage</t>
  </si>
  <si>
    <t>SDHM Structural Durability and Health Monitoring</t>
  </si>
  <si>
    <t>10.32604/sdhm.2023.028247</t>
  </si>
  <si>
    <t>https://www.scopus.com/inward/record.uri?eid=2-s2.0-85174411284&amp;doi=10.32604%2fsdhm.2023.028247&amp;partnerID=40&amp;md5=b813a63a8f923fbdae21c5feaa9dad96</t>
  </si>
  <si>
    <t>2-s2.0-85174411284</t>
  </si>
  <si>
    <t>Dropsy V.; Montet C.; Poirine B.</t>
  </si>
  <si>
    <t>Dropsy, Vincent (6506308626); Montet, Christian (24388455500); Poirine, Bernard (56333914000)</t>
  </si>
  <si>
    <t>6506308626; 24388455500; 56333914000</t>
  </si>
  <si>
    <t>A comparative study of tourism in pacific islands: Gravity models in economics and paradoxes of geography and culture</t>
  </si>
  <si>
    <t>Small Islands, Big Issues: Pacific Perspectives on the Ecosystem of Knowledge</t>
  </si>
  <si>
    <t>https://www.scopus.com/inward/record.uri?eid=2-s2.0-85173059806&amp;partnerID=40&amp;md5=fe3f12a2864c4be5bb7677e88a52df21</t>
  </si>
  <si>
    <t>2-s2.0-85173059806</t>
  </si>
  <si>
    <t>Loh C.-P.A.; Triplett R.E.</t>
  </si>
  <si>
    <t>Loh, Chung-Ping A. (26032610200); Triplett, Russell E. (57195353354)</t>
  </si>
  <si>
    <t>26032610200; 57195353354</t>
  </si>
  <si>
    <t>International accreditation, linguistic proximity and trade in medical services</t>
  </si>
  <si>
    <t>Social Science and Medicine</t>
  </si>
  <si>
    <t>10.1016/j.socscimed.2019.112403</t>
  </si>
  <si>
    <t>https://www.scopus.com/inward/record.uri?eid=2-s2.0-85070910054&amp;doi=10.1016%2fj.socscimed.2019.112403&amp;partnerID=40&amp;md5=301f0a2023a3f72df14db52b4d1e5a32</t>
  </si>
  <si>
    <t>2-s2.0-85070910054</t>
  </si>
  <si>
    <t>Wongtada N.</t>
  </si>
  <si>
    <t>Wongtada, N. (6505566878)</t>
  </si>
  <si>
    <t>The impact of ASEAN integration on tourism flows of Thailand</t>
  </si>
  <si>
    <t>Social Sciences and Interdisciplinary Behavior</t>
  </si>
  <si>
    <t>https://www.scopus.com/inward/record.uri?eid=2-s2.0-85070878239&amp;partnerID=40&amp;md5=1281c8d866a3094d498561f516b185ee</t>
  </si>
  <si>
    <t>2-s2.0-85070878239</t>
  </si>
  <si>
    <t>Social Sciences and Interdisciplinary Behavior - Proceedings of the 4th International Congress on Interdisciplinary Behavior and Social Science, ICIBSOS 2015</t>
  </si>
  <si>
    <t>https://www.scopus.com/inward/record.uri?eid=2-s2.0-85018720131&amp;partnerID=40&amp;md5=3a4a37e8b25dc8a46321d9a891adcddf</t>
  </si>
  <si>
    <t>2-s2.0-85018720131</t>
  </si>
  <si>
    <t>de Vincenzi L.; Ellen H.; Khamis A.; van Dijk J.P.; Sabetian R.</t>
  </si>
  <si>
    <t>de Vincenzi, Luca (16042169700); Ellen, Helby (57205427275); Khamis, Anaam (58583661700); van Dijk, Johannes Petrus (57214915408); Sabetian, Raffaela (57194688004)</t>
  </si>
  <si>
    <t>16042169700; 57205427275; 58583661700; 57214915408; 57194688004</t>
  </si>
  <si>
    <t>Integration of geophysics and geology in a complex area, Gulf of Suez</t>
  </si>
  <si>
    <t>Society of Petroleum Engineers - Abu Dhabi International Petroleum Exhibition and Conference 2019, ADIP 2019</t>
  </si>
  <si>
    <t>10.2118/197389-MS</t>
  </si>
  <si>
    <t>https://www.scopus.com/inward/record.uri?eid=2-s2.0-85139378568&amp;doi=10.2118%2f197389-MS&amp;partnerID=40&amp;md5=83fe6fe73a18034624bb7e692b3b598e</t>
  </si>
  <si>
    <t>2-s2.0-85139378568</t>
  </si>
  <si>
    <t>Viljoen A.H.; Saayman A.; Saayman M.</t>
  </si>
  <si>
    <t>Viljoen, Adam H. (7005211959); Saayman, Andrea (15726339700); Saayman, Melville (57222499713)</t>
  </si>
  <si>
    <t>7005211959; 15726339700; 57222499713</t>
  </si>
  <si>
    <t>Examining intra-African tourism: A trade theory perspective</t>
  </si>
  <si>
    <t>South African Journal of Economic and Management Sciences</t>
  </si>
  <si>
    <t>a2860</t>
  </si>
  <si>
    <t>10.4102/sajems.v22i1.2860</t>
  </si>
  <si>
    <t>https://www.scopus.com/inward/record.uri?eid=2-s2.0-85075502649&amp;doi=10.4102%2fsajems.v22i1.2860&amp;partnerID=40&amp;md5=c51042eff20484a97bb691bf8364f697</t>
  </si>
  <si>
    <t>2-s2.0-85075502649</t>
  </si>
  <si>
    <t>Van Der Walt J.; Ernst A.H.</t>
  </si>
  <si>
    <t>Van Der Walt, J. (55777605900); Ernst, A.H. (55886795100)</t>
  </si>
  <si>
    <t>55777605900; 55886795100</t>
  </si>
  <si>
    <t>The anaesthetic management of microgravity-exposed individuals</t>
  </si>
  <si>
    <t>Southern African Journal of Anaesthesia and Analgesia</t>
  </si>
  <si>
    <t>10.1080/22201173.2013.10872933</t>
  </si>
  <si>
    <t>https://www.scopus.com/inward/record.uri?eid=2-s2.0-84885817122&amp;doi=10.1080%2f22201173.2013.10872933&amp;partnerID=40&amp;md5=bbb77a4a3ab8fb658d62e135dcdde30e</t>
  </si>
  <si>
    <t>2-s2.0-84885817122</t>
  </si>
  <si>
    <t>Artificial gravity swimming pool</t>
  </si>
  <si>
    <t>Space 1998</t>
  </si>
  <si>
    <t>10.1061/40339(206)86</t>
  </si>
  <si>
    <t>https://www.scopus.com/inward/record.uri?eid=2-s2.0-0001808972&amp;doi=10.1061%2f40339%28206%2986&amp;partnerID=40&amp;md5=68d81055bc19914547c9495d8e3e3bb9</t>
  </si>
  <si>
    <t>2-s2.0-0001808972</t>
  </si>
  <si>
    <t>Collins P.; Fukuoka T.; Nishimura T.</t>
  </si>
  <si>
    <t>Orbital sports stadium</t>
  </si>
  <si>
    <t>Space 2000</t>
  </si>
  <si>
    <t>10.1061/40479(204)73</t>
  </si>
  <si>
    <t>https://www.scopus.com/inward/record.uri?eid=2-s2.0-0034586988&amp;doi=10.1061%2f40479%28204%2973&amp;partnerID=40&amp;md5=9aceec315f3b6e90aa90ff10178c6d95</t>
  </si>
  <si>
    <t>2-s2.0-0034586988</t>
  </si>
  <si>
    <t>Sloan J.H.</t>
  </si>
  <si>
    <t>Sloan, James H. (7202446094)</t>
  </si>
  <si>
    <t>Commercial space station requirements</t>
  </si>
  <si>
    <t>Space 2000 Conference and Exposition</t>
  </si>
  <si>
    <t>https://www.scopus.com/inward/record.uri?eid=2-s2.0-84894301787&amp;partnerID=40&amp;md5=5918e50497082790bd3bc3e50e22e746</t>
  </si>
  <si>
    <t>2-s2.0-84894301787</t>
  </si>
  <si>
    <t>McCarthy C.</t>
  </si>
  <si>
    <t>McCarthy, Christine (53563863700)</t>
  </si>
  <si>
    <t>In Suspension: Standing on Archaeology</t>
  </si>
  <si>
    <t>Space and Culture</t>
  </si>
  <si>
    <t>10.1177/1206331217707471</t>
  </si>
  <si>
    <t>https://www.scopus.com/inward/record.uri?eid=2-s2.0-85030789466&amp;doi=10.1177%2f1206331217707471&amp;partnerID=40&amp;md5=03a9718cc5665bbc79ea6022137a1cea</t>
  </si>
  <si>
    <t>2-s2.0-85030789466</t>
  </si>
  <si>
    <t>Tyson G.R.</t>
  </si>
  <si>
    <t>Tyson, George R. (7004371088)</t>
  </si>
  <si>
    <t>A new "old way" to space: Taking the best from the past to forge ahead into the future</t>
  </si>
  <si>
    <t>Space Congress Proceedings</t>
  </si>
  <si>
    <t>https://www.scopus.com/inward/record.uri?eid=2-s2.0-0036374053&amp;partnerID=40&amp;md5=081d066d1dabe22303c1fe777e254733</t>
  </si>
  <si>
    <t>2-s2.0-0036374053</t>
  </si>
  <si>
    <t>Doarn C.R.; Nicogossian A.E.; Schneider V.S.; Williams R.S.</t>
  </si>
  <si>
    <t>Doarn, Charles R. (7003293563); Nicogossian, Arnauld E. (7003802071); Schneider, Victor S. (7202116360); Williams, Richard S. (55495836200)</t>
  </si>
  <si>
    <t>7003293563; 7003802071; 7202116360; 55495836200</t>
  </si>
  <si>
    <t>Commercial space tourism and space as a biomedical laboratory</t>
  </si>
  <si>
    <t>Space Physiology and Medicine: From Evidence to Practice, Fourth Edition</t>
  </si>
  <si>
    <t>10.1007/978-1-4939-6652-3_19</t>
  </si>
  <si>
    <t>https://www.scopus.com/inward/record.uri?eid=2-s2.0-85028876759&amp;doi=10.1007%2f978-1-4939-6652-3_19&amp;partnerID=40&amp;md5=8142afd66ba8293fdbeade5bdab4cf12</t>
  </si>
  <si>
    <t>2-s2.0-85028876759</t>
  </si>
  <si>
    <t>Mercier D.; Cossart É.</t>
  </si>
  <si>
    <t>Mercier, Denis (7006264608); Cossart, Étienne (8283769300)</t>
  </si>
  <si>
    <t>7006264608; 8283769300</t>
  </si>
  <si>
    <t>Spatial impacts of climate change on periglacial environments</t>
  </si>
  <si>
    <t>Spatial Impacts of Climate Change</t>
  </si>
  <si>
    <t>10.1002/9781119817925.ch6</t>
  </si>
  <si>
    <t>https://www.scopus.com/inward/record.uri?eid=2-s2.0-85147902241&amp;doi=10.1002%2f9781119817925.ch6&amp;partnerID=40&amp;md5=404db8611d57608e7c1cd5741fd5880c</t>
  </si>
  <si>
    <t>2-s2.0-85147902241</t>
  </si>
  <si>
    <t>Ayodele O.R.; Odumah G.</t>
  </si>
  <si>
    <t>Ayodele, Oluropo R. (6602227789); Odumah, Godwin (57196415795)</t>
  </si>
  <si>
    <t>6602227789; 57196415795</t>
  </si>
  <si>
    <t>Economics of a 1,000-B/D in-situ bitumen project in Southwestern Nigeria</t>
  </si>
  <si>
    <t>SPE Economics and Management</t>
  </si>
  <si>
    <t>10.2118/189437-pa</t>
  </si>
  <si>
    <t>https://www.scopus.com/inward/record.uri?eid=2-s2.0-85032912926&amp;doi=10.2118%2f189437-pa&amp;partnerID=40&amp;md5=fc65526e2bfdf6d390e7bea4a374767a</t>
  </si>
  <si>
    <t>2-s2.0-85032912926</t>
  </si>
  <si>
    <t>Nicula V.; Spânu S.</t>
  </si>
  <si>
    <t>Nicula, Virgil (35095398200); Spânu, Simona (57196247202)</t>
  </si>
  <si>
    <t>35095398200; 57196247202</t>
  </si>
  <si>
    <t>Balneary Tourism, a Chance for Sustainable Regional Development</t>
  </si>
  <si>
    <t>Springer Proceedings in Business and Economics</t>
  </si>
  <si>
    <t>10.1007/978-3-030-50676-6_16</t>
  </si>
  <si>
    <t>https://www.scopus.com/inward/record.uri?eid=2-s2.0-85125236534&amp;doi=10.1007%2f978-3-030-50676-6_16&amp;partnerID=40&amp;md5=68818a0d892780a459f34a84f651c295</t>
  </si>
  <si>
    <t>2-s2.0-85125236534</t>
  </si>
  <si>
    <t>Poulaki I.</t>
  </si>
  <si>
    <t>Poulaki, Ioulia (55962349400)</t>
  </si>
  <si>
    <t>Gravity Models in Tourism: The “Crises” Factor</t>
  </si>
  <si>
    <t>10.1007/978-3-031-29426-6_12</t>
  </si>
  <si>
    <t>https://www.scopus.com/inward/record.uri?eid=2-s2.0-85173940023&amp;doi=10.1007%2f978-3-031-29426-6_12&amp;partnerID=40&amp;md5=f98b22958d75e0bb6e9106dae2a6550b</t>
  </si>
  <si>
    <t>2-s2.0-85173940023</t>
  </si>
  <si>
    <t>Griffiths School of Management and IT Annual Conference on Business, Entrepreneurship and Ethics, GSMAC 2019</t>
  </si>
  <si>
    <t>https://www.scopus.com/inward/record.uri?eid=2-s2.0-85126235470&amp;partnerID=40&amp;md5=9420f9968ef3ad6971f11ab32e570505</t>
  </si>
  <si>
    <t>2-s2.0-85126235470</t>
  </si>
  <si>
    <t>Falocci N.; Paniccià R.; Stanghellini E.</t>
  </si>
  <si>
    <t>Falocci, Nicola (8979486900); Paniccià, Renato (55795804900); Stanghellini, Elena (6602823953)</t>
  </si>
  <si>
    <t>8979486900; 55795804900; 6602823953</t>
  </si>
  <si>
    <t>Regression modelling of the flows in an input-output table with accounting constraints</t>
  </si>
  <si>
    <t>Statistical Papers</t>
  </si>
  <si>
    <t>10.1007/s00362-007-0061-8</t>
  </si>
  <si>
    <t>https://www.scopus.com/inward/record.uri?eid=2-s2.0-58549097674&amp;doi=10.1007%2fs00362-007-0061-8&amp;partnerID=40&amp;md5=5ff45061142292ef2becf8767a92da81</t>
  </si>
  <si>
    <t>2-s2.0-58549097674</t>
  </si>
  <si>
    <t>Jacobs S.</t>
  </si>
  <si>
    <t>Jacobs, Steven (37106002700)</t>
  </si>
  <si>
    <t>Strange exhibitions: Museums and art galleries in film</t>
  </si>
  <si>
    <t>Strange Spaces: Explorations into Mediated Obscurity</t>
  </si>
  <si>
    <t>https://www.scopus.com/inward/record.uri?eid=2-s2.0-84882323184&amp;partnerID=40&amp;md5=9a4f04ae4dd54c11883b8cd68597c6f4</t>
  </si>
  <si>
    <t>2-s2.0-84882323184</t>
  </si>
  <si>
    <t>Kercsmar C.; O'Neill C.</t>
  </si>
  <si>
    <t>Kercsmar, Christopher (55879528900); O'Neill, Christina (57198127764)</t>
  </si>
  <si>
    <t>55879528900; 57198127764</t>
  </si>
  <si>
    <t>Displacement monitoring of marble panels under the application of gravity, in-plane lateral and out-of-plane lateral loads</t>
  </si>
  <si>
    <t>Structures Congress 2013: Bridging Your Passion with Your Profession - Proceedings of the 2013 Structures Congress</t>
  </si>
  <si>
    <t>10.1061/9780784412848.169</t>
  </si>
  <si>
    <t>https://www.scopus.com/inward/record.uri?eid=2-s2.0-84885396695&amp;doi=10.1061%2f9780784412848.169&amp;partnerID=40&amp;md5=f1eba0ccaaff6ff18a60f560ae6fdc7a</t>
  </si>
  <si>
    <t>2-s2.0-84885396695</t>
  </si>
  <si>
    <t>Shah I.A.; Nengroo T.A.; Haq I.U.</t>
  </si>
  <si>
    <t>Shah, Imtiyaz Ahmad (55375354800); Nengroo, Tariq Ahad (57810099400); Haq, Imtiyaz Ul (57564415000)</t>
  </si>
  <si>
    <t>55375354800; 57810099400; 57564415000</t>
  </si>
  <si>
    <t>Determinants of International Tourism Demand in India: An Augmented Gravity Model Approach</t>
  </si>
  <si>
    <t>Studia Universitatis Vasile Goldis Arad, Economics Series</t>
  </si>
  <si>
    <t>10.2478/sues-2022-0014</t>
  </si>
  <si>
    <t>https://www.scopus.com/inward/record.uri?eid=2-s2.0-85134532828&amp;doi=10.2478%2fsues-2022-0014&amp;partnerID=40&amp;md5=2690f8932b167832cd764553ec4d9c56</t>
  </si>
  <si>
    <t>2-s2.0-85134532828</t>
  </si>
  <si>
    <t>Chen H.; Lu C.; Wang Y.; An L.</t>
  </si>
  <si>
    <t>Chen, Hang (38163236600); Lu, Cong (57766985200); Wang, Yuewei (37074982800); An, Lidan (55881325500)</t>
  </si>
  <si>
    <t>38163236600; 57766985200; 37074982800; 55881325500</t>
  </si>
  <si>
    <t>Competitiveness Evaluation and Cooperation Network Analysis of Tourist Attractions from the Perspective of Co-Opetition in the Yangtze River Delta (YRD)</t>
  </si>
  <si>
    <t>Sustainability (Switzerland)</t>
  </si>
  <si>
    <t>10.3390/su16020834</t>
  </si>
  <si>
    <t>https://www.scopus.com/inward/record.uri?eid=2-s2.0-85183093873&amp;doi=10.3390%2fsu16020834&amp;partnerID=40&amp;md5=0159f96f43e0e932e7d7164ff60866a4</t>
  </si>
  <si>
    <t>2-s2.0-85183093873</t>
  </si>
  <si>
    <t>Chen M.; Wang J.; Sun J.; Ye F.; Zhang H.</t>
  </si>
  <si>
    <t>Chen, Mo (57393018300); Wang, Jiacan (58296565600); Sun, Jing (58489616500); Ye, Fang (57205165675); Zhang, Hongyan (58448339400)</t>
  </si>
  <si>
    <t>57393018300; 58296565600; 58489616500; 57205165675; 58448339400</t>
  </si>
  <si>
    <t>Spatio-Temporal Distribution Characteristics of Intangible Cultural Heritage and Tourism Response in the Beijing–Hangzhou Grand Canal Basin in China</t>
  </si>
  <si>
    <t>10.3390/su151310348</t>
  </si>
  <si>
    <t>https://www.scopus.com/inward/record.uri?eid=2-s2.0-85164943168&amp;doi=10.3390%2fsu151310348&amp;partnerID=40&amp;md5=94eb3ad8ff0042f0e9856e51369f8c92</t>
  </si>
  <si>
    <t>2-s2.0-85164943168</t>
  </si>
  <si>
    <t>Choe Y.; Kim H.; Joun H.-J.</t>
  </si>
  <si>
    <t>Choe, Yeongbae (56404101500); Kim, Hany (57211829887); Joun, Hyo-Jae (57210450261)</t>
  </si>
  <si>
    <t>56404101500; 57211829887; 57210450261</t>
  </si>
  <si>
    <t>Differences in tourist behaviors across the seasons: The case of Northern Indiana</t>
  </si>
  <si>
    <t>10.3390/su11164351</t>
  </si>
  <si>
    <t>https://www.scopus.com/inward/record.uri?eid=2-s2.0-85070738381&amp;doi=10.3390%2fsu11164351&amp;partnerID=40&amp;md5=8c4f3ed439a614132d47556521031324</t>
  </si>
  <si>
    <t>2-s2.0-85070738381</t>
  </si>
  <si>
    <t>Hao M.; Li G.; Chen C.; Liang L.</t>
  </si>
  <si>
    <t>Hao, Ming (57961390500); Li, Gang (57960529000); Chen, Changyou (57961390600); Liang, Liutao (55418648100)</t>
  </si>
  <si>
    <t>57961390500; 57960529000; 57961390600; 55418648100</t>
  </si>
  <si>
    <t>A Coupling Relationship between New-Type Urbanization and Tourism Resource Conversion Efficiency: A Case Study of the Yellow River Basin in China</t>
  </si>
  <si>
    <t>10.3390/su142114007</t>
  </si>
  <si>
    <t>https://www.scopus.com/inward/record.uri?eid=2-s2.0-85141659734&amp;doi=10.3390%2fsu142114007&amp;partnerID=40&amp;md5=5c9b553e00a2bee34ae7da5db4736195</t>
  </si>
  <si>
    <t>2-s2.0-85141659734</t>
  </si>
  <si>
    <t>Hu J.; Jiao S.; Xia H.; Qian Q.</t>
  </si>
  <si>
    <t>Hu, Jiaqi (57222567679); Jiao, Sheng (7102094658); Xia, Huiwen (57212575030); Qian, Qiaoyun (58554932800)</t>
  </si>
  <si>
    <t>57222567679; 7102094658; 57212575030; 58554932800</t>
  </si>
  <si>
    <t>Construction of Rural Multifunctional Landscape Corridor Based on MSPA and MCR Model—Taking Liukeng Cultural and Ecological Tourism Area as an Example</t>
  </si>
  <si>
    <t>10.3390/su151612262</t>
  </si>
  <si>
    <t>https://www.scopus.com/inward/record.uri?eid=2-s2.0-85169105979&amp;doi=10.3390%2fsu151612262&amp;partnerID=40&amp;md5=740e564f7c511bb455e00083d1c29f82</t>
  </si>
  <si>
    <t>2-s2.0-85169105979</t>
  </si>
  <si>
    <t>Hu W.; Zhang J.; Zhou L.; Sun Y.</t>
  </si>
  <si>
    <t>Hu, Wenjie (58199744400); Zhang, Jinhe (7601343667); Zhou, Leying (57947562300); Sun, Yi (57699753200)</t>
  </si>
  <si>
    <t>58199744400; 7601343667; 57947562300; 57699753200</t>
  </si>
  <si>
    <t>The Spatiotemporal Patterns and Driving Factors of Culture and Tourism Listed Companies in China</t>
  </si>
  <si>
    <t>10.3390/su15097686</t>
  </si>
  <si>
    <t>https://www.scopus.com/inward/record.uri?eid=2-s2.0-85159297171&amp;doi=10.3390%2fsu15097686&amp;partnerID=40&amp;md5=5c4520a3d04bd7d64c5e4caa59ddaa75</t>
  </si>
  <si>
    <t>2-s2.0-85159297171</t>
  </si>
  <si>
    <t>Kourtit K.; Nijkamp P.; Romão J.</t>
  </si>
  <si>
    <t>Kourtit, Karima (25930439500); Nijkamp, Peter (7102958684); Romão, João (55365378500)</t>
  </si>
  <si>
    <t>25930439500; 7102958684; 55365378500</t>
  </si>
  <si>
    <t>Cultural heritage appraisal by visitors to global cities: The use of social media and urban analytics in urban buzz research</t>
  </si>
  <si>
    <t>10.3390/su10023470</t>
  </si>
  <si>
    <t>https://www.scopus.com/inward/record.uri?eid=2-s2.0-85069760142&amp;doi=10.3390%2fsu10023470&amp;partnerID=40&amp;md5=4cbf3b819eabc1481e67c756a05c728c</t>
  </si>
  <si>
    <t>2-s2.0-85069760142</t>
  </si>
  <si>
    <t>Li J.; Guo X.; Lu R.; Zhang Y.</t>
  </si>
  <si>
    <t>Li, Juchen (57190405128); Guo, Xiucheng (25651339300); Lu, Ruiying (57219051937); Zhang, Yibang (57204917470)</t>
  </si>
  <si>
    <t>57190405128; 25651339300; 57219051937; 57204917470</t>
  </si>
  <si>
    <t>Analysing Urban Tourism Accessibility Using Real-Time Travel Data: A Case Study in Nanjing, China</t>
  </si>
  <si>
    <t>10.3390/su141912122</t>
  </si>
  <si>
    <t>https://www.scopus.com/inward/record.uri?eid=2-s2.0-85139941071&amp;doi=10.3390%2fsu141912122&amp;partnerID=40&amp;md5=aa3d74cfbb23ee6c2c40ca655394e56f</t>
  </si>
  <si>
    <t>2-s2.0-85139941071</t>
  </si>
  <si>
    <t>Pan Y.; An Z.; Li J.; Weng G.; Li L.</t>
  </si>
  <si>
    <t>Pan, Yue (57216933551); An, Zhaolong (58137091600); Li, Jianpu (57221875665); Weng, Gangmin (56038193400); Li, Lingyan (56655043100)</t>
  </si>
  <si>
    <t>57216933551; 58137091600; 57221875665; 56038193400; 56655043100</t>
  </si>
  <si>
    <t>Spatiotemporal Characteristics and Determinants of Tourism Cooperation Network in Beijing–Tianjin–Hebei Region</t>
  </si>
  <si>
    <t>10.3390/su15054355</t>
  </si>
  <si>
    <t>https://www.scopus.com/inward/record.uri?eid=2-s2.0-85149865681&amp;doi=10.3390%2fsu15054355&amp;partnerID=40&amp;md5=71d27180b876e374f63a22d51c4aed86</t>
  </si>
  <si>
    <t>2-s2.0-85149865681</t>
  </si>
  <si>
    <t>Qin L.; Fang E.S.; Lai I.K.W.; Abbas S.K.</t>
  </si>
  <si>
    <t>Qin, Lei (58345706800); Fang, Eddy S. (55811125400); Lai, Ivan Ka Wai (26655755300); Abbas, Syed Kanwar (37664318300)</t>
  </si>
  <si>
    <t>58345706800; 55811125400; 26655755300; 37664318300</t>
  </si>
  <si>
    <t>Cultural Distance and Chinese Outbound Tourism: Exploring the Moderating Effect of Geographical Distance</t>
  </si>
  <si>
    <t>10.3390/su15021689</t>
  </si>
  <si>
    <t>https://www.scopus.com/inward/record.uri?eid=2-s2.0-85159664019&amp;doi=10.3390%2fsu15021689&amp;partnerID=40&amp;md5=4a5dfb4ea7c38bbf7ed205e03c248922</t>
  </si>
  <si>
    <t>2-s2.0-85159664019</t>
  </si>
  <si>
    <t>Qin X.; Wang Y.; Liu L.; Yuan W.; Li J.</t>
  </si>
  <si>
    <t>Qin, Xiaonan (56297693800); Wang, Yue (58611224800); Liu, Lina (57216159647); Yuan, Wenhua (57210946482); Li, Jianchun (57200965532)</t>
  </si>
  <si>
    <t>56297693800; 58611224800; 57216159647; 57210946482; 57200965532</t>
  </si>
  <si>
    <t>Research on the Development Potential of China’s Pro-Poor Tourism Industry Based on Geographical Nature Evaluation</t>
  </si>
  <si>
    <t>10.3390/su142215069</t>
  </si>
  <si>
    <t>https://www.scopus.com/inward/record.uri?eid=2-s2.0-85142752714&amp;doi=10.3390%2fsu142215069&amp;partnerID=40&amp;md5=08daeee9addf628725f8a94a4e7d863b</t>
  </si>
  <si>
    <t>2-s2.0-85142752714</t>
  </si>
  <si>
    <t>Sun Q.; Guo L.; Gao G.; Hu X.; Song T.; Huang J.</t>
  </si>
  <si>
    <t>Sun, Qian (55321641500); Guo, Liang (59238520100); Gao, Guizhen (35232893700); Hu, Xinyue (57957371400); Song, Tingwei (57956928500); Huang, Jinyi (59238065200)</t>
  </si>
  <si>
    <t>55321641500; 59238520100; 35232893700; 57957371400; 57956928500; 59238065200</t>
  </si>
  <si>
    <t>Spatiotemporal Dynamic Changes and Prediction of Wild Fruit Forests in Emin County, Xinjiang, China, Based on Random Forest and PLUS Model</t>
  </si>
  <si>
    <t>10.3390/su16145925</t>
  </si>
  <si>
    <t>https://www.scopus.com/inward/record.uri?eid=2-s2.0-85199878093&amp;doi=10.3390%2fsu16145925&amp;partnerID=40&amp;md5=4301e3450b15f26c064d45ef3be13307</t>
  </si>
  <si>
    <t>2-s2.0-85199878093</t>
  </si>
  <si>
    <t>Tai P.; Cheng M.; Jiang F.; Li Z.; Wang Q.</t>
  </si>
  <si>
    <t>Tai, Pengfei (57211331776); Cheng, Maoteng (58496725800); Jiang, Fugao (56188333300); Li, Zhaojin (56189280800); Wang, Qiaojing (59489678700)</t>
  </si>
  <si>
    <t>57211331776; 58496725800; 56188333300; 56189280800; 59489678700</t>
  </si>
  <si>
    <t>Evolution of Spatial Patterns and Influencing Factors of Sports Tourism Development in Yangtze River Delta Region</t>
  </si>
  <si>
    <t>10.3390/su162411028</t>
  </si>
  <si>
    <t>https://www.scopus.com/inward/record.uri?eid=2-s2.0-85213247777&amp;doi=10.3390%2fsu162411028&amp;partnerID=40&amp;md5=c447885f4337616624501b0241743332</t>
  </si>
  <si>
    <t>2-s2.0-85213247777</t>
  </si>
  <si>
    <t>Tang B.; Luo H.</t>
  </si>
  <si>
    <t>Tang, Bo (57795438700); Luo, Hao (57874032700)</t>
  </si>
  <si>
    <t>57795438700; 57874032700</t>
  </si>
  <si>
    <t>Mismatch and Coupling: A Study on the Synergistic Development of Tourism-Economy-Ecology Systems in the Pearl River Delta</t>
  </si>
  <si>
    <t>10.3390/su14148518</t>
  </si>
  <si>
    <t>https://www.scopus.com/inward/record.uri?eid=2-s2.0-85137222425&amp;doi=10.3390%2fsu14148518&amp;partnerID=40&amp;md5=66d0dc19dfc7a117e564abe85dcdeb9b</t>
  </si>
  <si>
    <t>2-s2.0-85137222425</t>
  </si>
  <si>
    <t>Wang J.; Chen X.; Zhang Z.</t>
  </si>
  <si>
    <t>Wang, Jie (57876257200); Chen, Xi (57202218558); Zhang, Zhaohui (58534204900)</t>
  </si>
  <si>
    <t>57876257200; 57202218558; 58534204900</t>
  </si>
  <si>
    <t>Spatial Differences and Drivers of Tourism Ecological Security in China’s Border Areas</t>
  </si>
  <si>
    <t>10.3390/su151511811</t>
  </si>
  <si>
    <t>https://www.scopus.com/inward/record.uri?eid=2-s2.0-85167786699&amp;doi=10.3390%2fsu151511811&amp;partnerID=40&amp;md5=ff14f642eb96315e8bbf217087d230cb</t>
  </si>
  <si>
    <t>2-s2.0-85167786699</t>
  </si>
  <si>
    <t>Wang K.; Wang M.; Gan C.; Chen Q.; Voda M.</t>
  </si>
  <si>
    <t>Wang, Kai (55547129802); Wang, Menghan (57211073396); Gan, Chang (57208076060); Chen, Qinchang (57204193301); Voda, Mihai (55839672900)</t>
  </si>
  <si>
    <t>55547129802; 57211073396; 57208076060; 57204193301; 55839672900</t>
  </si>
  <si>
    <t>Tourism economic network structural characteristics of national parks in the central region of China</t>
  </si>
  <si>
    <t>10.3390/su13094805</t>
  </si>
  <si>
    <t>https://www.scopus.com/inward/record.uri?eid=2-s2.0-85105451504&amp;doi=10.3390%2fsu13094805&amp;partnerID=40&amp;md5=ce7127852493410b8a51d37965c5c604</t>
  </si>
  <si>
    <t>2-s2.0-85105451504</t>
  </si>
  <si>
    <t>Wang R.; Xia B.; Dong S.; Li Y.; Li Z.; Ba D.; Zhang W.</t>
  </si>
  <si>
    <t>Wang, Rui (59444689600); Xia, Bing (57201992767); Dong, Suocheng (8241976600); Li, Yu (57198819942); Li, Zehong (57206872180); Ba, Duoxun (57201352691); Zhang, Wenbiao (57203631033)</t>
  </si>
  <si>
    <t>59444689600; 57201992767; 8241976600; 57198819942; 57206872180; 57201352691; 57203631033</t>
  </si>
  <si>
    <t>Research on the spatial differentiation and driving forces of eco-efficiency of regional tourism in China</t>
  </si>
  <si>
    <t>10.3390/su13010280</t>
  </si>
  <si>
    <t>https://www.scopus.com/inward/record.uri?eid=2-s2.0-85098873408&amp;doi=10.3390%2fsu13010280&amp;partnerID=40&amp;md5=4252ec666ff14a6e6d8f42feb1058961</t>
  </si>
  <si>
    <t>2-s2.0-85098873408</t>
  </si>
  <si>
    <t>Xu B.; Dong D.</t>
  </si>
  <si>
    <t>Xu, Boyang (57215575431); Dong, Daxin (57207990617)</t>
  </si>
  <si>
    <t>57215575431; 57207990617</t>
  </si>
  <si>
    <t>Evaluating the impact of air pollution on china's inbound tourism: A gravity model approach</t>
  </si>
  <si>
    <t>10.3390/su12041456</t>
  </si>
  <si>
    <t>https://www.scopus.com/inward/record.uri?eid=2-s2.0-85081233360&amp;doi=10.3390%2fsu12041456&amp;partnerID=40&amp;md5=f479d21140c6fc94d9199a1f3c6091c7</t>
  </si>
  <si>
    <t>2-s2.0-85081233360</t>
  </si>
  <si>
    <t>Yang L.; Wu D.; Cao S.; Zhang W.; Zheng Z.; Liu L.</t>
  </si>
  <si>
    <t>Yang, Lu (57703316000); Wu, Dan (57198896787); Cao, Shuhui (57703774200); Zhang, Weinan (57970424900); Zheng, Zebin (58249783400); Liu, Li (57209572740)</t>
  </si>
  <si>
    <t>57703316000; 57198896787; 57703774200; 57970424900; 58249783400; 57209572740</t>
  </si>
  <si>
    <t>Transportation Interrelation Embedded in Regional Development: The Characteristics and Drivers of Road Transportation Interrelation in Guangdong Province, China</t>
  </si>
  <si>
    <t>10.3390/su14105925</t>
  </si>
  <si>
    <t>https://www.scopus.com/inward/record.uri?eid=2-s2.0-85130539419&amp;doi=10.3390%2fsu14105925&amp;partnerID=40&amp;md5=f52e21c0505614e5ed62a31110ce1bdf</t>
  </si>
  <si>
    <t>2-s2.0-85130539419</t>
  </si>
  <si>
    <t>Zhang J.; Ba D.; Dong S.; Xia B.</t>
  </si>
  <si>
    <t>Zhang, Jing (57896557200); Ba, Duoxun (57201352691); Dong, Suocheng (8241976600); Xia, Bing (57201992767)</t>
  </si>
  <si>
    <t>57896557200; 57201352691; 8241976600; 57201992767</t>
  </si>
  <si>
    <t>Impact of Urbanization on Eco-Efficiency of Tourism Destinations</t>
  </si>
  <si>
    <t>10.3390/su151410929</t>
  </si>
  <si>
    <t>https://www.scopus.com/inward/record.uri?eid=2-s2.0-85166195983&amp;doi=10.3390%2fsu151410929&amp;partnerID=40&amp;md5=287c818b6ea229746412221eedcf2cb6</t>
  </si>
  <si>
    <t>2-s2.0-85166195983</t>
  </si>
  <si>
    <t>Zhu B.; Wang C.-C.; Hung C.-Y.</t>
  </si>
  <si>
    <t>Zhu, Bo (57315586000); Wang, Chien-Chih (7501646854); Hung, Che-Yu (57218290135)</t>
  </si>
  <si>
    <t>57315586000; 7501646854; 57218290135</t>
  </si>
  <si>
    <t>Environmental, Geographical, and Economic Impacts of Inbound Tourism in China: A Mixed-Effects Gravity Model Approach</t>
  </si>
  <si>
    <t>10.3390/su16156671</t>
  </si>
  <si>
    <t>https://www.scopus.com/inward/record.uri?eid=2-s2.0-85200726177&amp;doi=10.3390%2fsu16156671&amp;partnerID=40&amp;md5=9e934532046b8c0e21d44add6a3f2f68</t>
  </si>
  <si>
    <t>2-s2.0-85200726177</t>
  </si>
  <si>
    <t>Zou Q.; Sun J.; Luo J.; Cui J.; Kong X.</t>
  </si>
  <si>
    <t>Zou, Qiuyu (58627210700); Sun, Jianwei (57211558152); Luo, Jing (56300663200); Cui, Jiaxing (55874644700); Kong, Xuesong (36571885300)</t>
  </si>
  <si>
    <t>58627210700; 57211558152; 56300663200; 55874644700; 36571885300</t>
  </si>
  <si>
    <t>Spatial Patterns of Key Villages and Towns of Rural Tourism in China and Their Influencing Factors</t>
  </si>
  <si>
    <t>10.3390/su151813330</t>
  </si>
  <si>
    <t>https://www.scopus.com/inward/record.uri?eid=2-s2.0-85172865787&amp;doi=10.3390%2fsu151813330&amp;partnerID=40&amp;md5=e8bd0e301fced018535608b672653865</t>
  </si>
  <si>
    <t>2-s2.0-85172865787</t>
  </si>
  <si>
    <t>Gan J.; Zhang D.; Guo F.; Dong E.</t>
  </si>
  <si>
    <t>Gan, Jing (58938755600); Zhang, Dongxue (58937696100); Guo, Fuyou (57188624824); Dong, Erwei (55414536700)</t>
  </si>
  <si>
    <t>58938755600; 58937696100; 57188624824; 55414536700</t>
  </si>
  <si>
    <t>Intensity of Tourism Economic Linkages in Chinese Land Border Cities and Network Characterization</t>
  </si>
  <si>
    <t xml:space="preserve">Sustainability (Switzerland) </t>
  </si>
  <si>
    <t>10.3390/su16051843</t>
  </si>
  <si>
    <t>https://www.scopus.com/inward/record.uri?eid=2-s2.0-85187643902&amp;doi=10.3390%2fsu16051843&amp;partnerID=40&amp;md5=65b658d890f4c4a98ccff1cfb7f3f7ae</t>
  </si>
  <si>
    <t>2-s2.0-85187643902</t>
  </si>
  <si>
    <t>Goswami G.G.; Chowdhury M.H.; Rahman M.; Atique M.A.</t>
  </si>
  <si>
    <t>Goswami, Gour Gobinda (7005721897); Chowdhury, Meshbaul Hassan (57449125300); Rahman, Mostafizur (57211597102); Atique, Mahnaz Aftabi (57222620231)</t>
  </si>
  <si>
    <t>7005721897; 57449125300; 57211597102; 57222620231</t>
  </si>
  <si>
    <t>Australian Tourist Flow: A Gravity Model Approach</t>
  </si>
  <si>
    <t>10.3390/su16135740</t>
  </si>
  <si>
    <t>https://www.scopus.com/inward/record.uri?eid=2-s2.0-85198413047&amp;doi=10.3390%2fsu16135740&amp;partnerID=40&amp;md5=ee1fdd1f8b966ab227e9199acd436511</t>
  </si>
  <si>
    <t>2-s2.0-85198413047</t>
  </si>
  <si>
    <t>Ren H.; Zhang L.; Zhang J.; Wang X.; Wang Q.</t>
  </si>
  <si>
    <t>Ren, Hongguo (57223046221); Zhang, Lei (56452630900); Zhang, Jing (57214358768); Wang, Xue (57218163013); Wang, Qingqin (55536657400)</t>
  </si>
  <si>
    <t>57223046221; 56452630900; 57214358768; 57218163013; 55536657400</t>
  </si>
  <si>
    <t>Exploration of a Rural Street Environment: The Difference in Sight between Villagers and Tourists</t>
  </si>
  <si>
    <t>10.3390/su16072653</t>
  </si>
  <si>
    <t>https://www.scopus.com/inward/record.uri?eid=2-s2.0-85190304093&amp;doi=10.3390%2fsu16072653&amp;partnerID=40&amp;md5=0482115c585d211db54496f907f37f22</t>
  </si>
  <si>
    <t>2-s2.0-85190304093</t>
  </si>
  <si>
    <t>Song H.; Zeng W.; Chen J.M.; Ma E.</t>
  </si>
  <si>
    <t>Song, Huimin (57220991053); Zeng, Wei (57943861400); Chen, Jamie M. (57191095152); Ma, Emily (36806660300)</t>
  </si>
  <si>
    <t>57220991053; 57943861400; 57191095152; 36806660300</t>
  </si>
  <si>
    <t>COVID-19 Impacts on the Spatial Network of City Tourism in Fujian Province, China</t>
  </si>
  <si>
    <t>10.3390/su16083162</t>
  </si>
  <si>
    <t>https://www.scopus.com/inward/record.uri?eid=2-s2.0-85191491956&amp;doi=10.3390%2fsu16083162&amp;partnerID=40&amp;md5=5ac2fb91a6bf12cb89f2d26b152bcea9</t>
  </si>
  <si>
    <t>2-s2.0-85191491956</t>
  </si>
  <si>
    <t>Xi Y.; Liu T.; Chen S.; Zhang X.; Qu S.; Dong Y.</t>
  </si>
  <si>
    <t>Xi, Yueting (59003512200); Liu, Taili (59002626000); Chen, Siliang (57194330625); Zhang, Xinru (59003252900); Qu, Suyi (59002752400); Dong, Yue (57813013400)</t>
  </si>
  <si>
    <t>59003512200; 59002626000; 57194330625; 59003252900; 59002752400; 57813013400</t>
  </si>
  <si>
    <t>A Study of the Spatial–Temporal Development Patterns and Influencing Factors of China’s National Archaeological Site Parks</t>
  </si>
  <si>
    <t>10.3390/su16083397</t>
  </si>
  <si>
    <t>https://www.scopus.com/inward/record.uri?eid=2-s2.0-85191402572&amp;doi=10.3390%2fsu16083397&amp;partnerID=40&amp;md5=c79032944333a5c7a1b310a235d2165f</t>
  </si>
  <si>
    <t>2-s2.0-85191402572</t>
  </si>
  <si>
    <t>Zhang Q.; Liu C.; Lu L.; Hu J.; Chen Y.</t>
  </si>
  <si>
    <t>Zhang, Qinghua (59171184700); Liu, Chuansheng (56308708800); Lu, Linlin (24279885600); Hu, Jangling (59171184800); Chen, Yu (56200332700)</t>
  </si>
  <si>
    <t>59171184700; 56308708800; 24279885600; 59171184800; 56200332700</t>
  </si>
  <si>
    <t>Sustainability Assessment of Urban Public Transport for SDG Using Geospatial Big Data</t>
  </si>
  <si>
    <t>10.3390/su16114542</t>
  </si>
  <si>
    <t>https://www.scopus.com/inward/record.uri?eid=2-s2.0-85195874459&amp;doi=10.3390%2fsu16114542&amp;partnerID=40&amp;md5=cc4562b6d57d7874447a4ab383e73869</t>
  </si>
  <si>
    <t>2-s2.0-85195874459</t>
  </si>
  <si>
    <t>Zhao X.; Sun H.; Hu J.; Xie Y.; Zhao P.; Sui Q.</t>
  </si>
  <si>
    <t>Zhao, Xinyu (58934024900); Sun, Haojie (56125886800); Hu, Jiangling (36548169000); Xie, Yuxin (58933707700); Zhao, Pengkai (58934025000); Sui, Qingqing (58933814800)</t>
  </si>
  <si>
    <t>58934024900; 56125886800; 36548169000; 58933707700; 58934025000; 58933814800</t>
  </si>
  <si>
    <t>Study on the Coordinated Development of Tourism Industry–Regional Economy–Ecological Environment in the Yili River Valley</t>
  </si>
  <si>
    <t>10.3390/su16051815</t>
  </si>
  <si>
    <t>https://www.scopus.com/inward/record.uri?eid=2-s2.0-85187502751&amp;doi=10.3390%2fsu16051815&amp;partnerID=40&amp;md5=1c917c9211f0b0105490d6eb9203700f</t>
  </si>
  <si>
    <t>2-s2.0-85187502751</t>
  </si>
  <si>
    <t>Wang Y.; An L.; Chen H.</t>
  </si>
  <si>
    <t>Wang, Yuewei (37074982800); An, Lidan (55881325500); Chen, Hang (38163236600)</t>
  </si>
  <si>
    <t>37074982800; 55881325500; 38163236600</t>
  </si>
  <si>
    <t>Spillover effects and influencing factors of tourism eco-efficiency for sustainable development: A case study of cities in the Yangtze River Delta</t>
  </si>
  <si>
    <t>Sustainable Development</t>
  </si>
  <si>
    <t>10.1002/sd.2969</t>
  </si>
  <si>
    <t>https://www.scopus.com/inward/record.uri?eid=2-s2.0-85192070495&amp;doi=10.1002%2fsd.2969&amp;partnerID=40&amp;md5=be5d9516111ac9e08d6072f20a32c3b5</t>
  </si>
  <si>
    <t>2-s2.0-85192070495</t>
  </si>
  <si>
    <t>Dutta N.; Ghosh A.; Debnath B.; Ghosh S.K.</t>
  </si>
  <si>
    <t>Dutta, Neelanjan (57221315972); Ghosh, Anaya (57201095900); Debnath, Biswajit (56566345500); Ghosh, Sadhan Kumar (56565834500)</t>
  </si>
  <si>
    <t>57221315972; 57201095900; 56566345500; 56565834500</t>
  </si>
  <si>
    <t>Climate Change in Hilly Regions of India: Issues and Challenges in Waste Management</t>
  </si>
  <si>
    <t>Sustainable Waste Management: Policies and Case Studies: 7th IconSWM—ISWMAW 2017: Volume 1</t>
  </si>
  <si>
    <t>10.1007/978-981-13-7071-7_59</t>
  </si>
  <si>
    <t>https://www.scopus.com/inward/record.uri?eid=2-s2.0-85123309831&amp;doi=10.1007%2f978-981-13-7071-7_59&amp;partnerID=40&amp;md5=c7995cc7f07285e38724aa309c3ee686</t>
  </si>
  <si>
    <t>2-s2.0-85123309831</t>
  </si>
  <si>
    <t>Ramazanova M.; Ibragimov K.; Saspugayeva G.</t>
  </si>
  <si>
    <t>Ramazanova, Makhabbat (57209245111); Ibragimov, Khusen (57223048310); Saspugayeva, Gulnur (56982937000)</t>
  </si>
  <si>
    <t>57209245111; 57223048310; 56982937000</t>
  </si>
  <si>
    <t>Analysis of the Use of Digital Technologies in the Tourism Sector: Evidence from Kazakhstan</t>
  </si>
  <si>
    <t>Technology Application in Tourism in Asia: Innovations, Theories and Practices</t>
  </si>
  <si>
    <t>10.1007/978-981-16-5461-9_10</t>
  </si>
  <si>
    <t>https://www.scopus.com/inward/record.uri?eid=2-s2.0-85159011551&amp;doi=10.1007%2f978-981-16-5461-9_10&amp;partnerID=40&amp;md5=1bf0e8e35ccb6e92765e23feb1c90951</t>
  </si>
  <si>
    <t>2-s2.0-85159011551</t>
  </si>
  <si>
    <t>Michalkó G.; Ilyés N.; Kondor A.; Prorok M.; Szabó T.</t>
  </si>
  <si>
    <t>Michalkó, Gábor (24166977600); Ilyés, Noémi (57888541200); Kondor, Attila (24166856000); Prorok, Márton (58550075600); Szabó, Tünde (56379709500)</t>
  </si>
  <si>
    <t>24166977600; 57888541200; 24166856000; 58550075600; 56379709500</t>
  </si>
  <si>
    <t>Beyond the agglomeration – Using mobile phone cellular data to study Budapest’s satellite tourism, 2019; [Az agglomeráción is túl – Mobiltelefonos cellaadatok felhasználása Budapest szatellit turizmusának tanulmányozásában, 2019]</t>
  </si>
  <si>
    <t>Teruleti Statisztika</t>
  </si>
  <si>
    <t>10.15196/TS630501</t>
  </si>
  <si>
    <t>https://www.scopus.com/inward/record.uri?eid=2-s2.0-85173651643&amp;doi=10.15196%2fTS630501&amp;partnerID=40&amp;md5=d2ff4cbb73746506699ffc30fc17970b</t>
  </si>
  <si>
    <t>2-s2.0-85173651643</t>
  </si>
  <si>
    <t>Novakova A.; Hubka V.; Saiz-Jimenez C.</t>
  </si>
  <si>
    <t>Novakova, A. (7004318958); Hubka, V. (49963467400); Saiz-Jimenez, C. (7005128572)</t>
  </si>
  <si>
    <t>7004318958; 49963467400; 7005128572</t>
  </si>
  <si>
    <t>Microscopic fungi isolated from cave air and sediments in the Nerja Cave—preliminary results</t>
  </si>
  <si>
    <t>The Conservation of Subterranean Cultural Heritage</t>
  </si>
  <si>
    <t>10.1201/b17570-28</t>
  </si>
  <si>
    <t>https://www.scopus.com/inward/record.uri?eid=2-s2.0-85128503279&amp;doi=10.1201%2fb17570-28&amp;partnerID=40&amp;md5=d863fa4a644fd804a6e88661678a710a</t>
  </si>
  <si>
    <t>2-s2.0-85128503279</t>
  </si>
  <si>
    <t>The Conservation of Subterranean Cultural Heritage - Selected papers from International Workshop on Conservation of Subterranean Cultural Heritage, CSCH 2014</t>
  </si>
  <si>
    <t>10.1201/b17570-29</t>
  </si>
  <si>
    <t>https://www.scopus.com/inward/record.uri?eid=2-s2.0-84958768501&amp;doi=10.1201%2fb17570-29&amp;partnerID=40&amp;md5=4ce5bbac95e7f09879e87495c633ca1f</t>
  </si>
  <si>
    <t>2-s2.0-84958768501</t>
  </si>
  <si>
    <t>Lee Satcher R.; Fiedler B.; Ghali A.; Dirschl D.R.</t>
  </si>
  <si>
    <t>Lee Satcher, Robert (59157149300); Fiedler, Benjamin (59157176000); Ghali, Abdullah (59157317800); Dirschl, Douglas R. (7003797841)</t>
  </si>
  <si>
    <t>59157149300; 59157176000; 59157317800; 7003797841</t>
  </si>
  <si>
    <t>Effect of Spaceflight and Microgravity on the Musculoskeletal System: A Review</t>
  </si>
  <si>
    <t>The Journal of the American Academy of Orthopaedic Surgeons</t>
  </si>
  <si>
    <t>10.5435/JAAOS-D-23-00954</t>
  </si>
  <si>
    <t>https://www.scopus.com/inward/record.uri?eid=2-s2.0-85195228781&amp;doi=10.5435%2fJAAOS-D-23-00954&amp;partnerID=40&amp;md5=7fa29a94145e0d24864814ef18671a61</t>
  </si>
  <si>
    <t>2-s2.0-85195228781</t>
  </si>
  <si>
    <t>Ferrari S.</t>
  </si>
  <si>
    <t>Ferrari, Sonia (56830061000)</t>
  </si>
  <si>
    <t>An experiential approach to differentiating tourism offers in cultural heritage</t>
  </si>
  <si>
    <t>The Routledge Handbook of Cultural Tourism</t>
  </si>
  <si>
    <t>10.4324/9780203120958</t>
  </si>
  <si>
    <t>https://www.scopus.com/inward/record.uri?eid=2-s2.0-85063544088&amp;doi=10.4324%2f9780203120958&amp;partnerID=40&amp;md5=6b4b07972671ec10506d405c2acdfb24</t>
  </si>
  <si>
    <t>2-s2.0-85063544088</t>
  </si>
  <si>
    <t>Akter H.; Akhtar S.; Samina A.N.</t>
  </si>
  <si>
    <t>Akter, Hazera (57189370930); Akhtar, Shoaib (57197707666); Samina, A.N. (57197720791)</t>
  </si>
  <si>
    <t>57189370930; 57197707666; 57197720791</t>
  </si>
  <si>
    <t>Tourism demand in Bangladesh: Gravity model analysis</t>
  </si>
  <si>
    <t>Tourism</t>
  </si>
  <si>
    <t>https://www.scopus.com/inward/record.uri?eid=2-s2.0-85034065604&amp;partnerID=40&amp;md5=8060f26b234aeb62d03cee7ff1824502</t>
  </si>
  <si>
    <t>2-s2.0-85034065604</t>
  </si>
  <si>
    <t>Host A.</t>
  </si>
  <si>
    <t>Host, Alen (57202600547)</t>
  </si>
  <si>
    <t>Determinants of Trade in Services With Focus on Tourism</t>
  </si>
  <si>
    <t>10.37741/t.71.4.11</t>
  </si>
  <si>
    <t>https://www.scopus.com/inward/record.uri?eid=2-s2.0-85178306997&amp;doi=10.37741%2ft.71.4.11&amp;partnerID=40&amp;md5=f524ac3e00e4b4c5b04795bfb0e6b0ef</t>
  </si>
  <si>
    <t>2-s2.0-85178306997</t>
  </si>
  <si>
    <t>Balli F.; Balli H.O.; Karimova A.; Louis R.J.</t>
  </si>
  <si>
    <t>Balli, Faruk (35178972500); Balli, Hatice O. (36715832200); Karimova, Amira (57203866074); Louis, Rosmy Jean (35329883600)</t>
  </si>
  <si>
    <t>35178972500; 36715832200; 57203866074; 35329883600</t>
  </si>
  <si>
    <t>Gulf cooperation council outbound tourism: The role of expatriates</t>
  </si>
  <si>
    <t>Tourism Analysis</t>
  </si>
  <si>
    <t>10.3727/108354218X15305419108047</t>
  </si>
  <si>
    <t>https://www.scopus.com/inward/record.uri?eid=2-s2.0-85053272714&amp;doi=10.3727%2f108354218X15305419108047&amp;partnerID=40&amp;md5=7c9916e78c00bb05be62e107304f4896</t>
  </si>
  <si>
    <t>2-s2.0-85053272714</t>
  </si>
  <si>
    <t>Cheung Y.H.; Saha S.</t>
  </si>
  <si>
    <t>Cheung, Yun Hsing (56765222100); Saha, Shrabani (34880838300)</t>
  </si>
  <si>
    <t>56765222100; 34880838300</t>
  </si>
  <si>
    <t>Exploring the nexus between tourism demand and cultural similarity</t>
  </si>
  <si>
    <t>10.3727/108354215X14265319207551</t>
  </si>
  <si>
    <t>https://www.scopus.com/inward/record.uri?eid=2-s2.0-84938677475&amp;doi=10.3727%2f108354215X14265319207551&amp;partnerID=40&amp;md5=0f31ecf005d9f8ea8e0e640b2b71e3ab</t>
  </si>
  <si>
    <t>2-s2.0-84938677475</t>
  </si>
  <si>
    <t>Feng X.; Pan C.; Xu F.</t>
  </si>
  <si>
    <t>Feng, Xiao (58960180300); Pan, Chang (58961025300); Xu, Fengying (58959772800)</t>
  </si>
  <si>
    <t>58960180300; 58961025300; 58959772800</t>
  </si>
  <si>
    <t>The Spatial Structure and Influencing Factors of the Tourism Economic Network in the Yangtze River Delta Urban Agglomeration</t>
  </si>
  <si>
    <t>Tourism and Hospitality</t>
  </si>
  <si>
    <t>10.3390/tourhosp5010005</t>
  </si>
  <si>
    <t>https://www.scopus.com/inward/record.uri?eid=2-s2.0-85188910445&amp;doi=10.3390%2ftourhosp5010005&amp;partnerID=40&amp;md5=89cdb338823929129d45a2e4324b7ba0</t>
  </si>
  <si>
    <t>2-s2.0-85188910445</t>
  </si>
  <si>
    <t>Alrawadieh Z.</t>
  </si>
  <si>
    <t>Alrawadieh, Zaid (57194468973)</t>
  </si>
  <si>
    <t>Publishing in predatory tourism and hospitality journals: Mapping the academic market and identifying response strategies</t>
  </si>
  <si>
    <t>Tourism and Hospitality Research</t>
  </si>
  <si>
    <t>10.1177/1467358418800121</t>
  </si>
  <si>
    <t>https://www.scopus.com/inward/record.uri?eid=2-s2.0-85058628284&amp;doi=10.1177%2f1467358418800121&amp;partnerID=40&amp;md5=1e61760093b22423bc7fdaf6484f946a</t>
  </si>
  <si>
    <t>2-s2.0-85058628284</t>
  </si>
  <si>
    <t>Adeola O.; Evans O.</t>
  </si>
  <si>
    <t>Adeola, Ogechi (57189657461); Evans, Olaniyi (57191670055)</t>
  </si>
  <si>
    <t>57189657461; 57191670055</t>
  </si>
  <si>
    <t>ICT, infrastructure, and tourism development in Africa</t>
  </si>
  <si>
    <t>Tourism Economics</t>
  </si>
  <si>
    <t>10.1177/1354816619827712</t>
  </si>
  <si>
    <t>https://www.scopus.com/inward/record.uri?eid=2-s2.0-85061981100&amp;doi=10.1177%2f1354816619827712&amp;partnerID=40&amp;md5=022768895d8e834e0de5e25c9e0b6de3</t>
  </si>
  <si>
    <t>2-s2.0-85061981100</t>
  </si>
  <si>
    <t>Carril-Caccia F.; Martín Martín J.M.; Sáez-Fernández F.J.</t>
  </si>
  <si>
    <t>Carril-Caccia, Federico (57191485255); Martín Martín, José María (57220891986); Sáez-Fernández, Francisco Javier (6505943455)</t>
  </si>
  <si>
    <t>57191485255; 57220891986; 6505943455</t>
  </si>
  <si>
    <t>How important are borders for tourism? The case of Europe</t>
  </si>
  <si>
    <t>10.1177/13548166221132452</t>
  </si>
  <si>
    <t>https://www.scopus.com/inward/record.uri?eid=2-s2.0-85139775430&amp;doi=10.1177%2f13548166221132452&amp;partnerID=40&amp;md5=bd0c5f52480ad5a880b6e23f55a12a95</t>
  </si>
  <si>
    <t>2-s2.0-85139775430</t>
  </si>
  <si>
    <t>Tourism, insularity, and remoteness: A gravity-based approach</t>
  </si>
  <si>
    <t>10.1177/1354816619855233</t>
  </si>
  <si>
    <t>https://www.scopus.com/inward/record.uri?eid=2-s2.0-85067894840&amp;doi=10.1177%2f1354816619855233&amp;partnerID=40&amp;md5=f45e5264b9074c5c30c0bca0fd3c1a25</t>
  </si>
  <si>
    <t>2-s2.0-85067894840</t>
  </si>
  <si>
    <t>Eryiǧit M.; Kotil E.; Eryiǧit R.</t>
  </si>
  <si>
    <t>Eryiǧit, Mehmet (15761965600); Kotil, Erdoǧan (26654205300); Eryiǧit, Resul (6602419329)</t>
  </si>
  <si>
    <t>15761965600; 26654205300; 6602419329</t>
  </si>
  <si>
    <t>Factors affecting international tourism flows to Turkey: A gravity model approach</t>
  </si>
  <si>
    <t>10.5367/000000010792278374</t>
  </si>
  <si>
    <t>https://www.scopus.com/inward/record.uri?eid=2-s2.0-77956634451&amp;doi=10.5367%2f000000010792278374&amp;partnerID=40&amp;md5=0049f37f5254433abff92c87089ec815</t>
  </si>
  <si>
    <t>2-s2.0-77956634451</t>
  </si>
  <si>
    <t>Fourie, Johan (55273842100); Rosselló, Jaume (57220022951); Santana-Gallego, María (36119110700)</t>
  </si>
  <si>
    <t>Research note: Which god is good for tourism?</t>
  </si>
  <si>
    <t>10.5367/te.2014.0412</t>
  </si>
  <si>
    <t>https://www.scopus.com/inward/record.uri?eid=2-s2.0-84960868115&amp;doi=10.5367%2fte.2014.0412&amp;partnerID=40&amp;md5=eb5f5e5f7e9fbc494a16785aa92928ad</t>
  </si>
  <si>
    <t>2-s2.0-84960868115</t>
  </si>
  <si>
    <t>Gálvez T.G.; Romero J.M.; Devesa M.J.S.</t>
  </si>
  <si>
    <t>Gálvez, Teresa Guardia (56203964100); Romero, Juan Muro (7005759877); Devesa, María Jesús Such (26322127100)</t>
  </si>
  <si>
    <t>56203964100; 7005759877; 26322127100</t>
  </si>
  <si>
    <t>Measuring and analysing domestic tourism: The importance of an origin and destination matrix</t>
  </si>
  <si>
    <t>10.5367/te.2013.0286</t>
  </si>
  <si>
    <t>https://www.scopus.com/inward/record.uri?eid=2-s2.0-84902306499&amp;doi=10.5367%2fte.2013.0286&amp;partnerID=40&amp;md5=3359387ac4daef4a9ba9d4d70defa607</t>
  </si>
  <si>
    <t>2-s2.0-84902306499</t>
  </si>
  <si>
    <t>Gouveia S.; Rebelo J.; Lourenço-Gomes L.; Guedes A.</t>
  </si>
  <si>
    <t>Gouveia, Sofia (23988679600); Rebelo, João (7006839197); Lourenço-Gomes, Lina (55584254900); Guedes, Alexandre (56765471900)</t>
  </si>
  <si>
    <t>23988679600; 7006839197; 55584254900; 56765471900</t>
  </si>
  <si>
    <t>International demand for the Douro (Portugal) river cruises: A gravity model approach</t>
  </si>
  <si>
    <t>10.1177/1354816617692478</t>
  </si>
  <si>
    <t>https://www.scopus.com/inward/record.uri?eid=2-s2.0-85034598693&amp;doi=10.1177%2f1354816617692478&amp;partnerID=40&amp;md5=46d45a529806e3e56815db854885b6ca</t>
  </si>
  <si>
    <t>2-s2.0-85034598693</t>
  </si>
  <si>
    <t>Guedes A.; Faria S.; Gouveia S.; Rebelo J.</t>
  </si>
  <si>
    <t>Guedes, Alexandre (56765471900); Faria, Samuel (57220572628); Gouveia, Sofia (23988679600); Rebelo, João (7006839197)</t>
  </si>
  <si>
    <t>56765471900; 57220572628; 23988679600; 7006839197</t>
  </si>
  <si>
    <t>The effect of virtual proximity and digital adoption on international tourism flows to Southern Europe</t>
  </si>
  <si>
    <t>10.1177/13548166221116704</t>
  </si>
  <si>
    <t>https://www.scopus.com/inward/record.uri?eid=2-s2.0-85135002414&amp;doi=10.1177%2f13548166221116704&amp;partnerID=40&amp;md5=23a2a42d2f8bcc76a9bc9fdf4151a116</t>
  </si>
  <si>
    <t>2-s2.0-85135002414</t>
  </si>
  <si>
    <t>Terrorism and inbound tourism: Does immigration have a moderating effect?</t>
  </si>
  <si>
    <t>10.1177/1354816619843452</t>
  </si>
  <si>
    <t>https://www.scopus.com/inward/record.uri?eid=2-s2.0-85064813936&amp;doi=10.1177%2f1354816619843452&amp;partnerID=40&amp;md5=6e3fdaab3c54af28833020df7303e4a5</t>
  </si>
  <si>
    <t>2-s2.0-85064813936</t>
  </si>
  <si>
    <t>Huang X.; Han Y.; Gong X.; Liu X.</t>
  </si>
  <si>
    <t>Huang, Xueying (57840699000); Han, Yuanjun (57210797592); Gong, Xuhong (57210786236); Liu, Xiangyan (57217015354)</t>
  </si>
  <si>
    <t>57840699000; 57210797592; 57210786236; 57217015354</t>
  </si>
  <si>
    <t>Does the belt and road initiative stimulate China’s inbound tourist market? An empirical study using the gravity model with a DID method</t>
  </si>
  <si>
    <t>10.1177/1354816619867577</t>
  </si>
  <si>
    <t>https://www.scopus.com/inward/record.uri?eid=2-s2.0-85071503669&amp;doi=10.1177%2f1354816619867577&amp;partnerID=40&amp;md5=2f1662c760e1462d87473de75176bbc7</t>
  </si>
  <si>
    <t>2-s2.0-85071503669</t>
  </si>
  <si>
    <t>Ibragimov K.; Perles-Ribes J.F.; Ramón-Rodríguez A.B.</t>
  </si>
  <si>
    <t>Ibragimov, Khusen (57223048310); Perles-Ribes, José Francisco (36682818000); Ramón-Rodríguez, Ana Belén (8284283100)</t>
  </si>
  <si>
    <t>The economic determinants of tourism in Central Asia: A gravity model applied approach</t>
  </si>
  <si>
    <t>10.1177/13548166211009985</t>
  </si>
  <si>
    <t>https://www.scopus.com/inward/record.uri?eid=2-s2.0-85104637623&amp;doi=10.1177%2f13548166211009985&amp;partnerID=40&amp;md5=be0088825e28adf9357d5d619689f22f</t>
  </si>
  <si>
    <t>2-s2.0-85104637623</t>
  </si>
  <si>
    <t>Khalid U.; Okafor L.E.; Aziz N.</t>
  </si>
  <si>
    <t>Khalid, Usman (57190254906); Okafor, Luke Emeka (35208798600); Aziz, Nusrate (31168141600)</t>
  </si>
  <si>
    <t>57190254906; 35208798600; 31168141600</t>
  </si>
  <si>
    <t>Armed conflict, military expenditure and international tourism</t>
  </si>
  <si>
    <t>10.1177/1354816619851404</t>
  </si>
  <si>
    <t>https://www.scopus.com/inward/record.uri?eid=2-s2.0-85084555920&amp;doi=10.1177%2f1354816619851404&amp;partnerID=40&amp;md5=97dfc3d2813a1f848c3b0a8f901a4904</t>
  </si>
  <si>
    <t>2-s2.0-85084555920</t>
  </si>
  <si>
    <t>Khan K.; Su C.-W.; Xiao Y.-D.; Zhu H.; Zhang X.</t>
  </si>
  <si>
    <t>Khan, Khalid (57193057358); Su, Chi-Wei (15066016200); Xiao, Yi-Dong (58363465700); Zhu, Haotian (57213825420); Zhang, Xiaoyan (59074585500)</t>
  </si>
  <si>
    <t>57193057358; 15066016200; 58363465700; 57213825420; 59074585500</t>
  </si>
  <si>
    <t>Trends in tourism under economic uncertainty</t>
  </si>
  <si>
    <t>10.1177/1354816620909608</t>
  </si>
  <si>
    <t>https://www.scopus.com/inward/record.uri?eid=2-s2.0-85081572227&amp;doi=10.1177%2f1354816620909608&amp;partnerID=40&amp;md5=d7ab416a05df0d89ae1f33f997fee327</t>
  </si>
  <si>
    <t>2-s2.0-85081572227</t>
  </si>
  <si>
    <t>Lopez L.; Bianchi G.; Chen Y.</t>
  </si>
  <si>
    <t>Lopez, Luciano (57260440700); Bianchi, Giuliano (56779550500); Chen, Yong (49661023000)</t>
  </si>
  <si>
    <t>57260440700; 56779550500; 49661023000</t>
  </si>
  <si>
    <t>Does official development assistance promote tourism demand for donor countries? Evidence from Switzerland</t>
  </si>
  <si>
    <t>10.1177/13548166211041416</t>
  </si>
  <si>
    <t>https://www.scopus.com/inward/record.uri?eid=2-s2.0-85115024071&amp;doi=10.1177%2f13548166211041416&amp;partnerID=40&amp;md5=60b9a0c32ab85dd8c4981a22f416cfdb</t>
  </si>
  <si>
    <t>2-s2.0-85115024071</t>
  </si>
  <si>
    <t>Montant G.</t>
  </si>
  <si>
    <t>Montant, Gil (6507803550)</t>
  </si>
  <si>
    <t>The determinants of the hotel sector revenues: The case of French Polynesia</t>
  </si>
  <si>
    <t>10.1177/1354816619863253</t>
  </si>
  <si>
    <t>https://www.scopus.com/inward/record.uri?eid=2-s2.0-85070286250&amp;doi=10.1177%2f1354816619863253&amp;partnerID=40&amp;md5=99bfdd24daeab474d95d7f3ac79a4706</t>
  </si>
  <si>
    <t>2-s2.0-85070286250</t>
  </si>
  <si>
    <t>Pintassilgo P.; Rosselló J.; Santana-Gallego M.; Valle E.</t>
  </si>
  <si>
    <t>Pintassilgo, Pedro (57199644800); Rosselló, Jaume (57220022951); Santana-Gallego, Maria (36119110700); Valle, Elisabeth (23091788400)</t>
  </si>
  <si>
    <t>57199644800; 57220022951; 36119110700; 23091788400</t>
  </si>
  <si>
    <t>The economic dimension of climate change impacts on tourism: The case of Portugal</t>
  </si>
  <si>
    <t>10.1177/1354816616654242</t>
  </si>
  <si>
    <t>https://www.scopus.com/inward/record.uri?eid=2-s2.0-84986593076&amp;doi=10.1177%2f1354816616654242&amp;partnerID=40&amp;md5=ee4d852de05d383a5fa6203a9b83817b</t>
  </si>
  <si>
    <t>2-s2.0-84986593076</t>
  </si>
  <si>
    <t>Provenzano D.</t>
  </si>
  <si>
    <t>Provenzano, Davide (42561710700)</t>
  </si>
  <si>
    <t>A dynamic analysis of tourism determinants in Sicily</t>
  </si>
  <si>
    <t>10.5367/te.2015.0480</t>
  </si>
  <si>
    <t>https://www.scopus.com/inward/record.uri?eid=2-s2.0-84936122100&amp;doi=10.5367%2fte.2015.0480&amp;partnerID=40&amp;md5=c8c64b37ad1b5cfe1e0e0e17433a820a</t>
  </si>
  <si>
    <t>2-s2.0-84936122100</t>
  </si>
  <si>
    <t>The migration–tourism nexus in the EU28</t>
  </si>
  <si>
    <t>10.1177/1354816620909994</t>
  </si>
  <si>
    <t>https://www.scopus.com/inward/record.uri?eid=2-s2.0-85081958600&amp;doi=10.1177%2f1354816620909994&amp;partnerID=40&amp;md5=7d2a5abf2ce67d6edeaf29397fe990ab</t>
  </si>
  <si>
    <t>2-s2.0-85081958600</t>
  </si>
  <si>
    <t>Saayman A.; Figini P.; Cassella S.</t>
  </si>
  <si>
    <t>Saayman, Andrea (15726339700); Figini, Paolo (8441567300); Cassella, Silvio (57193482938)</t>
  </si>
  <si>
    <t>15726339700; 8441567300; 57193482938</t>
  </si>
  <si>
    <t>The influence of formal trade agreements and informal economic cooperation on international tourism flows</t>
  </si>
  <si>
    <t>10.1177/1354816616672600</t>
  </si>
  <si>
    <t>https://www.scopus.com/inward/record.uri?eid=2-s2.0-85014237416&amp;doi=10.1177%2f1354816616672600&amp;partnerID=40&amp;md5=c231814b18079bfa31e13f182c3f61d6</t>
  </si>
  <si>
    <t>2-s2.0-85014237416</t>
  </si>
  <si>
    <t>Santana-Gallego M.; Fourie J.</t>
  </si>
  <si>
    <t>Santana-Gallego, María (36119110700); Fourie, Johan (55273842100)</t>
  </si>
  <si>
    <t>36119110700; 55273842100</t>
  </si>
  <si>
    <t>Tourism falls apart: How insecurity affects African tourism</t>
  </si>
  <si>
    <t>10.1177/1354816620978128</t>
  </si>
  <si>
    <t>https://www.scopus.com/inward/record.uri?eid=2-s2.0-85097445149&amp;doi=10.1177%2f1354816620978128&amp;partnerID=40&amp;md5=97d1380734077d6e6d33e4f49141237b</t>
  </si>
  <si>
    <t>2-s2.0-85097445149</t>
  </si>
  <si>
    <t>Santana-Gallego M.; Paniagua J.</t>
  </si>
  <si>
    <t>Santana-Gallego, Maria (36119110700); Paniagua, Jordi (55760363400)</t>
  </si>
  <si>
    <t>36119110700; 55760363400</t>
  </si>
  <si>
    <t>Tourism and migration: Identifying the channels with gravity models</t>
  </si>
  <si>
    <t>10.1177/1354816620972597</t>
  </si>
  <si>
    <t>https://www.scopus.com/inward/record.uri?eid=2-s2.0-85097008605&amp;doi=10.1177%2f1354816620972597&amp;partnerID=40&amp;md5=bfd58b064b22b91f85c70b02be21655f</t>
  </si>
  <si>
    <t>2-s2.0-85097008605</t>
  </si>
  <si>
    <t>Santeramo F.G.</t>
  </si>
  <si>
    <t>Santeramo, Fabio Gaetano (37067967300)</t>
  </si>
  <si>
    <t>Research note: Promoting the international demand for agritourism: Empirical evidence from a dynamic panel data model</t>
  </si>
  <si>
    <t>10.5367/te.2014.0397</t>
  </si>
  <si>
    <t>https://www.scopus.com/inward/record.uri?eid=2-s2.0-84939792804&amp;doi=10.5367%2fte.2014.0397&amp;partnerID=40&amp;md5=1ccb863bb89fcd0f3861c5eb811b2394</t>
  </si>
  <si>
    <t>2-s2.0-84939792804</t>
  </si>
  <si>
    <t>Seetanah B.; Durbarry R.; Ragodoo J.F.N.</t>
  </si>
  <si>
    <t>Seetanah, Boopen (15766107800); Durbarry, Ramesh (7801605965); Ragodoo, J. F. Nicolas (36477625100)</t>
  </si>
  <si>
    <t>15766107800; 7801605965; 36477625100</t>
  </si>
  <si>
    <t>Using the panel cointegration approach to analyse the determinants of tourism demand in South Africa</t>
  </si>
  <si>
    <t>10.5367/000000010792278437</t>
  </si>
  <si>
    <t>https://www.scopus.com/inward/record.uri?eid=2-s2.0-77956645986&amp;doi=10.5367%2f000000010792278437&amp;partnerID=40&amp;md5=a756f80561f506d82475970d5e4a5f2a</t>
  </si>
  <si>
    <t>2-s2.0-77956645986</t>
  </si>
  <si>
    <t>Shafiullah M.; Khalid U.; Okafor L.E.</t>
  </si>
  <si>
    <t>Shafiullah, Muhammad (57147571000); Khalid, Usman (57190254906); Okafor, Luke Emeka (35208798600)</t>
  </si>
  <si>
    <t>57147571000; 57190254906; 35208798600</t>
  </si>
  <si>
    <t>Do birds of a feather flock together? Analyzing environmental performance and tourist behavior using a gravity approach</t>
  </si>
  <si>
    <t>10.1177/13548166221097025</t>
  </si>
  <si>
    <t>https://www.scopus.com/inward/record.uri?eid=2-s2.0-85130426702&amp;doi=10.1177%2f13548166221097025&amp;partnerID=40&amp;md5=027bd0e69e809e8d071589d8a7f5b197</t>
  </si>
  <si>
    <t>2-s2.0-85130426702</t>
  </si>
  <si>
    <t>Su C.-W.; Meng X.-L.; Tao R.; Umar M.</t>
  </si>
  <si>
    <t>Su, Chi-Wei (15066016200); Meng, Xian-Li (57347855700); Tao, Ran (57201261486); Umar, Muhammad (55262842600)</t>
  </si>
  <si>
    <t>15066016200; 57347855700; 57201261486; 55262842600</t>
  </si>
  <si>
    <t>Chinese consumer confidence: A catalyst for the outbound tourism expenditure?</t>
  </si>
  <si>
    <t>10.1177/13548166211065250</t>
  </si>
  <si>
    <t>https://www.scopus.com/inward/record.uri?eid=2-s2.0-85125925258&amp;doi=10.1177%2f13548166211065250&amp;partnerID=40&amp;md5=51ac39074be8c9410c372279f080ccf6</t>
  </si>
  <si>
    <t>2-s2.0-85125925258</t>
  </si>
  <si>
    <t>Tavares J.M.; Leitao N.C.</t>
  </si>
  <si>
    <t>Tavares, Jean Max (56797670100); Leitao, Nuno Carlos (17344111700)</t>
  </si>
  <si>
    <t>56797670100; 17344111700</t>
  </si>
  <si>
    <t>The determinants of international tourism demand for Brazil</t>
  </si>
  <si>
    <t>10.5367/te.2016.0540</t>
  </si>
  <si>
    <t>https://www.scopus.com/inward/record.uri?eid=2-s2.0-85021688090&amp;doi=10.5367%2fte.2016.0540&amp;partnerID=40&amp;md5=a64738e06e2cd04630422505b6e5499e</t>
  </si>
  <si>
    <t>2-s2.0-85021688090</t>
  </si>
  <si>
    <t>Tsui W.H.K.; Balli F.; Tan D.T.W.; Lau O.; Hasan M.</t>
  </si>
  <si>
    <t>Tsui, Wai Hong Kan (56742923100); Balli, Faruk (35178972500); Tan, David Tat Wei (26642802800); Lau, Oscar (57202078125); Hasan, Mudassar (57202079796)</t>
  </si>
  <si>
    <t>56742923100; 35178972500; 26642802800; 57202078125; 57202079796</t>
  </si>
  <si>
    <t>New Zealand business tourism: Exploring the impact of economic policy uncertainties</t>
  </si>
  <si>
    <t>10.1177/1354816617731387</t>
  </si>
  <si>
    <t>https://www.scopus.com/inward/record.uri?eid=2-s2.0-85047067188&amp;doi=10.1177%2f1354816617731387&amp;partnerID=40&amp;md5=85f55770f65014f4679554aa1d2008b9</t>
  </si>
  <si>
    <t>2-s2.0-85047067188</t>
  </si>
  <si>
    <t>Ulucak R.; Yücel A.G.; İlkay S.Ç.</t>
  </si>
  <si>
    <t>Ulucak, Recep (57193446076); Yücel, Ali Gökhan (57204530641); İlkay, Salih Çağrı (57193210821)</t>
  </si>
  <si>
    <t>57193446076; 57204530641; 57193210821</t>
  </si>
  <si>
    <t>Dynamics of tourism demand in Turkey: Panel data analysis using gravity model</t>
  </si>
  <si>
    <t>10.1177/1354816620901956</t>
  </si>
  <si>
    <t>https://www.scopus.com/inward/record.uri?eid=2-s2.0-85078812314&amp;doi=10.1177%2f1354816620901956&amp;partnerID=40&amp;md5=d53dd28d53498fb5903aca7c220de07a</t>
  </si>
  <si>
    <t>2-s2.0-85078812314</t>
  </si>
  <si>
    <t>Van Hoa T.; Turner L.; Vu J.</t>
  </si>
  <si>
    <t>Van Hoa, Tran (6603308888); Turner, Lindsay (7202689919); Vu, Jo (14044341000)</t>
  </si>
  <si>
    <t>6603308888; 7202689919; 14044341000</t>
  </si>
  <si>
    <t>Economic impact of Chinese tourism on Australia: A new approach</t>
  </si>
  <si>
    <t>10.1177/1354816618769077</t>
  </si>
  <si>
    <t>https://www.scopus.com/inward/record.uri?eid=2-s2.0-85051806189&amp;doi=10.1177%2f1354816618769077&amp;partnerID=40&amp;md5=4a8c7bf6943ec473b056de376e48d36a</t>
  </si>
  <si>
    <t>2-s2.0-85051806189</t>
  </si>
  <si>
    <t>Vierhaus C.</t>
  </si>
  <si>
    <t>Vierhaus, Christopher (56554129600)</t>
  </si>
  <si>
    <t>The international tourism effect of hosting the Olympic Games and the FIFA World Cup</t>
  </si>
  <si>
    <t>10.1177/1354816618814329</t>
  </si>
  <si>
    <t>https://www.scopus.com/inward/record.uri?eid=2-s2.0-85059052540&amp;doi=10.1177%2f1354816618814329&amp;partnerID=40&amp;md5=3089fcc11741d43af74ff0b750bd156f</t>
  </si>
  <si>
    <t>2-s2.0-85059052540</t>
  </si>
  <si>
    <t>Vietze C.</t>
  </si>
  <si>
    <t>Vietze, Christoph (37091864400)</t>
  </si>
  <si>
    <t>Cultural effects on inbound tourism into the USA: A gravity approach</t>
  </si>
  <si>
    <t>10.5367/te.2012.0100</t>
  </si>
  <si>
    <t>https://www.scopus.com/inward/record.uri?eid=2-s2.0-84857472039&amp;doi=10.5367%2fte.2012.0100&amp;partnerID=40&amp;md5=2d20b2845a62aed18e546568764f028a</t>
  </si>
  <si>
    <t>2-s2.0-84857472039</t>
  </si>
  <si>
    <t>Xu L.; Wang S.; Li J.; Tang L.; Shao Y.</t>
  </si>
  <si>
    <t>Xu, Lizhi (55781474600); Wang, Shouyang (35195168500); Li, Jingjing (57206962878); Tang, Ling (48361896000); Shao, Yanmin (35219221400)</t>
  </si>
  <si>
    <t>55781474600; 35195168500; 57206962878; 48361896000; 35219221400</t>
  </si>
  <si>
    <t>Modelling international tourism flows to China: A panel data analysis with the gravity model</t>
  </si>
  <si>
    <t>10.1177/1354816618816167</t>
  </si>
  <si>
    <t>https://www.scopus.com/inward/record.uri?eid=2-s2.0-85059036529&amp;doi=10.1177%2f1354816618816167&amp;partnerID=40&amp;md5=3ae3cd8de1d774a4573a2b819445bc46</t>
  </si>
  <si>
    <t>2-s2.0-85059036529</t>
  </si>
  <si>
    <t>Cohen E.</t>
  </si>
  <si>
    <t>Cohen, Erik (7403589512)</t>
  </si>
  <si>
    <t>Outer space mobilities and human health</t>
  </si>
  <si>
    <t>Tourism Geographies</t>
  </si>
  <si>
    <t>10.1080/14616688.2020.1868020</t>
  </si>
  <si>
    <t>https://www.scopus.com/inward/record.uri?eid=2-s2.0-85099719057&amp;doi=10.1080%2f14616688.2020.1868020&amp;partnerID=40&amp;md5=efc9b013618d087a6b0dcce231c4f259</t>
  </si>
  <si>
    <t>2-s2.0-85099719057</t>
  </si>
  <si>
    <t>Muñoz C.; Álvarez A.; Baños J.F.</t>
  </si>
  <si>
    <t>Muñoz, César (57202864063); Álvarez, Antonio (57197546327); Baños, José F. (55749501400)</t>
  </si>
  <si>
    <t>57202864063; 57197546327; 55749501400</t>
  </si>
  <si>
    <t>Modelling the effect of weather on tourism: does it vary across seasons?</t>
  </si>
  <si>
    <t>10.1080/14616688.2020.1868019</t>
  </si>
  <si>
    <t>https://www.scopus.com/inward/record.uri?eid=2-s2.0-85101581862&amp;doi=10.1080%2f14616688.2020.1868019&amp;partnerID=40&amp;md5=edcbae8028c4383b11b58f28d0320857</t>
  </si>
  <si>
    <t>2-s2.0-85101581862</t>
  </si>
  <si>
    <t>Stankov U.; Filimonau V.; Vujičić M.D.</t>
  </si>
  <si>
    <t>Stankov, Uglješa (36659799600); Filimonau, Viachaslau (57202600902); Vujičić, Miroslav D. (54796249900)</t>
  </si>
  <si>
    <t>36659799600; 57202600902; 54796249900</t>
  </si>
  <si>
    <t>A mindful shift: an opportunity for mindfulness-driven tourism in a post-pandemic world</t>
  </si>
  <si>
    <t>10.1080/14616688.2020.1768432</t>
  </si>
  <si>
    <t>https://www.scopus.com/inward/record.uri?eid=2-s2.0-85085572424&amp;doi=10.1080%2f14616688.2020.1768432&amp;partnerID=40&amp;md5=26db025ea47e31d537b9b3f6cb63ef8f</t>
  </si>
  <si>
    <t>2-s2.0-85085572424</t>
  </si>
  <si>
    <t>Balli F.; Balli H.O.; Cebeci K.</t>
  </si>
  <si>
    <t>Balli, Faruk (35178972500); Balli, Hatice Ozer (36715832200); Cebeci, Kemal (55616271700)</t>
  </si>
  <si>
    <t>35178972500; 36715832200; 55616271700</t>
  </si>
  <si>
    <t>Impacts of exported Turkish soap operas and visa-free entry on inbound tourism to Turkey</t>
  </si>
  <si>
    <t>Tourism Management</t>
  </si>
  <si>
    <t>10.1016/j.tourman.2013.01.013</t>
  </si>
  <si>
    <t>https://www.scopus.com/inward/record.uri?eid=2-s2.0-84874726117&amp;doi=10.1016%2fj.tourman.2013.01.013&amp;partnerID=40&amp;md5=484d3a4d827a5801a4b8952480905303</t>
  </si>
  <si>
    <t>2-s2.0-84874726117</t>
  </si>
  <si>
    <t>Balli F.; Balli H.O.; Jean Louis R.</t>
  </si>
  <si>
    <t>Balli, Faruk (35178972500); Balli, Hatice O. (36715832200); Jean Louis, Rosmy (35329883600)</t>
  </si>
  <si>
    <t>35178972500; 36715832200; 35329883600</t>
  </si>
  <si>
    <t>The impacts of immigrants and institutions on bilateral tourism flows</t>
  </si>
  <si>
    <t>10.1016/j.tourman.2015.06.021</t>
  </si>
  <si>
    <t>https://www.scopus.com/inward/record.uri?eid=2-s2.0-84936870665&amp;doi=10.1016%2fj.tourman.2015.06.021&amp;partnerID=40&amp;md5=e4394b77633a32887afa2afbd968f070</t>
  </si>
  <si>
    <t>2-s2.0-84936870665</t>
  </si>
  <si>
    <t>Connell J.</t>
  </si>
  <si>
    <t>Connell, John (56227359000)</t>
  </si>
  <si>
    <t>Contemporary medical tourism: Conceptualisation, culture and commodification</t>
  </si>
  <si>
    <t>10.1016/j.tourman.2012.05.009</t>
  </si>
  <si>
    <t>https://www.scopus.com/inward/record.uri?eid=2-s2.0-84867139510&amp;doi=10.1016%2fj.tourman.2012.05.009&amp;partnerID=40&amp;md5=3bb873ce02c0512835e7232450431d9f</t>
  </si>
  <si>
    <t>2-s2.0-84867139510</t>
  </si>
  <si>
    <t>Crouch G.I.; Devinney T.M.; Louviere J.J.; Islam T.</t>
  </si>
  <si>
    <t>Crouch, Geoffrey I. (7004648178); Devinney, Timothy M. (6603455936); Louviere, Jordan J. (7004145149); Islam, Towhidul (7003777329)</t>
  </si>
  <si>
    <t>7004648178; 6603455936; 7004145149; 7003777329</t>
  </si>
  <si>
    <t>Modelling consumer choice behaviour in space tourism</t>
  </si>
  <si>
    <t>10.1016/j.tourman.2008.07.003</t>
  </si>
  <si>
    <t>https://www.scopus.com/inward/record.uri?eid=2-s2.0-60949101843&amp;doi=10.1016%2fj.tourman.2008.07.003&amp;partnerID=40&amp;md5=9643051350b97fd16ca10dfbffa3b755</t>
  </si>
  <si>
    <t>2-s2.0-60949101843</t>
  </si>
  <si>
    <t>Eric T.N.; Semeyutin A.; Hubbard N.</t>
  </si>
  <si>
    <t>Eric, Tchouamou Njoya (57218386730); Semeyutin, Artur (57208593460); Hubbard, Nicholas (7003657147)</t>
  </si>
  <si>
    <t>57218386730; 57208593460; 7003657147</t>
  </si>
  <si>
    <t>Effects of enhanced air connectivity on the Kenyan tourism industry and their likely welfare implications</t>
  </si>
  <si>
    <t>10.1016/j.tourman.2019.104033</t>
  </si>
  <si>
    <t>https://www.scopus.com/inward/record.uri?eid=2-s2.0-85075012137&amp;doi=10.1016%2fj.tourman.2019.104033&amp;partnerID=40&amp;md5=2a6dd121a3026fc899efb131b43d0b4c</t>
  </si>
  <si>
    <t>2-s2.0-85075012137</t>
  </si>
  <si>
    <t>The impact of mega-sport events on tourist arrivals</t>
  </si>
  <si>
    <t>10.1016/j.tourman.2011.01.011</t>
  </si>
  <si>
    <t>https://www.scopus.com/inward/record.uri?eid=2-s2.0-79960312308&amp;doi=10.1016%2fj.tourman.2011.01.011&amp;partnerID=40&amp;md5=bfb84c2225592e31d83450d262e5f71c</t>
  </si>
  <si>
    <t>2-s2.0-79960312308</t>
  </si>
  <si>
    <t>Ethnic reunion and cultural affinity</t>
  </si>
  <si>
    <t>10.1016/j.tourman.2012.10.002</t>
  </si>
  <si>
    <t>https://www.scopus.com/inward/record.uri?eid=2-s2.0-85027949456&amp;doi=10.1016%2fj.tourman.2012.10.002&amp;partnerID=40&amp;md5=be036f0e66f5452552d93cd6c2b76cfd</t>
  </si>
  <si>
    <t>2-s2.0-85027949456</t>
  </si>
  <si>
    <t>Gil-Pareja S.; Llorca-Vivero R.; Martínez-Serrano J.A.</t>
  </si>
  <si>
    <t>Gil-Pareja, Salvador (14014050200); Llorca-Vivero, Rafael (14014229800); Martínez-Serrano, José Antonio (14013423800)</t>
  </si>
  <si>
    <t>14014050200; 14014229800; 14013423800</t>
  </si>
  <si>
    <t>The impact of embassies and consulates on tourism</t>
  </si>
  <si>
    <t>10.1016/j.tourman.2006.04.016</t>
  </si>
  <si>
    <t>https://www.scopus.com/inward/record.uri?eid=2-s2.0-33845548213&amp;doi=10.1016%2fj.tourman.2006.04.016&amp;partnerID=40&amp;md5=56b13f298712c2031280268699bde5c6</t>
  </si>
  <si>
    <t>2-s2.0-33845548213</t>
  </si>
  <si>
    <t>Khadaroo J.; Seetanah B.</t>
  </si>
  <si>
    <t>Khadaroo, Jameel (21834160100); Seetanah, Boopen (15766107800)</t>
  </si>
  <si>
    <t>21834160100; 15766107800</t>
  </si>
  <si>
    <t>The role of transport infrastructure in international tourism development: A gravity model approach</t>
  </si>
  <si>
    <t>10.1016/j.tourman.2007.09.005</t>
  </si>
  <si>
    <t>https://www.scopus.com/inward/record.uri?eid=2-s2.0-48849106811&amp;doi=10.1016%2fj.tourman.2007.09.005&amp;partnerID=40&amp;md5=15d9e47c4243ac945fb5d727a0991e54</t>
  </si>
  <si>
    <t>2-s2.0-48849106811</t>
  </si>
  <si>
    <t>Law R.; Au N.</t>
  </si>
  <si>
    <t>Law, Rob (7201502135); Au, Norman (6602612519)</t>
  </si>
  <si>
    <t>7201502135; 6602612519</t>
  </si>
  <si>
    <t>Relationship modeling in tourism shopping: A decision rules induction approach</t>
  </si>
  <si>
    <t>10.1016/S0261-5177(99)00056-4</t>
  </si>
  <si>
    <t>https://www.scopus.com/inward/record.uri?eid=2-s2.0-0034128320&amp;doi=10.1016%2fS0261-5177%2899%2900056-4&amp;partnerID=40&amp;md5=2a10b7940f452e250b98d23a42ac6b2b</t>
  </si>
  <si>
    <t>2-s2.0-0034128320</t>
  </si>
  <si>
    <t>Liou J.-L.; Hsu P.-C.; Wu P.-I.</t>
  </si>
  <si>
    <t>Liou, Je-Liang (39161551700); Hsu, Pei-Chun (57212087588); Wu, Pei-Ing (7403119119)</t>
  </si>
  <si>
    <t>39161551700; 57212087588; 7403119119</t>
  </si>
  <si>
    <t>The effect of China's open-door tourism policy on Taiwan: Promoting or suppressing tourism from other countries to Taiwan?</t>
  </si>
  <si>
    <t>10.1016/j.tourman.2019.104055</t>
  </si>
  <si>
    <t>https://www.scopus.com/inward/record.uri?eid=2-s2.0-85075867583&amp;doi=10.1016%2fj.tourman.2019.104055&amp;partnerID=40&amp;md5=4edfacceeac149b32a03b3490a46d59b</t>
  </si>
  <si>
    <t>2-s2.0-85075867583</t>
  </si>
  <si>
    <t>Marrocu E.; Paci R.</t>
  </si>
  <si>
    <t>Marrocu, Emanuela (6507084912); Paci, Raffaele (6602144384)</t>
  </si>
  <si>
    <t>6507084912; 6602144384</t>
  </si>
  <si>
    <t>Different tourists to different destinations. Evidence from spatial interaction models</t>
  </si>
  <si>
    <t>10.1016/j.tourman.2012.10.009</t>
  </si>
  <si>
    <t>https://www.scopus.com/inward/record.uri?eid=2-s2.0-84879793222&amp;doi=10.1016%2fj.tourman.2012.10.009&amp;partnerID=40&amp;md5=248197ef07b53726a0027cf22e9ac690</t>
  </si>
  <si>
    <t>2-s2.0-84879793222</t>
  </si>
  <si>
    <t>Massidda C.; Etzo I.</t>
  </si>
  <si>
    <t>Massidda, Carla (6508042222); Etzo, Ivan (41561265500)</t>
  </si>
  <si>
    <t>6508042222; 41561265500</t>
  </si>
  <si>
    <t>The determinants of Italian domestic tourism: A panel data analysis</t>
  </si>
  <si>
    <t>10.1016/j.tourman.2011.06.017</t>
  </si>
  <si>
    <t>https://www.scopus.com/inward/record.uri?eid=2-s2.0-84455189004&amp;doi=10.1016%2fj.tourman.2011.06.017&amp;partnerID=40&amp;md5=1f88ab3759a52ec529bd0fbd503c6f0f</t>
  </si>
  <si>
    <t>2-s2.0-84455189004</t>
  </si>
  <si>
    <t>Okafor L.E.; Khalid U.; Then T.</t>
  </si>
  <si>
    <t>Okafor, Luke Emeka (35208798600); Khalid, Usman (57190254906); Then, Terence (57201338599)</t>
  </si>
  <si>
    <t>35208798600; 57190254906; 57201338599</t>
  </si>
  <si>
    <t>Common unofficial language, development and international tourism</t>
  </si>
  <si>
    <t>10.1016/j.tourman.2018.01.008</t>
  </si>
  <si>
    <t>https://www.scopus.com/inward/record.uri?eid=2-s2.0-85044361709&amp;doi=10.1016%2fj.tourman.2018.01.008&amp;partnerID=40&amp;md5=8fbef8fe1732c61a35ffcaaf1e0a048e</t>
  </si>
  <si>
    <t>2-s2.0-85044361709</t>
  </si>
  <si>
    <t>Park S.Y.; Pan B.</t>
  </si>
  <si>
    <t>Park, So Young (57204978536); Pan, Bing (35240693300)</t>
  </si>
  <si>
    <t>57204978536; 35240693300</t>
  </si>
  <si>
    <t>Identifying the next non-stop flying market with a big data approach</t>
  </si>
  <si>
    <t>10.1016/j.tourman.2017.12.008</t>
  </si>
  <si>
    <t>https://www.scopus.com/inward/record.uri?eid=2-s2.0-85044386130&amp;doi=10.1016%2fj.tourman.2017.12.008&amp;partnerID=40&amp;md5=cd370243ed3092b583f95799926c9416</t>
  </si>
  <si>
    <t>2-s2.0-85044386130</t>
  </si>
  <si>
    <t>Rosselló J.; Becken S.; Santana-Gallego M.</t>
  </si>
  <si>
    <t>Rosselló, Jaume (57220022951); Becken, Susanne (55917272700); Santana-Gallego, Maria (36119110700)</t>
  </si>
  <si>
    <t>57220022951; 55917272700; 36119110700</t>
  </si>
  <si>
    <t>The effects of natural disasters on international tourism: A global analysis</t>
  </si>
  <si>
    <t>10.1016/j.tourman.2020.104080</t>
  </si>
  <si>
    <t>https://www.scopus.com/inward/record.uri?eid=2-s2.0-85078654306&amp;doi=10.1016%2fj.tourman.2020.104080&amp;partnerID=40&amp;md5=baf84077417c6a974922fbb170bbd383</t>
  </si>
  <si>
    <t>2-s2.0-85078654306</t>
  </si>
  <si>
    <t>Becken S.</t>
  </si>
  <si>
    <t>Becken, Susanne (55917272700)</t>
  </si>
  <si>
    <t>A review of tourism and climate change as an evolving knowledge domain</t>
  </si>
  <si>
    <t>Tourism Management Perspectives</t>
  </si>
  <si>
    <t>10.1016/j.tmp.2012.11.006</t>
  </si>
  <si>
    <t>https://www.scopus.com/inward/record.uri?eid=2-s2.0-84872402639&amp;doi=10.1016%2fj.tmp.2012.11.006&amp;partnerID=40&amp;md5=1765cb42c75a7110f3a4f2d8c3942fee</t>
  </si>
  <si>
    <t>2-s2.0-84872402639</t>
  </si>
  <si>
    <t>Cró S.; Martins A.M.</t>
  </si>
  <si>
    <t>Cró, Susana (57192239324); Martins, António Miguel (57192214348)</t>
  </si>
  <si>
    <t>57192239324; 57192214348</t>
  </si>
  <si>
    <t>Foreign Direct Investment in the tourism sector: The case of France</t>
  </si>
  <si>
    <t>10.1016/j.tmp.2019.100614</t>
  </si>
  <si>
    <t>https://www.scopus.com/inward/record.uri?eid=2-s2.0-85075129842&amp;doi=10.1016%2fj.tmp.2019.100614&amp;partnerID=40&amp;md5=beb3fce0c2d65915f936f3f30594d663</t>
  </si>
  <si>
    <t>2-s2.0-85075129842</t>
  </si>
  <si>
    <t>Mega-sport events and inbound tourism: New data, methods and evidence</t>
  </si>
  <si>
    <t>10.1016/j.tmp.2022.101002</t>
  </si>
  <si>
    <t>https://www.scopus.com/inward/record.uri?eid=2-s2.0-85136561606&amp;doi=10.1016%2fj.tmp.2022.101002&amp;partnerID=40&amp;md5=29cd2413f88f787548fdfa78d6047ac0</t>
  </si>
  <si>
    <t>2-s2.0-85136561606</t>
  </si>
  <si>
    <t>Ghalia T.; Fidrmuc J.; Samargandi N.; Sohag K.</t>
  </si>
  <si>
    <t>Ghalia, Thaana (56800837600); Fidrmuc, Jan (7004607668); Samargandi, Nahla (56372421800); Sohag, Kazi (56210712000)</t>
  </si>
  <si>
    <t>56800837600; 7004607668; 56372421800; 56210712000</t>
  </si>
  <si>
    <t>Institutional quality, political risk and tourism</t>
  </si>
  <si>
    <t>10.1016/j.tmp.2019.100576</t>
  </si>
  <si>
    <t>https://www.scopus.com/inward/record.uri?eid=2-s2.0-85072220570&amp;doi=10.1016%2fj.tmp.2019.100576&amp;partnerID=40&amp;md5=603a8328ddc57196fd87ac26f0bc653a</t>
  </si>
  <si>
    <t>2-s2.0-85072220570</t>
  </si>
  <si>
    <t>Tourist arrivals to Malaysia from Muslim countries</t>
  </si>
  <si>
    <t>10.1016/j.tmp.2016.06.003</t>
  </si>
  <si>
    <t>https://www.scopus.com/inward/record.uri?eid=2-s2.0-84977559249&amp;doi=10.1016%2fj.tmp.2016.06.003&amp;partnerID=40&amp;md5=a2de216c7b44f896bc73203817f63fe4</t>
  </si>
  <si>
    <t>2-s2.0-84977559249</t>
  </si>
  <si>
    <t>Altaf N.</t>
  </si>
  <si>
    <t>Altaf, Nufazil (57195060645)</t>
  </si>
  <si>
    <t>Modelling the International Tourist Arrivals in India</t>
  </si>
  <si>
    <t>Tourism Planning and Development</t>
  </si>
  <si>
    <t>10.1080/21568316.2021.1887346</t>
  </si>
  <si>
    <t>https://www.scopus.com/inward/record.uri?eid=2-s2.0-85101902977&amp;doi=10.1080%2f21568316.2021.1887346&amp;partnerID=40&amp;md5=b4a1c87a48a2bd2cd8338ab2dd957634</t>
  </si>
  <si>
    <t>2-s2.0-85101902977</t>
  </si>
  <si>
    <t>Natural disasters, trade openness and international tourism: the role of income levels across countries</t>
  </si>
  <si>
    <t>Tourism Recreation Research</t>
  </si>
  <si>
    <t>10.1080/02508281.2021.1891740</t>
  </si>
  <si>
    <t>https://www.scopus.com/inward/record.uri?eid=2-s2.0-85102196990&amp;doi=10.1080%2f02508281.2021.1891740&amp;partnerID=40&amp;md5=cdb44873a11a65b4510e87e52da1cd18</t>
  </si>
  <si>
    <t>2-s2.0-85102196990</t>
  </si>
  <si>
    <t>Yerdelen Tatoglu F.; Gul H.</t>
  </si>
  <si>
    <t>Yerdelen Tatoglu, Ferda (36159066800); Gul, Hasan (56531623400)</t>
  </si>
  <si>
    <t>36159066800; 56531623400</t>
  </si>
  <si>
    <t>Analysis of tourism demand using a multi-dimensional panel gravity model</t>
  </si>
  <si>
    <t>Tourism Review</t>
  </si>
  <si>
    <t>10.1108/TR-05-2019-0147</t>
  </si>
  <si>
    <t>https://www.scopus.com/inward/record.uri?eid=2-s2.0-85076183592&amp;doi=10.1108%2fTR-05-2019-0147&amp;partnerID=40&amp;md5=2a7970bc37821a5f79a680c8a80544fe</t>
  </si>
  <si>
    <t>2-s2.0-85076183592</t>
  </si>
  <si>
    <t>Salahodjaev R.; Safarova N.; Usmanova N.</t>
  </si>
  <si>
    <t>Salahodjaev, Raufhon (56507435000); Safarova, Nilufar (57222035710); Usmanova, Nigina (57222045492)</t>
  </si>
  <si>
    <t>56507435000; 57222035710; 57222045492</t>
  </si>
  <si>
    <t>Determinants of tourism arrivals to Uzbekistan: Evidence from dyadic data</t>
  </si>
  <si>
    <t>Tourism Review International</t>
  </si>
  <si>
    <t>https://www.scopus.com/inward/record.uri?eid=2-s2.0-85101114116&amp;partnerID=40&amp;md5=4eb81e76742e4df37705519c2ed7c3b9</t>
  </si>
  <si>
    <t>2-s2.0-85101114116</t>
  </si>
  <si>
    <t>Tourist arrivals to Muslim countries: Is religion important?</t>
  </si>
  <si>
    <t>Tourism, Culture and Communication</t>
  </si>
  <si>
    <t>10.3727/194341419X15554157596128</t>
  </si>
  <si>
    <t>https://www.scopus.com/inward/record.uri?eid=2-s2.0-85072755981&amp;doi=10.3727%2f194341419X15554157596128&amp;partnerID=40&amp;md5=ef0b034cbfaf6690709283533cfdd7fe</t>
  </si>
  <si>
    <t>2-s2.0-85072755981</t>
  </si>
  <si>
    <t>Okafor L.E.; Khalid U.; Adeola O.</t>
  </si>
  <si>
    <t>Okafor, Luke E. (35208798600); Khalid, Usman (57190254906); Adeola, Ogechi (57189657461)</t>
  </si>
  <si>
    <t>35208798600; 57190254906; 57189657461</t>
  </si>
  <si>
    <t>The Effects of Regional Trade Agreements on International Tourist Flows in the Middle East and Africa</t>
  </si>
  <si>
    <t>Tourism, Hospitality and Event Management</t>
  </si>
  <si>
    <t>10.1007/978-3-030-70171-0_15</t>
  </si>
  <si>
    <t>https://www.scopus.com/inward/record.uri?eid=2-s2.0-85105717432&amp;doi=10.1007%2f978-3-030-70171-0_15&amp;partnerID=40&amp;md5=8ea139cf32ba97c264630208823c243a</t>
  </si>
  <si>
    <t>2-s2.0-85105717432</t>
  </si>
  <si>
    <t>Lekakou M.B.; Pallis A.A.; Vaggelas G.K.</t>
  </si>
  <si>
    <t>Lekakou, Maria B. (6504065943); Pallis, Athanasios A. (57207538036); Vaggelas, George K. (26636086100)</t>
  </si>
  <si>
    <t>6504065943; 57207538036; 26636086100</t>
  </si>
  <si>
    <t>Which homeport in Europe: The cruise industry's selection criteria</t>
  </si>
  <si>
    <t>Tourismos</t>
  </si>
  <si>
    <t>https://www.scopus.com/inward/record.uri?eid=2-s2.0-78651517545&amp;partnerID=40&amp;md5=01b50466432fab1beb517d94497c8dc8</t>
  </si>
  <si>
    <t>2-s2.0-78651517545</t>
  </si>
  <si>
    <t>Malaj V.; Kapiki S.T.</t>
  </si>
  <si>
    <t>Malaj, Visar (56400909200); Kapiki, Soultana Tania (55437504700)</t>
  </si>
  <si>
    <t>56400909200; 55437504700</t>
  </si>
  <si>
    <t>Determinants of tourism flows to Greece: A gravity model approach</t>
  </si>
  <si>
    <t>https://www.scopus.com/inward/record.uri?eid=2-s2.0-85026490671&amp;partnerID=40&amp;md5=65e64a3463fff747d0cef88b681d62e1</t>
  </si>
  <si>
    <t>2-s2.0-85026490671</t>
  </si>
  <si>
    <t>Pretel F.; Gonçalves-De-Andrade R.M.; Magnoli F.C.; Da Silva M.E.R.; Ferreira Jr. J.M.C.; Van Den Berg C.W.; Tambourgi D.V.</t>
  </si>
  <si>
    <t>Pretel, Fernando (6504072374); Gonçalves-De-Andrade, Rute M. (6603342934); Magnoli, Fabio Carlos (6602221119); Da Silva, Maria Esther R. (7402847817); Ferreira Jr., Jorge M.C. (57210511811); Van Den Berg, Carmen W. (7101982447); Tambourgi, Denise V. (6701627740)</t>
  </si>
  <si>
    <t>6504072374; 6603342934; 6602221119; 7402847817; 57210511811; 7101982447; 6701627740</t>
  </si>
  <si>
    <t>Analysis of the toxic potential of venom from Loxosceles adelaida, a Brazilian brown spider from karstic areas</t>
  </si>
  <si>
    <t>Toxicon</t>
  </si>
  <si>
    <t>10.1016/j.toxicon.2004.12.002</t>
  </si>
  <si>
    <t>https://www.scopus.com/inward/record.uri?eid=2-s2.0-14044259257&amp;doi=10.1016%2fj.toxicon.2004.12.002&amp;partnerID=40&amp;md5=b75be6041c650389ee3377d7d584d201</t>
  </si>
  <si>
    <t>2-s2.0-14044259257</t>
  </si>
  <si>
    <t>Shabrina Z.; Morphet R.</t>
  </si>
  <si>
    <t>Shabrina, Zahratu (57219344800); Morphet, Robin (56403388200)</t>
  </si>
  <si>
    <t>57219344800; 56403388200</t>
  </si>
  <si>
    <t>Understanding patterns and competitions of short- and long-term rental markets: Evidence from London</t>
  </si>
  <si>
    <t>Transactions in GIS</t>
  </si>
  <si>
    <t>10.1111/tgis.12989</t>
  </si>
  <si>
    <t>https://www.scopus.com/inward/record.uri?eid=2-s2.0-85140397969&amp;doi=10.1111%2ftgis.12989&amp;partnerID=40&amp;md5=a148e6dd26fb44a637775cb81f0e9592</t>
  </si>
  <si>
    <t>2-s2.0-85140397969</t>
  </si>
  <si>
    <t>Xie Z.; Jia P.; Song J.; Zhao R.; Jin H.</t>
  </si>
  <si>
    <t>Xie, Zhihan (59216592200); Jia, Peiyu (59246992800); Song, Jie (56991687900); Zhao, Ruidong (57218825338); Jin, Hui (59252872400)</t>
  </si>
  <si>
    <t>59216592200; 59246992800; 56991687900; 57218825338; 59252872400</t>
  </si>
  <si>
    <t>EVALUATING OF THE TOURISM ECONOMIC SPATIAL NETWORK STRUCTURE OF THE URBAN AGGLOMERATIONS</t>
  </si>
  <si>
    <t>Transformations in Business and Economics</t>
  </si>
  <si>
    <t>https://www.scopus.com/inward/record.uri?eid=2-s2.0-85200744802&amp;partnerID=40&amp;md5=61dc9015f70d314987e71bf762baad1e</t>
  </si>
  <si>
    <t>2-s2.0-85200744802</t>
  </si>
  <si>
    <t>Yin J.; Cheng Y.; Wang K.</t>
  </si>
  <si>
    <t>Yin, Jie (57211026785); Cheng, Yun (57219098843); Wang, Ke (57217391598)</t>
  </si>
  <si>
    <t>57211026785; 57219098843; 57217391598</t>
  </si>
  <si>
    <t>Deconstructing the tourism cooperation network in the northeast asia region: Characteristics and attuributes1; [Turizmo bendradarbiavimo tinklo dekonstravimas šiaurės rytų azijos regione: Ypatumai ir savybės]</t>
  </si>
  <si>
    <t>https://www.scopus.com/inward/record.uri?eid=2-s2.0-85096917500&amp;partnerID=40&amp;md5=e5198b6e4f4f236b7c4290fa82480762</t>
  </si>
  <si>
    <t>2-s2.0-85096917500</t>
  </si>
  <si>
    <t>Chibet R.</t>
  </si>
  <si>
    <t>Chibet, Rabaa (57200631503)</t>
  </si>
  <si>
    <t>Tourist flows and factors attractiveness in Southern Mediterranean countries</t>
  </si>
  <si>
    <t>Transition Studies Review</t>
  </si>
  <si>
    <t>10.14665/1614-4007-21-1-010</t>
  </si>
  <si>
    <t>https://www.scopus.com/inward/record.uri?eid=2-s2.0-85042012554&amp;doi=10.14665%2f1614-4007-21-1-010&amp;partnerID=40&amp;md5=9e374e97f45458a3fa8407f2303d5150</t>
  </si>
  <si>
    <t>2-s2.0-85042012554</t>
  </si>
  <si>
    <t>Fournier P.</t>
  </si>
  <si>
    <t>Fournier, Patrick (7202880183)</t>
  </si>
  <si>
    <t>Planning a strategic motorway network for Europe</t>
  </si>
  <si>
    <t>Transport Policy</t>
  </si>
  <si>
    <t>10.1016/0967-070X(94)90017-5</t>
  </si>
  <si>
    <t>https://www.scopus.com/inward/record.uri?eid=2-s2.0-0028595753&amp;doi=10.1016%2f0967-070X%2894%2990017-5&amp;partnerID=40&amp;md5=95f022133dd2343800958e6aceaada8f</t>
  </si>
  <si>
    <t>2-s2.0-0028595753</t>
  </si>
  <si>
    <t>Boonekamp T.; Zuidberg J.; Burghouwt G.</t>
  </si>
  <si>
    <t>Boonekamp, Thijs (57189756680); Zuidberg, Joost (54895956200); Burghouwt, Guillaume (6506965215)</t>
  </si>
  <si>
    <t>57189756680; 54895956200; 6506965215</t>
  </si>
  <si>
    <t>Determinants of air travel demand: The role of low-cost carriers, ethnic links and aviation-dependent employment</t>
  </si>
  <si>
    <t>Transportation Research Part A: Policy and Practice</t>
  </si>
  <si>
    <t>10.1016/j.tra.2018.01.004</t>
  </si>
  <si>
    <t>https://www.scopus.com/inward/record.uri?eid=2-s2.0-85042457213&amp;doi=10.1016%2fj.tra.2018.01.004&amp;partnerID=40&amp;md5=cf67d2d27b1178750497c640c95ded14</t>
  </si>
  <si>
    <t>2-s2.0-85042457213</t>
  </si>
  <si>
    <t>Battarra R.; Mazzeo G.</t>
  </si>
  <si>
    <t>Battarra, Rosaria (57189463535); Mazzeo, Giuseppe (56365233000)</t>
  </si>
  <si>
    <t>57189463535; 56365233000</t>
  </si>
  <si>
    <t>Challenges of Mediterranean metropolitan systems: smart planning and mobility</t>
  </si>
  <si>
    <t>Transportation Research Procedia</t>
  </si>
  <si>
    <t>10.1016/j.trpro.2021.12.013</t>
  </si>
  <si>
    <t>https://www.scopus.com/inward/record.uri?eid=2-s2.0-85123632283&amp;doi=10.1016%2fj.trpro.2021.12.013&amp;partnerID=40&amp;md5=1a40e1026d8feab50cafb84f084a256f</t>
  </si>
  <si>
    <t>2-s2.0-85123632283</t>
  </si>
  <si>
    <t>Martinez-Alvaro O.; Hernandez-Santana I.</t>
  </si>
  <si>
    <t>Martinez-Alvaro, Oscar (57386669600); Hernandez-Santana, Ivan (57387318500)</t>
  </si>
  <si>
    <t>57386669600; 57387318500</t>
  </si>
  <si>
    <t>New unconventional sources of information for transport analysis. The case of a model for public transport services in Majorca</t>
  </si>
  <si>
    <t>10.1016/j.trpro.2021.11.031</t>
  </si>
  <si>
    <t>https://www.scopus.com/inward/record.uri?eid=2-s2.0-85121804102&amp;doi=10.1016%2fj.trpro.2021.11.031&amp;partnerID=40&amp;md5=9a6cffcddbf65a5b14997aab54b8902c</t>
  </si>
  <si>
    <t>2-s2.0-85121804102</t>
  </si>
  <si>
    <t>Racciatti A.; Berge P.</t>
  </si>
  <si>
    <t>Racciatti, Albert (23966834800); Berge, Paul (23966292400)</t>
  </si>
  <si>
    <t>23966834800; 23966292400</t>
  </si>
  <si>
    <t>Evaluating Indirect Land Use and Environmental Effects of a Toll Discount Proposal</t>
  </si>
  <si>
    <t>Transportation Research Record</t>
  </si>
  <si>
    <t>10.3141/1859-04</t>
  </si>
  <si>
    <t>https://www.scopus.com/inward/record.uri?eid=2-s2.0-2142809559&amp;doi=10.3141%2f1859-04&amp;partnerID=40&amp;md5=d43dcfbb069e619cdeaac741466e41df</t>
  </si>
  <si>
    <t>2-s2.0-2142809559</t>
  </si>
  <si>
    <t>Ghosal S.; Sengupta D.</t>
  </si>
  <si>
    <t>Ghosal, Shayantani (57191913293); Sengupta, Debashish (7103039034)</t>
  </si>
  <si>
    <t>57191913293; 7103039034</t>
  </si>
  <si>
    <t>Environmental Implications of High Radiation in Beach Placers</t>
  </si>
  <si>
    <t>Treatment and Disposal of Solid and Hazardous Wastes</t>
  </si>
  <si>
    <t>10.1007/978-3-030-29643-8_11</t>
  </si>
  <si>
    <t>https://www.scopus.com/inward/record.uri?eid=2-s2.0-85153818745&amp;doi=10.1007%2f978-3-030-29643-8_11&amp;partnerID=40&amp;md5=fbaca4cc8bb99096df5fab930717f166</t>
  </si>
  <si>
    <t>2-s2.0-85153818745</t>
  </si>
  <si>
    <t>Atli A.</t>
  </si>
  <si>
    <t>Atli, Altay (36924563400)</t>
  </si>
  <si>
    <t>Turkey’s Balancing Efforts in Its Economic Relations with Asia</t>
  </si>
  <si>
    <t>Turkey’s Asia Relations</t>
  </si>
  <si>
    <t>10.1007/978-3-030-93515-3_12</t>
  </si>
  <si>
    <t>https://www.scopus.com/inward/record.uri?eid=2-s2.0-85163452053&amp;doi=10.1007%2f978-3-030-93515-3_12&amp;partnerID=40&amp;md5=797bcc98f57eda9c908b8fe29158035f</t>
  </si>
  <si>
    <t>2-s2.0-85163452053</t>
  </si>
  <si>
    <t>Karaman A.S.</t>
  </si>
  <si>
    <t>Karaman, Abdullah S. (36850344100)</t>
  </si>
  <si>
    <t>The pernicious impact of visa restrictions on inbound tourism: the case of Turkey</t>
  </si>
  <si>
    <t>Turkish Studies</t>
  </si>
  <si>
    <t>10.1080/14683849.2016.1170602</t>
  </si>
  <si>
    <t>https://www.scopus.com/inward/record.uri?eid=2-s2.0-84963574923&amp;doi=10.1080%2f14683849.2016.1170602&amp;partnerID=40&amp;md5=c7b5e56b934b8c45f1ab7c54915fec86</t>
  </si>
  <si>
    <t>2-s2.0-84963574923</t>
  </si>
  <si>
    <t>Bayram G.E.; Abbasi A.R.; Raza A.; Shaikh A.U.H.; Soomro S.A.</t>
  </si>
  <si>
    <t>Bayram, Gül Erkol (57222464381); Abbasi, Abdul Rehman (59132829400); Raza, Ali (58253032000); Shaikh, Ahsan Ul Haque (58849846700); Soomro, Suhaib Ahmed (57982177200)</t>
  </si>
  <si>
    <t>57222464381; 59132829400; 58253032000; 58849846700; 57982177200</t>
  </si>
  <si>
    <t>The U-shaped relationship between corruption and international tourism demand: A gravity model approach</t>
  </si>
  <si>
    <t>Turyzm/Tourism</t>
  </si>
  <si>
    <t>10.18778/0867-5856.34.1.09</t>
  </si>
  <si>
    <t>https://www.scopus.com/inward/record.uri?eid=2-s2.0-85197749603&amp;doi=10.18778%2f0867-5856.34.1.09&amp;partnerID=40&amp;md5=a356d5ed21312dbe43f4aa19c3710236</t>
  </si>
  <si>
    <t>2-s2.0-85197749603</t>
  </si>
  <si>
    <t>Project and technical assistance to the retaining structures of Cabo Girão tourist resort</t>
  </si>
  <si>
    <t>Volcanic Rock Mechanics: Rock Mechanics and Geo-engineering in Volcanic Environments</t>
  </si>
  <si>
    <t>https://www.scopus.com/inward/record.uri?eid=2-s2.0-85127946239&amp;partnerID=40&amp;md5=1396cf309b737de83401ad5142f48ca1</t>
  </si>
  <si>
    <t>2-s2.0-85127946239</t>
  </si>
  <si>
    <t>Hao Z.; Zhao H.; Zhang C.; Zhou H.; Zhao H.; Wang H.</t>
  </si>
  <si>
    <t>Hao, Zhen (57202079140); Zhao, Hesong (57208497649); Zhang, Chi (55862061100); Zhou, Huicheng (7404742641); Zhao, Hongli (55715866900); Wang, Hao (36619287400)</t>
  </si>
  <si>
    <t>57202079140; 57208497649; 55862061100; 7404742641; 55715866900; 36619287400</t>
  </si>
  <si>
    <t>Correlation analysis between groundwater decline trend and human-induced factors in Bashang region</t>
  </si>
  <si>
    <t>Water (Switzerland)</t>
  </si>
  <si>
    <t>10.3390/w11030473</t>
  </si>
  <si>
    <t>https://www.scopus.com/inward/record.uri?eid=2-s2.0-85064947007&amp;doi=10.3390%2fw11030473&amp;partnerID=40&amp;md5=c36cbd95c161f98059dcb562e96dd1bb</t>
  </si>
  <si>
    <t>2-s2.0-85064947007</t>
  </si>
  <si>
    <t>Rizzo A.; Vandelli V.; Buhagiar G.; Micallef A.S.; Soldati M.</t>
  </si>
  <si>
    <t>Rizzo, Angela (57192295515); Vandelli, Vittoria (57057706800); Buhagiar, George (57217044813); Micallef, Anton S. (57200009175); Soldati, Mauro (6701431495)</t>
  </si>
  <si>
    <t>57192295515; 57057706800; 57217044813; 57200009175; 6701431495</t>
  </si>
  <si>
    <t>Coastal vulnerability assessment along the north-eastern sector of Gozo Island (Malta, Mediterranean Sea)</t>
  </si>
  <si>
    <t>10.3390/w12051405</t>
  </si>
  <si>
    <t>https://www.scopus.com/inward/record.uri?eid=2-s2.0-85085931987&amp;doi=10.3390%2fw12051405&amp;partnerID=40&amp;md5=4ce8f6f0684eee254677c159d659360c</t>
  </si>
  <si>
    <t>2-s2.0-85085931987</t>
  </si>
  <si>
    <t>Sanyal S.; Shukla S.; Dhanani P.C.; Chellani N.K.</t>
  </si>
  <si>
    <t>Sanyal, Subhash (14619756500); Shukla, Shashank (14619578900); Dhanani, P.C. (14619025700); Chellani, Naresh Kumar (14618989300)</t>
  </si>
  <si>
    <t>14619756500; 14619578900; 14619025700; 14618989300</t>
  </si>
  <si>
    <t>Construction of power house at Indira Sagar project (8 × 125 MW)</t>
  </si>
  <si>
    <t>Water and Energy International</t>
  </si>
  <si>
    <t>https://www.scopus.com/inward/record.uri?eid=2-s2.0-33748688257&amp;partnerID=40&amp;md5=e11641f4ee325287fd6f3af0c485c36b</t>
  </si>
  <si>
    <t>2-s2.0-33748688257</t>
  </si>
  <si>
    <t>Venkateshwarlu N.; Rao Deshpande S.</t>
  </si>
  <si>
    <t>Venkateshwarlu, Nalla (57322763700); Rao Deshpande, Sridhar (57322763800)</t>
  </si>
  <si>
    <t>57322763700; 57322763800</t>
  </si>
  <si>
    <t>Kaleshwaram project – a growth engine for comprehensive godavari basin development plan</t>
  </si>
  <si>
    <t>https://www.scopus.com/inward/record.uri?eid=2-s2.0-85118509379&amp;partnerID=40&amp;md5=62157de54b2c9ef15b4f4762b96d383e</t>
  </si>
  <si>
    <t>2-s2.0-85118509379</t>
  </si>
  <si>
    <t>Orchard B.</t>
  </si>
  <si>
    <t>Orchard, Bryan (6603700292)</t>
  </si>
  <si>
    <t>Pumps in paradise</t>
  </si>
  <si>
    <t>Water and Wastes Digest</t>
  </si>
  <si>
    <t>https://www.scopus.com/inward/record.uri?eid=2-s2.0-84868517900&amp;partnerID=40&amp;md5=1962c0c248e74ab9fae84c04e2bc6d4e</t>
  </si>
  <si>
    <t>2-s2.0-84868517900</t>
  </si>
  <si>
    <t>Ünver O.; Voron B.; Aküzüm T.</t>
  </si>
  <si>
    <t>Ünver, Olcay (6603065589); Voron, Bruno (6505949566); Aküzüm, Turhan (6602344191)</t>
  </si>
  <si>
    <t>6603065589; 6505949566; 6602344191</t>
  </si>
  <si>
    <t>Improvement of field water distribution and irrigation techniques: The Southeastern anatolia project-GAP</t>
  </si>
  <si>
    <t>Water International</t>
  </si>
  <si>
    <t>10.1080/02508069308686173</t>
  </si>
  <si>
    <t>https://www.scopus.com/inward/record.uri?eid=2-s2.0-0027787261&amp;doi=10.1080%2f02508069308686173&amp;partnerID=40&amp;md5=cc01f78d2f57c3d7b1190ea077daded1</t>
  </si>
  <si>
    <t>2-s2.0-0027787261</t>
  </si>
  <si>
    <t>Matos J.S.; Aires C.M.</t>
  </si>
  <si>
    <t>Matos, J.S. (55953391700); Aires, C.M. (35119951600)</t>
  </si>
  <si>
    <t>55953391700; 35119951600</t>
  </si>
  <si>
    <t>Mathematical modelling of sulphides and hydrogen sulphide gas build-up in the Costa do Estoril sewerage system</t>
  </si>
  <si>
    <t>Water Science and Technology</t>
  </si>
  <si>
    <t>10.1016/0273-1223(95)00342-K</t>
  </si>
  <si>
    <t>https://www.scopus.com/inward/record.uri?eid=2-s2.0-0029050014&amp;doi=10.1016%2f0273-1223%2895%2900342-K&amp;partnerID=40&amp;md5=7abf42b637056aa0d6f7293df0951fd1</t>
  </si>
  <si>
    <t>2-s2.0-0029050014</t>
  </si>
  <si>
    <t>Ertürk A.E.B.; Şeker D.Z.; Öztürk I.</t>
  </si>
  <si>
    <t>Ertürk, A. Esra Bölükbaşi (59288770200); Şeker, Dursun Zafer (6602931561); Öztürk, Izzet (23006010400)</t>
  </si>
  <si>
    <t>59288770200; 6602931561; 23006010400</t>
  </si>
  <si>
    <t>Ottoman period water structures and water-related architecture: Examples in Safranbolu, Turkey</t>
  </si>
  <si>
    <t>Water Science and Technology: Water Supply</t>
  </si>
  <si>
    <t>10.2166/ws.2013.107</t>
  </si>
  <si>
    <t>https://www.scopus.com/inward/record.uri?eid=2-s2.0-84995480453&amp;doi=10.2166%2fws.2013.107&amp;partnerID=40&amp;md5=e2e917aa44b8d7359a8b45a28f643c34</t>
  </si>
  <si>
    <t>2-s2.0-84995480453</t>
  </si>
  <si>
    <t>Santeramo F.G.; Seccia A.; Nardone G.</t>
  </si>
  <si>
    <t>Santeramo, Fabio Gaetano (37067967300); Seccia, Antonio (54407927800); Nardone, Gianluca (35368865900)</t>
  </si>
  <si>
    <t>37067967300; 54407927800; 35368865900</t>
  </si>
  <si>
    <t>The synergies of the Italian wine and tourism sectors</t>
  </si>
  <si>
    <t>Wine Economics and Policy</t>
  </si>
  <si>
    <t>10.1016/j.wep.2016.11.004</t>
  </si>
  <si>
    <t>https://www.scopus.com/inward/record.uri?eid=2-s2.0-85017114311&amp;doi=10.1016%2fj.wep.2016.11.004&amp;partnerID=40&amp;md5=a017dcdd61cde0a3635dc5fd0f1809e2</t>
  </si>
  <si>
    <t>2-s2.0-85017114311</t>
  </si>
  <si>
    <t>2013 International Conference on Earth Science and Environmental Protection, ICESEP 2013</t>
  </si>
  <si>
    <t>WIT Transactions on Ecology and the Environment</t>
  </si>
  <si>
    <t>https://www.scopus.com/inward/record.uri?eid=2-s2.0-84903288818&amp;partnerID=40&amp;md5=ef4f9c7cec4985f577c791b79a063567</t>
  </si>
  <si>
    <t>2-s2.0-84903288818</t>
  </si>
  <si>
    <t>Krivosheyeva T.M; Druchevskaya L.Y; Sultayeva N.L</t>
  </si>
  <si>
    <t>Krivosheyeva, Tatyana Mikhaylovna (56028237800); Druchevskaya, Larisa Yevgenyevna (56073786200); Sultayeva, Natalya Leonidovna (57221665673)</t>
  </si>
  <si>
    <t>56028237800; 56073786200; 57221665673</t>
  </si>
  <si>
    <t>Rural tourism and sustainable development of rural territories</t>
  </si>
  <si>
    <t>World Applied Sciences Journal</t>
  </si>
  <si>
    <t>10.5829/idosi.wasj.2014.30.mett.51</t>
  </si>
  <si>
    <t>https://www.scopus.com/inward/record.uri?eid=2-s2.0-84896464845&amp;doi=10.5829%2fidosi.wasj.2014.30.mett.51&amp;partnerID=40&amp;md5=4b174f0c60e0d67cc9a59cfdda65ddfb</t>
  </si>
  <si>
    <t>2-s2.0-84896464845</t>
  </si>
  <si>
    <t>El-Sahli Z.</t>
  </si>
  <si>
    <t>El-Sahli, Zouheir (56938867300)</t>
  </si>
  <si>
    <t>The role of inbound tourist flows in promoting exports</t>
  </si>
  <si>
    <t>World Economy</t>
  </si>
  <si>
    <t>10.1111/twec.12597</t>
  </si>
  <si>
    <t>https://www.scopus.com/inward/record.uri?eid=2-s2.0-85039148298&amp;doi=10.1111%2ftwec.12597&amp;partnerID=40&amp;md5=cb329a0c60b8a86afd86824ae997d827</t>
  </si>
  <si>
    <t>2-s2.0-85039148298</t>
  </si>
  <si>
    <t>Law D.; Genç M.; Bryant J.</t>
  </si>
  <si>
    <t>Law, David (55581005800); Genç, Murat (7003967790); Bryant, John (55580591400)</t>
  </si>
  <si>
    <t>55581005800; 7003967790; 55580591400</t>
  </si>
  <si>
    <t>Trade, diaspora and migration to New Zealand</t>
  </si>
  <si>
    <t>10.1111/twec.12035</t>
  </si>
  <si>
    <t>https://www.scopus.com/inward/record.uri?eid=2-s2.0-84877618262&amp;doi=10.1111%2ftwec.12035&amp;partnerID=40&amp;md5=eca00cef8f3e9eaf61c423deb325d0f5</t>
  </si>
  <si>
    <t>2-s2.0-84877618262</t>
  </si>
  <si>
    <t>Mitra D.; Pham C.S.; Bandyopadhyay S.</t>
  </si>
  <si>
    <t>Mitra, Devashish (7203049743); Pham, Cong S. (24074770000); Bandyopadhyay, Subhayu (7402059366)</t>
  </si>
  <si>
    <t>7203049743; 24074770000; 7402059366</t>
  </si>
  <si>
    <t>Terrorism and international air travel: A gravity approach</t>
  </si>
  <si>
    <t>10.1111/twec.12680</t>
  </si>
  <si>
    <t>https://www.scopus.com/inward/record.uri?eid=2-s2.0-85050502070&amp;doi=10.1111%2ftwec.12680&amp;partnerID=40&amp;md5=e6fc9e1a20ae06e0698ad8874b07310b</t>
  </si>
  <si>
    <t>2-s2.0-85050502070</t>
  </si>
  <si>
    <t>Wang W.; Wen Y.; Xu Z.; Yang H.</t>
  </si>
  <si>
    <t>Wang, Wei (57195108298); Wen, Yun (57885717500); Xu, Zitong (57885489800); Yang, Haoxi (57193749722)</t>
  </si>
  <si>
    <t>57195108298; 57885717500; 57885489800; 57193749722</t>
  </si>
  <si>
    <t>A new view on estimating China's capital flight through the travel channel</t>
  </si>
  <si>
    <t>10.1111/twec.13623</t>
  </si>
  <si>
    <t>https://www.scopus.com/inward/record.uri?eid=2-s2.0-85200683558&amp;doi=10.1111%2ftwec.13623&amp;partnerID=40&amp;md5=dc2fb3345b2972388dd0ecf4cbaca792</t>
  </si>
  <si>
    <t>2-s2.0-85200683558</t>
  </si>
  <si>
    <t>Kanyoke E.L.</t>
  </si>
  <si>
    <t>Kanyoke, Eric Lwanga (57194908822)</t>
  </si>
  <si>
    <t>Estimating transport carbon footprints in the operation of tourism businesses: A gravity model approach</t>
  </si>
  <si>
    <t>World Leisure Journal</t>
  </si>
  <si>
    <t>10.1080/04419057.2011.630785</t>
  </si>
  <si>
    <t>https://www.scopus.com/inward/record.uri?eid=2-s2.0-85024169359&amp;doi=10.1080%2f04419057.2011.630785&amp;partnerID=40&amp;md5=9ba886a2964b9827bf0fd8289cba585e</t>
  </si>
  <si>
    <t>2-s2.0-85024169359</t>
  </si>
  <si>
    <t>Al-Habahbeh O.M.; Al-Adwan R.S.; Al-Khawaldeh M.A.</t>
  </si>
  <si>
    <t>Al-Habahbeh, Osama M. (34874576300); Al-Adwan, Romil S. (57783618700); Al-Khawaldeh, Mustafa A. (57189659166)</t>
  </si>
  <si>
    <t>34874576300; 57783618700; 57189659166</t>
  </si>
  <si>
    <t>Macro-engineering Design for an Artificial Lake in Southeastern Jordan</t>
  </si>
  <si>
    <t>WSEAS Transactions on Environment and Development</t>
  </si>
  <si>
    <t>10.37394/232015.2022.18.77</t>
  </si>
  <si>
    <t>https://www.scopus.com/inward/record.uri?eid=2-s2.0-85133507028&amp;doi=10.37394%2f232015.2022.18.77&amp;partnerID=40&amp;md5=c6473af753764263df18f803bd8da65c</t>
  </si>
  <si>
    <t>2-s2.0-85133507028</t>
  </si>
  <si>
    <t>Bini A.; Meneghel M.; Sauro U.</t>
  </si>
  <si>
    <t>Bini, Alfredo (14063098900); Meneghel, Mirco (6603139926); Sauro, Ugo (6603298903)</t>
  </si>
  <si>
    <t>14063098900; 6603139926; 6603298903</t>
  </si>
  <si>
    <t>Karst geomorphology of the Altopiani Ampezzani</t>
  </si>
  <si>
    <t>Zeitschrift fur Geomorphologie, Supplementband</t>
  </si>
  <si>
    <t>https://www.scopus.com/inward/record.uri?eid=2-s2.0-0344026205&amp;partnerID=40&amp;md5=1120f52928af3858783790d17c75faaa</t>
  </si>
  <si>
    <t>2-s2.0-0344026205</t>
  </si>
  <si>
    <t>sum</t>
  </si>
  <si>
    <t>total</t>
  </si>
  <si>
    <t>1</t>
  </si>
  <si>
    <t>study_id</t>
  </si>
  <si>
    <t>authors</t>
  </si>
  <si>
    <t>title</t>
  </si>
  <si>
    <t xml:space="preserve">journal </t>
  </si>
  <si>
    <t>year</t>
  </si>
  <si>
    <t>DOI/website</t>
  </si>
  <si>
    <t>checked</t>
  </si>
  <si>
    <t>comments</t>
  </si>
  <si>
    <t>checked_RR</t>
  </si>
  <si>
    <t>aas_2017</t>
  </si>
  <si>
    <t>Akter, Akter, Samina</t>
  </si>
  <si>
    <t>y</t>
  </si>
  <si>
    <t>ag_2019</t>
  </si>
  <si>
    <t>Alderighi, Gaggero</t>
  </si>
  <si>
    <t>Flight availability and international tourism flows</t>
  </si>
  <si>
    <t>https://doi.org/10.1016/j.annals.2018.11.009</t>
  </si>
  <si>
    <t>a_2021</t>
  </si>
  <si>
    <t>Altaf</t>
  </si>
  <si>
    <t>Tourism Planning &amp; Development</t>
  </si>
  <si>
    <t>adgp_2020</t>
  </si>
  <si>
    <t>Alvarez-Diaz, D'Hombres, Ghisetti, Pontarollo</t>
  </si>
  <si>
    <t>https://onlinelibrary.wiley.com/doi/full/10.1002/jtr.2344</t>
  </si>
  <si>
    <t>apr_2016</t>
  </si>
  <si>
    <t>Artal-Tur, Pallardo-Lopez, Requena-Silvente</t>
  </si>
  <si>
    <t>Examining the Impact of Visa Restrictions on International Tourist Flows Using Panel Data*</t>
  </si>
  <si>
    <t>Estudios de Economía</t>
  </si>
  <si>
    <t>https://www.scielo.cl/pdf/ede/v43n2/art05.pdf</t>
  </si>
  <si>
    <t>bbc_2013</t>
  </si>
  <si>
    <t>Balli, Balli, Cebeci</t>
  </si>
  <si>
    <t>https://doi.org/10.1016/j.tourman.2013.01.013</t>
  </si>
  <si>
    <t>bbkj_2018</t>
  </si>
  <si>
    <t>Balli, Balli, Karimova, Jean Louis</t>
  </si>
  <si>
    <t>Gulf Cooperation Council Outbound Tourism: The Role of Expatriates</t>
  </si>
  <si>
    <t>DOI: 10.3727/108354218X15305419108047</t>
  </si>
  <si>
    <t>bbl_2016</t>
  </si>
  <si>
    <t>Balli, Balli, Louis</t>
  </si>
  <si>
    <t>https://doi.org/10.1016/j.tourman.2015.06.021</t>
  </si>
  <si>
    <t>They include time zone!</t>
  </si>
  <si>
    <t>bx_2019</t>
  </si>
  <si>
    <t>Bao, Xie</t>
  </si>
  <si>
    <t>Determinants of Domestic Tourism Demand for Guilin</t>
  </si>
  <si>
    <t>Based on train travel time</t>
  </si>
  <si>
    <t>bgn_2021</t>
  </si>
  <si>
    <t>Belgodere, Giannoni, Noblet</t>
  </si>
  <si>
    <t>Are good institutions required to import economic growth? The case of tourism</t>
  </si>
  <si>
    <t>DOI: 10.1177/13548166211024806</t>
  </si>
  <si>
    <t>bl_2018</t>
  </si>
  <si>
    <t>Bi, Lehto</t>
  </si>
  <si>
    <t>Impact of cultural distance on international destination choices: The case of Chinese outbound travelers</t>
  </si>
  <si>
    <t>https://doi.org/10.1002/jtr.2152</t>
  </si>
  <si>
    <t>ccc_2018</t>
  </si>
  <si>
    <t>Cafiso, Cellini, Cuccia</t>
  </si>
  <si>
    <t>cms_2024</t>
  </si>
  <si>
    <t>Carril-Caccia, Martin, Saez-Fernandez</t>
  </si>
  <si>
    <t>c_2022</t>
  </si>
  <si>
    <t>Cevik</t>
  </si>
  <si>
    <t>The first table is very strange (but I leave it in for the moment)</t>
  </si>
  <si>
    <t>cyl_2024</t>
  </si>
  <si>
    <t>Chi, Yang, Lin</t>
  </si>
  <si>
    <t>c_2014</t>
  </si>
  <si>
    <t>Chibet</t>
  </si>
  <si>
    <t>ct_2019</t>
  </si>
  <si>
    <t>Chow, Tsui</t>
  </si>
  <si>
    <t>Cross‐border tourism: Case study of inbound Russian visitor arrivals to China</t>
  </si>
  <si>
    <t>https://doi.org/10.1002/jtr.2297</t>
  </si>
  <si>
    <t>ct_1973</t>
  </si>
  <si>
    <t>Crampton, Tan</t>
  </si>
  <si>
    <t>A Model of tourism flow into the Pacific</t>
  </si>
  <si>
    <t>The Tourist Review</t>
  </si>
  <si>
    <t>10.1108/eb057683</t>
  </si>
  <si>
    <t>Culiuc</t>
  </si>
  <si>
    <t>Determinants of International tourism</t>
  </si>
  <si>
    <t>IMF working paper</t>
  </si>
  <si>
    <t>Check this later again! Lots of variation</t>
  </si>
  <si>
    <t>cn_2020</t>
  </si>
  <si>
    <t>Czaika, Neumayer</t>
  </si>
  <si>
    <t>https://doi.org/10.1080/13683500.2019.1590322</t>
  </si>
  <si>
    <t>v_2014</t>
  </si>
  <si>
    <t>de Vita</t>
  </si>
  <si>
    <t>The long-run impact of exchange rate regimes on international tourism flows</t>
  </si>
  <si>
    <t>https://doi.org/10.1016/j.tourman.2014.05.001</t>
  </si>
  <si>
    <t>dj_2014</t>
  </si>
  <si>
    <t>Deluna, Jeon</t>
  </si>
  <si>
    <t>DETERMINANTS OF INTERNATIONAL TOURISM DEMAND FOR THE PHILIPPINES: AN AUGMENTED GRAVITY MODEL APPROACH</t>
  </si>
  <si>
    <t>MPRA working paper</t>
  </si>
  <si>
    <t>https://mpra.ub.uni-muenchen.de/55294/1/MPRA_paper_55294.pdf</t>
  </si>
  <si>
    <t>dh_2019</t>
  </si>
  <si>
    <t>Deng, Hu</t>
  </si>
  <si>
    <t>Modelling China’s outbound tourist flow to the ‘Silk Road’: A spatial econometric approach</t>
  </si>
  <si>
    <t>DOI: 10.1177/1354816618809763</t>
  </si>
  <si>
    <t>dii_2024</t>
  </si>
  <si>
    <t>Drapkin, Ivan, Ilya</t>
  </si>
  <si>
    <t>dmp_2020</t>
  </si>
  <si>
    <t>Dropsy, Montet, Poirine</t>
  </si>
  <si>
    <t>DOI: 10.1177/1354816619855233</t>
  </si>
  <si>
    <t>estimates in second half not standard errors</t>
  </si>
  <si>
    <t>ee_2004</t>
  </si>
  <si>
    <t>Eilat, Einav</t>
  </si>
  <si>
    <t>Determinants of international tourism: a three-dimensional panel data analysis</t>
  </si>
  <si>
    <t>https://doi.org/10.1080/000368404000180897</t>
  </si>
  <si>
    <t>eke_2010</t>
  </si>
  <si>
    <t>Eryigit, Kotil, Eryigit</t>
  </si>
  <si>
    <t>https://doi.org/10.5367/000000010792278374</t>
  </si>
  <si>
    <t>Removed two positive and high elasticities (suspect error)</t>
  </si>
  <si>
    <t>frs_2016</t>
  </si>
  <si>
    <t>Fourie, Rossello, Santana-Gallego</t>
  </si>
  <si>
    <t>Which God is Good for Tourism?</t>
  </si>
  <si>
    <t>frs_2015</t>
  </si>
  <si>
    <t>Religion, Religious Diversity and Tourism</t>
  </si>
  <si>
    <t>fs_2022</t>
  </si>
  <si>
    <t>Fourie, Santana-Gallego</t>
  </si>
  <si>
    <t>fs_2013</t>
  </si>
  <si>
    <t>https://doi.org/10.1016/j.tourman.2012.10.002</t>
  </si>
  <si>
    <t>fs_2011</t>
  </si>
  <si>
    <t>https://doi.org/10.1016/j.tourman.2011.01.011</t>
  </si>
  <si>
    <t>gfp_2016</t>
  </si>
  <si>
    <t>Galli, Fraga, Peixoto de Sequeira Santor</t>
  </si>
  <si>
    <t xml:space="preserve">Gravitational force exerted by Brazilian tourist destinations on foreign air travelers </t>
  </si>
  <si>
    <t>http://dx.doi.org/10.1016/j.jairtraman.2016.04.011</t>
  </si>
  <si>
    <t>ga_2023</t>
  </si>
  <si>
    <t>Gani, Al-Kharusi</t>
  </si>
  <si>
    <t>gc_2021</t>
  </si>
  <si>
    <t>Gani, Clemes</t>
  </si>
  <si>
    <t>https://doi.org/10.1080/13683500.2020.1835841</t>
  </si>
  <si>
    <t>gc_2017</t>
  </si>
  <si>
    <t>The main determinants effecting international visitor arrivals in New Zealand: Some empirical evidence</t>
  </si>
  <si>
    <t>DOI: 10.1177/1354816616656417</t>
  </si>
  <si>
    <t>g_2021</t>
  </si>
  <si>
    <t>Gavriilidis</t>
  </si>
  <si>
    <t>https://doi.org/10.1080/13683500.2020.1803222</t>
  </si>
  <si>
    <t>g_2013</t>
  </si>
  <si>
    <t>Genc</t>
  </si>
  <si>
    <t>Quantitative Methods in Tourism Economics (ed)</t>
  </si>
  <si>
    <t>DOI 10.1007/978-3-7908-2879-5_7</t>
  </si>
  <si>
    <t>Chapter in edited volume</t>
  </si>
  <si>
    <t>gfss_2019</t>
  </si>
  <si>
    <t>Ghalia, Fidrmuc, Samargandi, Sohag</t>
  </si>
  <si>
    <t>https://doi.org/10.1016/j.tmp.2019.100576</t>
  </si>
  <si>
    <t>Focuses on risk and institutional quality</t>
  </si>
  <si>
    <t>g_2019</t>
  </si>
  <si>
    <t>Ghani</t>
  </si>
  <si>
    <t>Tourist Arrivals to Muslim Countries: Pre-and Post-September 11</t>
  </si>
  <si>
    <t>https://www.researchgate.net/publication/338264117_Tourist_Arrivals_to_Muslim_Countries_Pre-and_Post-September_11/link/5e0b735ea6fdcc28374b2c48/download</t>
  </si>
  <si>
    <t>g_2016</t>
  </si>
  <si>
    <t>Tourist arrivals to Malaysia from Muslim counties</t>
  </si>
  <si>
    <t>http://dx.doi.org/10.1016/j.tmp.2016.06.003</t>
  </si>
  <si>
    <t>gly_2017</t>
  </si>
  <si>
    <t>Ghosh, Lien, Yamarik</t>
  </si>
  <si>
    <t>glm_2007</t>
  </si>
  <si>
    <t>Gil-Pareja, Llorca-Vivero, Martinez-Serrano</t>
  </si>
  <si>
    <t>https://doi.org/10.1016/j.tourman.2006.04.016</t>
  </si>
  <si>
    <t>gg_2010</t>
  </si>
  <si>
    <t>Gormus, Gocer</t>
  </si>
  <si>
    <t>The socio-economic determinant of tourism demand in Turkey: A panel data approach</t>
  </si>
  <si>
    <t>International Research Journal of Finance and Economics</t>
  </si>
  <si>
    <t>https://www.researchgate.net/publication/288690645_The_socio-economic_determinant_of_tourism_demand_in_Turkey_A_panel_data_approach/link/56b2298c08ae56d7b06ca7e3/download</t>
  </si>
  <si>
    <t>gcra_2024</t>
  </si>
  <si>
    <t>Goswami, Chowdhury, Rahman, Atique</t>
  </si>
  <si>
    <t>Sustainability</t>
  </si>
  <si>
    <t>Strange results but do not see a reason to not incorporate them; fixed effects not as they counteract with distance</t>
  </si>
  <si>
    <t>grlg_2017</t>
  </si>
  <si>
    <t>Gouveia, Rebelo, Lourenco-Gomes, Guedes</t>
  </si>
  <si>
    <t>DOI: 10.1177/1354816617692478</t>
  </si>
  <si>
    <t>Did not incorporate the HT estimator as it blows up standard errors to a very large amount</t>
  </si>
  <si>
    <t>gs_2018</t>
  </si>
  <si>
    <t>Groizard, Santana-Gallego</t>
  </si>
  <si>
    <t>The destruction of cultural heritage and international tourism: The case of the Arab countries | Elsevier Enhanced Reader</t>
  </si>
  <si>
    <t>https://doi.org/10.1016/j.culher.2018.06.005</t>
  </si>
  <si>
    <t>gfgr_2022</t>
  </si>
  <si>
    <t>Guedes, Faria, Gouveia, Rebelo</t>
  </si>
  <si>
    <t>This one is a bit dubious (strange typo as well)</t>
  </si>
  <si>
    <t>hb_2020</t>
  </si>
  <si>
    <t>Harb, Bassil</t>
  </si>
  <si>
    <t>https://doi.org/10.1080/13683500.2018.1544612</t>
  </si>
  <si>
    <t>Terrorism and inbound tourism: does immigration have a moderating effect?</t>
  </si>
  <si>
    <t>https://doi.org/10.1177/1354816619843452</t>
  </si>
  <si>
    <t>ha_2022</t>
  </si>
  <si>
    <t>Hartarto, Azizurrohman</t>
  </si>
  <si>
    <t>https://jecd.sesric.org/pdf.php?file=ART21080902-2.pdf</t>
  </si>
  <si>
    <t>hww_2022</t>
  </si>
  <si>
    <t>Hartarto, Wardani, Wibowo</t>
  </si>
  <si>
    <t>https://doi.org/10.1080/19407963.2022.2137807</t>
  </si>
  <si>
    <t>hea_2023</t>
  </si>
  <si>
    <t>Heriqbaldi, Esquivias, Agusti</t>
  </si>
  <si>
    <t>hty_2012</t>
  </si>
  <si>
    <t>Huang, Tsaur, Yang</t>
  </si>
  <si>
    <t>Does world heritage list really induce more tourists? Evidence from Macau</t>
  </si>
  <si>
    <t>https://doi.org/10.1016/j.tourman.2012.01.014</t>
  </si>
  <si>
    <t>ipr_2021</t>
  </si>
  <si>
    <t>Ibragimov, Perles-Ribes, Ramon-Rodriguez</t>
  </si>
  <si>
    <t>DOI: 10.1177/13548166211009985</t>
  </si>
  <si>
    <t>Excluded two estimations with little spatial variation</t>
  </si>
  <si>
    <t>k_2016</t>
  </si>
  <si>
    <t>Karaman</t>
  </si>
  <si>
    <t>Have not used table 7 as I do no know what medium is</t>
  </si>
  <si>
    <t>kjsc_2023</t>
  </si>
  <si>
    <t>Karimov, Jeong, Sobirov, Choi</t>
  </si>
  <si>
    <t>k_2010</t>
  </si>
  <si>
    <t>Keum</t>
  </si>
  <si>
    <t>Tourism flows and trade theory: a panel data analysis with the gravity model</t>
  </si>
  <si>
    <t>The Annals of Regional Science</t>
  </si>
  <si>
    <t>https://doi.org/10.1007/s00168-008-0275-2</t>
  </si>
  <si>
    <t>koa_2019</t>
  </si>
  <si>
    <t>Khalid, Okafor, Aziz</t>
  </si>
  <si>
    <t>DOI: 10.1177/1354816619851404</t>
  </si>
  <si>
    <t>kob_2021</t>
  </si>
  <si>
    <t>Khalid, Okafor, Burzynska</t>
  </si>
  <si>
    <t>DOI: 10.1177/00472875211028321</t>
  </si>
  <si>
    <t>kos_2022</t>
  </si>
  <si>
    <t>Khalid, Okafor, Sanusi</t>
  </si>
  <si>
    <t>Exploring diverse sources of linguistic influence on international tourism flows</t>
  </si>
  <si>
    <t>DOI: 10.1177/0047287520988909</t>
  </si>
  <si>
    <t>kos_2022_a</t>
  </si>
  <si>
    <t>Khalid, okafor, Shafiullah</t>
  </si>
  <si>
    <t>The effects of economic and financial crises on international tourist flows: A cross-country analysis</t>
  </si>
  <si>
    <t>doi.org/10.1177/0047287519834360</t>
  </si>
  <si>
    <t>kos_2021</t>
  </si>
  <si>
    <t>Kuka, Oh, Song</t>
  </si>
  <si>
    <t>Only first three estimations as last three are not identified because of country fixed effects</t>
  </si>
  <si>
    <t>l_2010</t>
  </si>
  <si>
    <t>Leitao</t>
  </si>
  <si>
    <t>Does Trade Help to Explain Tourism Demand? The Case of Portugal</t>
  </si>
  <si>
    <t>Theoretical and Applied Economics</t>
  </si>
  <si>
    <t>http://store.ectap.ro/articole/451.pdf</t>
  </si>
  <si>
    <t>lgy_2014</t>
  </si>
  <si>
    <t>Lien, Ghosh, Yamarik</t>
  </si>
  <si>
    <t>https://doi.org/10.1080/00036846.2014.889802</t>
  </si>
  <si>
    <t>lyz_2017</t>
  </si>
  <si>
    <t>Lien, Yai, Zhang</t>
  </si>
  <si>
    <t>Confucius Institute’s effects on international travel to China: do cultural difference or institutional quality matter?</t>
  </si>
  <si>
    <t>https://doi.org/10.1080/00036846.2016.1265078</t>
  </si>
  <si>
    <t>lqlj_2022</t>
  </si>
  <si>
    <t>Lin, Qin, Li, Jiang</t>
  </si>
  <si>
    <t>lhw_2020</t>
  </si>
  <si>
    <t>Liou, Hsu, Wu</t>
  </si>
  <si>
    <t>https://doi.org/10.1016/j.tourman.2019.104055</t>
  </si>
  <si>
    <t>lppp_2023</t>
  </si>
  <si>
    <t>Llano, Pardo, Perez-Balsalobre, Perez</t>
  </si>
  <si>
    <t>Focus only on tourists and not on visitors</t>
  </si>
  <si>
    <t>l_2008</t>
  </si>
  <si>
    <t>Llorca-Vivero</t>
  </si>
  <si>
    <t>Terrorism and International Tourism: New Evidence</t>
  </si>
  <si>
    <t>Defense and Peace Economics</t>
  </si>
  <si>
    <t>llb_2022</t>
  </si>
  <si>
    <t>Lo, Lien, Bojanic</t>
  </si>
  <si>
    <t>The International Trade Journal</t>
  </si>
  <si>
    <t>https://doi.org/10.1080/08853908.2022.2128478</t>
  </si>
  <si>
    <t>mk_2016</t>
  </si>
  <si>
    <t>Malaj, Kapiki</t>
  </si>
  <si>
    <t>DETERMINANTS OF TOURISM FLOWS TO GREECE: A GRAVITY MODEL APPROACH</t>
  </si>
  <si>
    <t>10.26215/tourismos.v11i2.473</t>
  </si>
  <si>
    <t>mm_2023</t>
  </si>
  <si>
    <t>Malaj, Malaj</t>
  </si>
  <si>
    <t>Journal of Tourism, Heritage &amp; Services Marketing</t>
  </si>
  <si>
    <t>mp_2013</t>
  </si>
  <si>
    <t>Marrocu, Paci</t>
  </si>
  <si>
    <t>mp_2017</t>
  </si>
  <si>
    <t>Marti, Puertas</t>
  </si>
  <si>
    <t>10.54055/ejtr.v15i.267</t>
  </si>
  <si>
    <t>ms_2022</t>
  </si>
  <si>
    <t>Matsuura, Saito</t>
  </si>
  <si>
    <t>https://doi.org/10.1016/j.annals.2021.103326</t>
  </si>
  <si>
    <t>mt_2018</t>
  </si>
  <si>
    <t>McKay, Tekleselassie</t>
  </si>
  <si>
    <t>Tall paper walls: The political economy of visas and cross-border travel</t>
  </si>
  <si>
    <t>The World Economy</t>
  </si>
  <si>
    <t>10.1111/twec.12686</t>
  </si>
  <si>
    <t>ma_2008</t>
  </si>
  <si>
    <t>Muhammad, Andrews</t>
  </si>
  <si>
    <t>DETERMINING TOURIST ARRIVALS IN UGANDA: THE IMPACT OF DISTANCE, TRADE AND ORIGIN-SPECIFIC FACTORS</t>
  </si>
  <si>
    <t>African Journal of Accounting, Economics, Finance and Banking Research</t>
  </si>
  <si>
    <t>https://www.researchgate.net/publication/26568824_DETERMINING_TOURIST_ARRIVALS_IN_UGANDA_THE_IMPACT_OF_DISTANCE_TRADE_AND_ORIGIN-SPECIFIC_FACTORS</t>
  </si>
  <si>
    <t>mab_2021</t>
  </si>
  <si>
    <t>Munoz, Alvarez, Banos</t>
  </si>
  <si>
    <t>n_2010</t>
  </si>
  <si>
    <t>Neumayer</t>
  </si>
  <si>
    <t>Visa Restrictions and Bilateral Travel</t>
  </si>
  <si>
    <t>The Professional Geographer</t>
  </si>
  <si>
    <t>10.1080/00330121003600835</t>
  </si>
  <si>
    <t>oz_2016</t>
  </si>
  <si>
    <t>Oh, Zhong</t>
  </si>
  <si>
    <t>oaf_2021</t>
  </si>
  <si>
    <t>Okafor, Adeola, Folarin</t>
  </si>
  <si>
    <t>ok_2020</t>
  </si>
  <si>
    <t>Okafor, Khalid</t>
  </si>
  <si>
    <t>Regaining international tourism attractiveness after an armed conflict: The role of security spending</t>
  </si>
  <si>
    <t>https://doi.org/10.1080/13683500.2020.1734547</t>
  </si>
  <si>
    <t>oka_2021</t>
  </si>
  <si>
    <t>Okafor, Khalid, Adeola</t>
  </si>
  <si>
    <t>Tourism, Hospitality and Event Management (book chapter)</t>
  </si>
  <si>
    <t>Removed two (SSA) observations as origin/destination is not clear</t>
  </si>
  <si>
    <t>oks_2023</t>
  </si>
  <si>
    <t>Okafor, Khalid, Sooriyarachchi</t>
  </si>
  <si>
    <t>okt_2018</t>
  </si>
  <si>
    <t>Okafor, Khalid, Then</t>
  </si>
  <si>
    <t>https://doi.org/10.1016/j.tourman.2018.01.008</t>
  </si>
  <si>
    <t>otk_2021</t>
  </si>
  <si>
    <t>Okafor, Tan, Khalid</t>
  </si>
  <si>
    <t xml:space="preserve">Does Panda diplomacy promote Chinese outbound tourism flows </t>
  </si>
  <si>
    <t>https://doi.org/10.1016/j.jhtm.2021.08.019</t>
  </si>
  <si>
    <t>Still not sure about positive effects in Table 5</t>
  </si>
  <si>
    <t>ot_2023</t>
  </si>
  <si>
    <t>Özdemir, Tosun</t>
  </si>
  <si>
    <t>Determinants of tourism demand in context of environmental quality</t>
  </si>
  <si>
    <t xml:space="preserve">Advances in Hospitality and Tourism Research </t>
  </si>
  <si>
    <t>pps_2022</t>
  </si>
  <si>
    <t>Paniagua, Peiro-Palomino, Santana-Gallego</t>
  </si>
  <si>
    <t>pgg_2021</t>
  </si>
  <si>
    <t>Panzera, de Graaff, de Groot</t>
  </si>
  <si>
    <t>pj_2014</t>
  </si>
  <si>
    <t>Park, Jang</t>
  </si>
  <si>
    <t>Journal of Travel &amp; Tourism Marketing</t>
  </si>
  <si>
    <t>pmc_2013</t>
  </si>
  <si>
    <t>Patuelli, Mussoni, Candela</t>
  </si>
  <si>
    <t>The effects of World Heritage Sites on domestic tourism: a spatial interaction model for Italy</t>
  </si>
  <si>
    <t>J Geogr Syst</t>
  </si>
  <si>
    <t>10.1007/s10109-013-0184-5</t>
  </si>
  <si>
    <t>ptlv_2023</t>
  </si>
  <si>
    <t>Pham, Trinh, Le, Vo</t>
  </si>
  <si>
    <t>Table 4 is not used as all estimates seem to decrease with factor 10 (?)</t>
  </si>
  <si>
    <t>prs_2016</t>
  </si>
  <si>
    <t>Pintassilgo, Rossello, Santana-Gallego</t>
  </si>
  <si>
    <t>DOI: 10.1177/1354816616654242</t>
  </si>
  <si>
    <t>ppl_2019</t>
  </si>
  <si>
    <t>Pompili, Pisati, Lorenzini</t>
  </si>
  <si>
    <t>pss_2015</t>
  </si>
  <si>
    <t>Priego, Rossello, Santana-Gallego</t>
  </si>
  <si>
    <t>p_2020</t>
  </si>
  <si>
    <t>Provenzano</t>
  </si>
  <si>
    <t>DOI: 10.1177/1354816620909994</t>
  </si>
  <si>
    <t>pb_2017</t>
  </si>
  <si>
    <t>Provenzano, Baggio</t>
  </si>
  <si>
    <t>The contribution of human migration to tourism: The VFR travel between the EU 28 member states</t>
  </si>
  <si>
    <t>https://doi.org/10.1002/jtr.2127</t>
  </si>
  <si>
    <t>ptac_2019</t>
  </si>
  <si>
    <t>Puah, Thien, Arip, Chin</t>
  </si>
  <si>
    <t>Modelling a Tourism Demand in Vietnam</t>
  </si>
  <si>
    <t>https://www.researchgate.net/publication/359082406_Modelling_a_Tourism_Demand_in_Vietnam/link/622706d99f7b32463417b287/download</t>
  </si>
  <si>
    <t>Removed two elasticities as they used country individual effects with constrained destination</t>
  </si>
  <si>
    <t>qfkk_2023</t>
  </si>
  <si>
    <t>Qin, Fang, Ka Wai Lai, Kanwar Abbas</t>
  </si>
  <si>
    <t>rmg_2011</t>
  </si>
  <si>
    <t>Rey, Myro, Galera</t>
  </si>
  <si>
    <t>Effect of low-cost airlines on tourism in Spain. A dynamic panel data model</t>
  </si>
  <si>
    <t>10.1016/j.jairtraman.2010.12.004</t>
  </si>
  <si>
    <t>rs_2024</t>
  </si>
  <si>
    <t>Rossello, Santana-Gallego</t>
  </si>
  <si>
    <t>rs_2024a</t>
  </si>
  <si>
    <t>We only use Tables 2 and 3 as we do not have the reference category for the other tables</t>
  </si>
  <si>
    <t>rs_2014</t>
  </si>
  <si>
    <t>Recent trends in international tourist climate preferences: a revised picture for climatic change scenarios</t>
  </si>
  <si>
    <t>Climatic Change</t>
  </si>
  <si>
    <t>10.1007/s10584-014-1086-3</t>
  </si>
  <si>
    <t>rsa_2017</t>
  </si>
  <si>
    <t>Rossello, Santana-Gallego, Awan</t>
  </si>
  <si>
    <t xml:space="preserve">Infectious disease risk and international tourism demand </t>
  </si>
  <si>
    <t>https://academic.oup.com/heapol/article/32/4/538/2926036</t>
  </si>
  <si>
    <t>sfc_2016</t>
  </si>
  <si>
    <t>Saayman, Figini, Cassella</t>
  </si>
  <si>
    <t>DOI: 10.1177/1354816616672600</t>
  </si>
  <si>
    <t>We do not account for total bilateral flows; this one is tricky in the tables!</t>
  </si>
  <si>
    <t>ssu_2020</t>
  </si>
  <si>
    <t>Salahodjaev, Safarova, Usmanova</t>
  </si>
  <si>
    <t>https://scienceweb.uz/publication/5217</t>
  </si>
  <si>
    <t>slp_2010</t>
  </si>
  <si>
    <t>Santana-Gallego, Ledesma-Rodriguez, Perez-Rodriguez</t>
  </si>
  <si>
    <t>Exchange rate regimes and tourism</t>
  </si>
  <si>
    <t>https://doi.org/10.5367/000000010790872015</t>
  </si>
  <si>
    <t>slpc_2010</t>
  </si>
  <si>
    <t>Santana-Gallego, Ledesma-Rodriguez, Perez-Rodriguez, Cortes-Jimenez</t>
  </si>
  <si>
    <t>Does a Common Currency Promote Countries’ Growth via Trade and Tourism?</t>
  </si>
  <si>
    <t>10.1111/j.1467-9701.2010.01305.x</t>
  </si>
  <si>
    <t>s_2015</t>
  </si>
  <si>
    <t>Santeramo</t>
  </si>
  <si>
    <t>Research note: promoting the international demand for agritourism: empirical evidence from a dynamic panel data model</t>
  </si>
  <si>
    <t>doi: 10.5367/te.2014.0397</t>
  </si>
  <si>
    <t>sm_2016</t>
  </si>
  <si>
    <t>Santeramo, Morelli</t>
  </si>
  <si>
    <t>https://doi.org/10.1080/13683500.2015.1051518</t>
  </si>
  <si>
    <t>ssn_2017</t>
  </si>
  <si>
    <t>Santeramo, Seccia, Nardone</t>
  </si>
  <si>
    <t>sdr_2010</t>
  </si>
  <si>
    <t>Seetanah, Durbarry, Ragodoo</t>
  </si>
  <si>
    <t>Using the Panel Cointegration Approach to Analyse the Determinants of Tourism Demand in South Africa</t>
  </si>
  <si>
    <t>https://doi.org/10.5367/000000010792278437</t>
  </si>
  <si>
    <t>sko_2022</t>
  </si>
  <si>
    <t>Shafiullah, khalid, Okafor</t>
  </si>
  <si>
    <t xml:space="preserve">Do birds of a feather flock together? Analyzing environmental performance and tourist behavior using a gravity approach </t>
  </si>
  <si>
    <t>https://doi.org/10.1177/13548166221097025</t>
  </si>
  <si>
    <t>snh_2002</t>
  </si>
  <si>
    <t>Shah, Nengroo, ul Haq</t>
  </si>
  <si>
    <t>Determinants of International Tourism Demand in India: an Augmented Gravity Model Approach</t>
  </si>
  <si>
    <t>Studia Universitatis Vasile Goldiș Arad, Seria Științe Economice</t>
  </si>
  <si>
    <t>https://publicatii.uvvg.ro/index.php/studiaeconomia/article/view/728</t>
  </si>
  <si>
    <t>sd_2018</t>
  </si>
  <si>
    <t>Siskos, Darvidou</t>
  </si>
  <si>
    <t>Not the best study it seems (omit?)</t>
  </si>
  <si>
    <t>s_2010</t>
  </si>
  <si>
    <t>Song, Wonho</t>
  </si>
  <si>
    <t>Impacts of Olympics on Exports and Tourism</t>
  </si>
  <si>
    <t>Journal of Economic Development</t>
  </si>
  <si>
    <t>10.35866/caujed.2010.35.4.005</t>
  </si>
  <si>
    <t>t_2021</t>
  </si>
  <si>
    <t>Tang</t>
  </si>
  <si>
    <t>https://doi.org/10.1002/jtr.2390</t>
  </si>
  <si>
    <t>tz_2025</t>
  </si>
  <si>
    <t>Tang, Zhang</t>
  </si>
  <si>
    <t>How cultural differences affect outbound tourism demand</t>
  </si>
  <si>
    <t>https://doi.org/10.1016/j.jhtm.2025.01.007</t>
  </si>
  <si>
    <t>Only results from the benchmark table are included; tables in the appendix are unclear in specification</t>
  </si>
  <si>
    <t>ts_2022</t>
  </si>
  <si>
    <t>Tangvitoontham, Sattayanuwat</t>
  </si>
  <si>
    <t>https://proa.ua.pt/index.php/rtd/article/view/30348</t>
  </si>
  <si>
    <t>tr_2014</t>
  </si>
  <si>
    <t>Tveteras, Roll</t>
  </si>
  <si>
    <t>Non-stop flights and tourist arrivals</t>
  </si>
  <si>
    <t>doi: 10.5367/te.2013.0263</t>
  </si>
  <si>
    <t>vo_2013</t>
  </si>
  <si>
    <t>Velasquez, Oh</t>
  </si>
  <si>
    <t>v_2019</t>
  </si>
  <si>
    <t>Vierhaus</t>
  </si>
  <si>
    <t>https://doi.org/10.1177/1354816618814329</t>
  </si>
  <si>
    <t>v_2012</t>
  </si>
  <si>
    <t>Vietze</t>
  </si>
  <si>
    <t>Cultural effects on inbound tourism into the USA: a gravity approach</t>
  </si>
  <si>
    <t>doi: 10.5367/te.2012.0100</t>
  </si>
  <si>
    <t>vss_2019</t>
  </si>
  <si>
    <t>Vijloen, Saayman, Saayman</t>
  </si>
  <si>
    <t>vjs_2016</t>
  </si>
  <si>
    <t>Voltes-Dorta, Jimenez, Suarez-Aleman</t>
  </si>
  <si>
    <t>https://doi.org/10.1080/10242694.2015.1025485</t>
  </si>
  <si>
    <t>xd_2020</t>
  </si>
  <si>
    <t>Xu, Dong</t>
  </si>
  <si>
    <t>Evaluating the Impact of Air Pollution on China’s Inbound Tourism: A Gravity Model Approach</t>
  </si>
  <si>
    <t>xwlts_2019</t>
  </si>
  <si>
    <t>Xu, Wang, Li, Tang, Shao</t>
  </si>
  <si>
    <t>DOI: 10.1177/1354816618816167</t>
  </si>
  <si>
    <t>Be careful, some results are repeated!</t>
  </si>
  <si>
    <t>yll_2019</t>
  </si>
  <si>
    <t>Yang, Li, Li</t>
  </si>
  <si>
    <t>Public transport connectivity and intercity tourist flows</t>
  </si>
  <si>
    <t>doi.org/10.1177/0047287517741997</t>
  </si>
  <si>
    <t>yl_2014</t>
  </si>
  <si>
    <t>Yang, Lin</t>
  </si>
  <si>
    <t>Revisiting the relationship between World Heritage Sites and tourism</t>
  </si>
  <si>
    <t>https://doi.org/10.5367/te.2013.0359</t>
  </si>
  <si>
    <t>Did not incorporate the so-called FEVD estimates as it seems that it takes too much variation away</t>
  </si>
  <si>
    <t>ylh_2010</t>
  </si>
  <si>
    <t>Yang, Lin, Han</t>
  </si>
  <si>
    <t>Analysis of international tourist arrivals in China: The role of World Heritage Sites</t>
  </si>
  <si>
    <t>https://doi.org/10.1016/j.tourman.2009.08.008</t>
  </si>
  <si>
    <t>We leave out fe as distance does not change; moreover we also leave out origin constrainted studies</t>
  </si>
  <si>
    <t>yll_2019_a</t>
  </si>
  <si>
    <t>Yang, Liu, Li</t>
  </si>
  <si>
    <t>The world is flatter? Examining the relationship between cultural distance and international tourist flows</t>
  </si>
  <si>
    <t>yw_2012</t>
  </si>
  <si>
    <t>Yang, Wong</t>
  </si>
  <si>
    <t>The influence of cultural distance on China inbound tourism flows: a panel data gravity model approach</t>
  </si>
  <si>
    <t>Asian Geographer</t>
  </si>
  <si>
    <t>10.1080/10225706.2012.662314</t>
  </si>
  <si>
    <t>yg_2019</t>
  </si>
  <si>
    <t>Yerdelen, Gul</t>
  </si>
  <si>
    <t>ys_2015</t>
  </si>
  <si>
    <t>Yun Hsing, Shrabani</t>
  </si>
  <si>
    <t>zf_2014</t>
  </si>
  <si>
    <t>Zhang, Findlay</t>
  </si>
  <si>
    <t>Air transport policy and its impacts on passenger traffic and tourist flows</t>
  </si>
  <si>
    <t>10.1016/j.jairtraman.2013.07.010</t>
  </si>
  <si>
    <t>zxw_2019</t>
  </si>
  <si>
    <t>Zhang, Xiang, Wu</t>
  </si>
  <si>
    <t>The impacts of cultural values on bilateral international tourist flows: A panel data gravity model</t>
  </si>
  <si>
    <t>https://doi.org/10.1080/13683500.2017.1345870</t>
  </si>
  <si>
    <t>zl_2022</t>
  </si>
  <si>
    <t>Zhu, Liu</t>
  </si>
  <si>
    <t>References and estimations codification</t>
  </si>
  <si>
    <t>study_key</t>
  </si>
  <si>
    <t>Abbreviation of authors'surnames and year of publication</t>
  </si>
  <si>
    <t>Each paper included in the analysis corresponds to a single study ID (from 1 to X)</t>
  </si>
  <si>
    <t>estimate_id</t>
  </si>
  <si>
    <t>Each distance coefficient reported in corresponds to an estimate ID</t>
  </si>
  <si>
    <t>pub_year</t>
  </si>
  <si>
    <t>Year of publication</t>
  </si>
  <si>
    <t>Distance coefficients (effect size)</t>
  </si>
  <si>
    <t>dist</t>
  </si>
  <si>
    <t>Coefficient corresponding to the logarithm of distance between origin and destination</t>
  </si>
  <si>
    <t>dist_se</t>
  </si>
  <si>
    <t>Standard error</t>
  </si>
  <si>
    <t>dist_tstat</t>
  </si>
  <si>
    <t>T-statistics</t>
  </si>
  <si>
    <t>Dependent Variable</t>
  </si>
  <si>
    <t>arrivals</t>
  </si>
  <si>
    <t>Whether dependent variable measures arrivals (=1); otherwise it measure overnight stays</t>
  </si>
  <si>
    <t>dynamic</t>
  </si>
  <si>
    <t>Whenever the lagged dependent variable is included as one of the independent variables the regression is categorized as dynamic</t>
  </si>
  <si>
    <t>Used estimator and method</t>
  </si>
  <si>
    <t>sample_size</t>
  </si>
  <si>
    <t>Sample size of each reported regression</t>
  </si>
  <si>
    <t>ls</t>
  </si>
  <si>
    <t>dummy if estimator is of least squares family (OLS, GLS and as well 2stage IV)</t>
  </si>
  <si>
    <t>ml</t>
  </si>
  <si>
    <t>dummy if estimator is maximum likelihood (for pooled logit as in (5) or technical efficiency as in (15))</t>
  </si>
  <si>
    <t>ppml</t>
  </si>
  <si>
    <t xml:space="preserve">dummy if estimator is pseudo poisson maximum likelihood </t>
  </si>
  <si>
    <t>neg_bin</t>
  </si>
  <si>
    <t>dummy if estimator is negative binomial</t>
  </si>
  <si>
    <t>other</t>
  </si>
  <si>
    <t>dummy if other type of estimator</t>
  </si>
  <si>
    <t>zero_inflated</t>
  </si>
  <si>
    <t>dummy if controlled for zero-inflated data</t>
  </si>
  <si>
    <t>fixed_effects</t>
  </si>
  <si>
    <t>dummy if fixed effects are used (in origin, destination or both; not for time)</t>
  </si>
  <si>
    <t>region_time_fixed_effects</t>
  </si>
  <si>
    <t>dummy if origin-time and destination-time fixed effects are included</t>
  </si>
  <si>
    <t>random_effects</t>
  </si>
  <si>
    <t>dummy if random effects are used</t>
  </si>
  <si>
    <t>Information related to data structure, origins and destinations, and time-span of the analysis</t>
  </si>
  <si>
    <t>panel</t>
  </si>
  <si>
    <t>dummy is panel data</t>
  </si>
  <si>
    <t>begin_year</t>
  </si>
  <si>
    <t>first year of data</t>
  </si>
  <si>
    <t>end_year</t>
  </si>
  <si>
    <t>last year of data</t>
  </si>
  <si>
    <t>average_year</t>
  </si>
  <si>
    <t>Average year of data</t>
  </si>
  <si>
    <t>intercontinental_o</t>
  </si>
  <si>
    <t>dummy whether origin international but between continents touristic flows</t>
  </si>
  <si>
    <t>continental_o</t>
  </si>
  <si>
    <t>dummy whether origin international but within continent touristic flows</t>
  </si>
  <si>
    <t>intercontinental_d</t>
  </si>
  <si>
    <t>dummy whether destination international but between continents touristic flows</t>
  </si>
  <si>
    <t>continental_d</t>
  </si>
  <si>
    <t>dummy whether destination international but within continent touristic flows</t>
  </si>
  <si>
    <t>origin_constrained</t>
  </si>
  <si>
    <t>dummy whether no variation in origin</t>
  </si>
  <si>
    <t>destination_constrained</t>
  </si>
  <si>
    <t>dummy whether novariation in destination</t>
  </si>
  <si>
    <t>domestic_international</t>
  </si>
  <si>
    <t>dummy if both domestic and international tourism is considered</t>
  </si>
  <si>
    <t>Destination coeffecients</t>
  </si>
  <si>
    <t>gdp_d</t>
  </si>
  <si>
    <t>dummy whether gdp of destination is included</t>
  </si>
  <si>
    <t>gdp_pp_d</t>
  </si>
  <si>
    <t>dummy whether gdp per capita of destination is included</t>
  </si>
  <si>
    <t>pop_d</t>
  </si>
  <si>
    <t>dummy whether population of destination is included</t>
  </si>
  <si>
    <t>europe_d</t>
  </si>
  <si>
    <t>dummy whether destination is Europe</t>
  </si>
  <si>
    <t>australia_d</t>
  </si>
  <si>
    <t>dummy whether destination is Australia</t>
  </si>
  <si>
    <t>africa_d</t>
  </si>
  <si>
    <t>dummy whether destination is Africa</t>
  </si>
  <si>
    <t>north_america_d</t>
  </si>
  <si>
    <t>dummy whether destination is North America</t>
  </si>
  <si>
    <t>south_america_d</t>
  </si>
  <si>
    <t>dummy whether destination is South America</t>
  </si>
  <si>
    <t>asia_d</t>
  </si>
  <si>
    <t>dummy whether destination is Asia</t>
  </si>
  <si>
    <t>low_d</t>
  </si>
  <si>
    <t>dummy whether destination is low-income country</t>
  </si>
  <si>
    <t>medium_d</t>
  </si>
  <si>
    <t>dummy whether destination is medium-income country</t>
  </si>
  <si>
    <t>dummy whether destination is high-income country</t>
  </si>
  <si>
    <t>Origin coefficients</t>
  </si>
  <si>
    <t>gdp_o</t>
  </si>
  <si>
    <t>dummy whether gdp of origin is included</t>
  </si>
  <si>
    <t>gdp_pp_o</t>
  </si>
  <si>
    <t>dummy whether gdp per capita of origin is included</t>
  </si>
  <si>
    <t>pop_o</t>
  </si>
  <si>
    <t>dummy whether population of origin is included</t>
  </si>
  <si>
    <t>europe_o</t>
  </si>
  <si>
    <t>dummy whether origin is Europe</t>
  </si>
  <si>
    <t>australia_o</t>
  </si>
  <si>
    <t>dummy whether origin is Australia</t>
  </si>
  <si>
    <t>africa_o</t>
  </si>
  <si>
    <t>dummy whether origin is Africa</t>
  </si>
  <si>
    <t>north_america_o</t>
  </si>
  <si>
    <t>dummy whether origin is North America</t>
  </si>
  <si>
    <t>south_america_o</t>
  </si>
  <si>
    <t>dummy whether origin is South America</t>
  </si>
  <si>
    <t>asia_o</t>
  </si>
  <si>
    <t>dummy whether origin is Asia</t>
  </si>
  <si>
    <t>low_o</t>
  </si>
  <si>
    <t>dummy whether origin is low-income country</t>
  </si>
  <si>
    <t>medium_o</t>
  </si>
  <si>
    <t>dummy whether origin is medium-income country</t>
  </si>
  <si>
    <t>dummy whether origin is high-income country</t>
  </si>
  <si>
    <t>Bilateral coefficients (or variables that something about soft dimensions of tourism)</t>
  </si>
  <si>
    <t>colony</t>
  </si>
  <si>
    <t>dummy whether colony variable is included</t>
  </si>
  <si>
    <t>language</t>
  </si>
  <si>
    <t>dummy whether common language variable is included</t>
  </si>
  <si>
    <t>border</t>
  </si>
  <si>
    <t>dummy whether common border variable is included</t>
  </si>
  <si>
    <t>exchange</t>
  </si>
  <si>
    <t>dummy whether exchange rate is included</t>
  </si>
  <si>
    <t>prices</t>
  </si>
  <si>
    <t>dummy whether price differentials are used</t>
  </si>
  <si>
    <t>whs</t>
  </si>
  <si>
    <t>dummy whether cultural heritage of destination is included (actually destination coefficient)</t>
  </si>
  <si>
    <t>island</t>
  </si>
  <si>
    <t>dummy whether destination or origin is an island</t>
  </si>
  <si>
    <t>climate</t>
  </si>
  <si>
    <t>dummy whether climate or weather variables are used (temperature, rain, sun)</t>
  </si>
  <si>
    <t>politics</t>
  </si>
  <si>
    <t>dummy whether institutional variables/political stability are controlled for</t>
  </si>
  <si>
    <t>culture</t>
  </si>
  <si>
    <t>dummy whether cultural attractivity is controlled for</t>
  </si>
  <si>
    <t>religion</t>
  </si>
  <si>
    <t>dummy whether religion is controlled for</t>
  </si>
  <si>
    <t xml:space="preserve">trade </t>
  </si>
  <si>
    <t>dummy whether trade is controller for</t>
  </si>
  <si>
    <t>comcur</t>
  </si>
  <si>
    <t>dummy whether common currency is controlled for</t>
  </si>
  <si>
    <t>migration</t>
  </si>
  <si>
    <t>dummy whether migration is controlled for</t>
  </si>
  <si>
    <t>disease</t>
  </si>
  <si>
    <t>dummy whether controlled for disease (COVID, SARS)</t>
  </si>
  <si>
    <t>sea</t>
  </si>
  <si>
    <t>dummy whether controlled for access to sea or beaches (or being landlocked)</t>
  </si>
  <si>
    <t>rta</t>
  </si>
  <si>
    <t>dummy whether controlled for part of regional trade agreement (or free trade agreement)</t>
  </si>
  <si>
    <t>impute_se</t>
  </si>
  <si>
    <t>high_d</t>
  </si>
  <si>
    <t>high_o</t>
  </si>
  <si>
    <t>price</t>
  </si>
  <si>
    <t>cn_2010</t>
  </si>
  <si>
    <t>aaa_2017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</si>
</sst>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medium">
        <color indexed="64"/>
      </bottom>
      <diagonal/>
    </border>
    <border>
      <left/>
      <right style="thin">
        <color theme="4" tint="0.3999755851924192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rgb="FF9BC2E6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vertical="center"/>
    </xf>
    <xf numFmtId="1" fontId="4" fillId="4" borderId="6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2" fillId="0" borderId="1" xfId="0" applyFont="1" applyBorder="1"/>
    <xf numFmtId="0" fontId="3" fillId="4" borderId="4" xfId="0" applyFont="1" applyFill="1" applyBorder="1"/>
    <xf numFmtId="0" fontId="3" fillId="4" borderId="5" xfId="0" applyFont="1" applyFill="1" applyBorder="1"/>
    <xf numFmtId="2" fontId="0" fillId="0" borderId="0" xfId="0" applyNumberFormat="1"/>
    <xf numFmtId="0" fontId="6" fillId="0" borderId="10" xfId="0" applyFont="1" applyBorder="1" applyAlignment="1">
      <alignment horizontal="left" vertical="center" wrapText="1"/>
    </xf>
    <xf numFmtId="0" fontId="2" fillId="0" borderId="10" xfId="0" applyFont="1" applyBorder="1"/>
    <xf numFmtId="0" fontId="4" fillId="4" borderId="5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10" fillId="0" borderId="0" xfId="2" applyFont="1"/>
    <xf numFmtId="0" fontId="2" fillId="0" borderId="12" xfId="0" applyFont="1" applyBorder="1"/>
    <xf numFmtId="0" fontId="12" fillId="0" borderId="0" xfId="0" applyFont="1"/>
    <xf numFmtId="0" fontId="9" fillId="0" borderId="0" xfId="2"/>
    <xf numFmtId="2" fontId="12" fillId="0" borderId="0" xfId="0" applyNumberFormat="1" applyFont="1"/>
    <xf numFmtId="0" fontId="6" fillId="0" borderId="0" xfId="0" applyFont="1"/>
    <xf numFmtId="0" fontId="6" fillId="0" borderId="14" xfId="0" applyFont="1" applyBorder="1" applyAlignment="1">
      <alignment horizontal="left" vertical="center" wrapText="1"/>
    </xf>
    <xf numFmtId="0" fontId="2" fillId="0" borderId="14" xfId="0" applyFont="1" applyBorder="1"/>
    <xf numFmtId="1" fontId="0" fillId="0" borderId="0" xfId="0" applyNumberFormat="1"/>
    <xf numFmtId="0" fontId="3" fillId="4" borderId="7" xfId="0" applyFont="1" applyFill="1" applyBorder="1"/>
    <xf numFmtId="0" fontId="0" fillId="0" borderId="15" xfId="0" applyBorder="1"/>
    <xf numFmtId="0" fontId="4" fillId="4" borderId="6" xfId="0" applyFont="1" applyFill="1" applyBorder="1"/>
    <xf numFmtId="0" fontId="16" fillId="0" borderId="0" xfId="0" applyFont="1"/>
    <xf numFmtId="16" fontId="0" fillId="0" borderId="0" xfId="0" applyNumberFormat="1"/>
    <xf numFmtId="0" fontId="2" fillId="4" borderId="0" xfId="1" applyFont="1" applyFill="1" applyBorder="1"/>
    <xf numFmtId="0" fontId="0" fillId="4" borderId="0" xfId="0" applyFill="1"/>
    <xf numFmtId="0" fontId="17" fillId="0" borderId="0" xfId="0" applyFont="1"/>
    <xf numFmtId="1" fontId="0" fillId="6" borderId="0" xfId="0" applyNumberFormat="1" applyFill="1"/>
    <xf numFmtId="1" fontId="0" fillId="7" borderId="0" xfId="0" applyNumberFormat="1" applyFill="1"/>
    <xf numFmtId="1" fontId="0" fillId="8" borderId="0" xfId="0" applyNumberFormat="1" applyFill="1"/>
    <xf numFmtId="0" fontId="2" fillId="0" borderId="6" xfId="0" applyFont="1" applyBorder="1"/>
    <xf numFmtId="0" fontId="18" fillId="0" borderId="0" xfId="0" applyFont="1"/>
    <xf numFmtId="1" fontId="0" fillId="0" borderId="15" xfId="0" applyNumberFormat="1" applyBorder="1"/>
    <xf numFmtId="0" fontId="0" fillId="0" borderId="16" xfId="0" applyBorder="1"/>
    <xf numFmtId="0" fontId="11" fillId="0" borderId="0" xfId="0" applyFont="1"/>
    <xf numFmtId="0" fontId="2" fillId="0" borderId="13" xfId="0" applyFont="1" applyBorder="1"/>
    <xf numFmtId="0" fontId="0" fillId="0" borderId="12" xfId="0" applyBorder="1"/>
    <xf numFmtId="0" fontId="11" fillId="0" borderId="12" xfId="0" applyFont="1" applyBorder="1"/>
    <xf numFmtId="0" fontId="11" fillId="0" borderId="11" xfId="0" applyFont="1" applyBorder="1"/>
    <xf numFmtId="0" fontId="18" fillId="0" borderId="12" xfId="0" applyFont="1" applyBorder="1"/>
    <xf numFmtId="0" fontId="18" fillId="0" borderId="11" xfId="0" applyFont="1" applyBorder="1"/>
    <xf numFmtId="0" fontId="0" fillId="0" borderId="11" xfId="0" applyBorder="1"/>
    <xf numFmtId="0" fontId="12" fillId="0" borderId="15" xfId="0" applyFont="1" applyBorder="1"/>
    <xf numFmtId="2" fontId="12" fillId="0" borderId="15" xfId="0" applyNumberFormat="1" applyFont="1" applyBorder="1"/>
    <xf numFmtId="2" fontId="0" fillId="0" borderId="15" xfId="0" applyNumberFormat="1" applyBorder="1"/>
    <xf numFmtId="0" fontId="12" fillId="0" borderId="16" xfId="0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</cellXfs>
  <cellStyles count="3">
    <cellStyle name="Hyperlink" xfId="2" builtinId="8"/>
    <cellStyle name="Neutral" xfId="1" builtinId="28"/>
    <cellStyle name="Normal" xfId="0" builtinId="0"/>
  </cellStyles>
  <dxfs count="17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medium">
          <color indexed="64"/>
        </bottom>
      </border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4C11AC-DFF8-43DA-8884-3BF11ED7E664}" name="Table3" displayName="Table3" ref="A1:K141" totalsRowShown="0" headerRowDxfId="14" dataDxfId="13" headerRowBorderDxfId="11" tableBorderDxfId="12">
  <autoFilter ref="A1:K141" xr:uid="{954C11AC-DFF8-43DA-8884-3BF11ED7E664}"/>
  <sortState xmlns:xlrd2="http://schemas.microsoft.com/office/spreadsheetml/2017/richdata2" ref="A2:K141">
    <sortCondition ref="C1:C141"/>
  </sortState>
  <tableColumns count="11">
    <tableColumn id="1" xr3:uid="{8F8409B4-96A2-48D3-A9DF-BBF8CEA91399}" name="1" dataDxfId="10"/>
    <tableColumn id="2" xr3:uid="{D316D8A4-F10C-42E0-8190-6BD42CAE0656}" name="study_id" dataDxfId="9"/>
    <tableColumn id="3" xr3:uid="{A534DF94-E9C0-4A19-AAF9-332C774D87C2}" name="authors" dataDxfId="8"/>
    <tableColumn id="4" xr3:uid="{38D4B8EF-EA93-479F-B5B2-ED7B4857341D}" name="title" dataDxfId="7"/>
    <tableColumn id="5" xr3:uid="{F57E880F-A550-472E-87F4-B7239735870C}" name="journal " dataDxfId="6"/>
    <tableColumn id="6" xr3:uid="{2A454183-33F8-4B68-B49A-D0537B8AE74C}" name="year" dataDxfId="5"/>
    <tableColumn id="7" xr3:uid="{F7DC9F13-C93A-42A5-9205-846E8994AA82}" name="DOI/website" dataDxfId="4"/>
    <tableColumn id="9" xr3:uid="{87B75A5D-53AC-4EE2-AC92-64E18AB00994}" name="checked" dataDxfId="3"/>
    <tableColumn id="10" xr3:uid="{B02863C7-B814-4AF1-B91D-52947C44C2FD}" name="comments" dataDxfId="2"/>
    <tableColumn id="8" xr3:uid="{7DD7917C-4805-2F4D-A214-53124CDA7EB9}" name="Scopus" dataDxfId="1"/>
    <tableColumn id="11" xr3:uid="{ED641FE8-4D64-1043-ACBE-23F8827D3B97}" name="checked_R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opus.com/inward/record.uri?eid=2-s2.0-85034065604&amp;partnerID=40&amp;md5=8060f26b234aeb62d03cee7ff1824502" TargetMode="External"/><Relationship Id="rId1" Type="http://schemas.openxmlformats.org/officeDocument/2006/relationships/hyperlink" Target="https://www.scopus.com/inward/record.uri?eid=2-s2.0-85211028671&amp;doi=10.1016%2fj.cities.2024.105620&amp;partnerID=40&amp;md5=4dfcc67e80c303cb50f4f99dd2f5f49f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80/13683500.2018.1544612" TargetMode="External"/><Relationship Id="rId18" Type="http://schemas.openxmlformats.org/officeDocument/2006/relationships/hyperlink" Target="https://doi.org/10.1002/jtr.2390" TargetMode="External"/><Relationship Id="rId26" Type="http://schemas.openxmlformats.org/officeDocument/2006/relationships/hyperlink" Target="https://www.researchgate.net/publication/359082406_Modelling_a_Tourism_Demand_in_Vietnam/link/622706d99f7b32463417b287/download" TargetMode="External"/><Relationship Id="rId3" Type="http://schemas.openxmlformats.org/officeDocument/2006/relationships/hyperlink" Target="https://doi.org/10.5367%2F000000010792278374" TargetMode="External"/><Relationship Id="rId21" Type="http://schemas.openxmlformats.org/officeDocument/2006/relationships/hyperlink" Target="https://www.scielo.cl/pdf/ede/v43n2/art05.pdf" TargetMode="External"/><Relationship Id="rId7" Type="http://schemas.openxmlformats.org/officeDocument/2006/relationships/hyperlink" Target="https://doi.org/10.1080/13683500.2015.1051518" TargetMode="External"/><Relationship Id="rId12" Type="http://schemas.openxmlformats.org/officeDocument/2006/relationships/hyperlink" Target="https://doi.org/10.1080/00036846.2014.889802" TargetMode="External"/><Relationship Id="rId17" Type="http://schemas.openxmlformats.org/officeDocument/2006/relationships/hyperlink" Target="https://doi.org/10.1080/13683500.2017.1345870" TargetMode="External"/><Relationship Id="rId25" Type="http://schemas.openxmlformats.org/officeDocument/2006/relationships/hyperlink" Target="https://www.researchgate.net/publication/338264117_Tourist_Arrivals_to_Muslim_Countries_Pre-and_Post-September_11/link/5e0b735ea6fdcc28374b2c48/download" TargetMode="External"/><Relationship Id="rId33" Type="http://schemas.openxmlformats.org/officeDocument/2006/relationships/table" Target="../tables/table1.xml"/><Relationship Id="rId2" Type="http://schemas.openxmlformats.org/officeDocument/2006/relationships/hyperlink" Target="https://doi.org/10.5367/000000010790872015" TargetMode="External"/><Relationship Id="rId16" Type="http://schemas.openxmlformats.org/officeDocument/2006/relationships/hyperlink" Target="https://doi.org/10.1080/13683500.2020.1803222" TargetMode="External"/><Relationship Id="rId20" Type="http://schemas.openxmlformats.org/officeDocument/2006/relationships/hyperlink" Target="https://doi.org/10.1002/jtr.2127" TargetMode="External"/><Relationship Id="rId29" Type="http://schemas.openxmlformats.org/officeDocument/2006/relationships/hyperlink" Target="https://doi.org/10.1016/j.tourman.2006.04.016" TargetMode="External"/><Relationship Id="rId1" Type="http://schemas.openxmlformats.org/officeDocument/2006/relationships/hyperlink" Target="https://doi.org/10.1002/jtr.2297" TargetMode="External"/><Relationship Id="rId6" Type="http://schemas.openxmlformats.org/officeDocument/2006/relationships/hyperlink" Target="https://doi.org/10.1007/s00168-008-0275-2" TargetMode="External"/><Relationship Id="rId11" Type="http://schemas.openxmlformats.org/officeDocument/2006/relationships/hyperlink" Target="https://doi.org/10.1080/000368404000180897" TargetMode="External"/><Relationship Id="rId24" Type="http://schemas.openxmlformats.org/officeDocument/2006/relationships/hyperlink" Target="https://doi.org/10.1016/j.tourman.2019.104055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doi.org/10.1177%2F1354816619843452" TargetMode="External"/><Relationship Id="rId15" Type="http://schemas.openxmlformats.org/officeDocument/2006/relationships/hyperlink" Target="https://doi.org/10.1080/13683500.2020.1734547" TargetMode="External"/><Relationship Id="rId23" Type="http://schemas.openxmlformats.org/officeDocument/2006/relationships/hyperlink" Target="https://doi.org/10.1016/j.tourman.2012.01.014" TargetMode="External"/><Relationship Id="rId28" Type="http://schemas.openxmlformats.org/officeDocument/2006/relationships/hyperlink" Target="https://doi.org/10.1016/j.tourman.2012.10.002" TargetMode="External"/><Relationship Id="rId10" Type="http://schemas.openxmlformats.org/officeDocument/2006/relationships/hyperlink" Target="https://doi.org/10.1080/00036846.2016.1265078" TargetMode="External"/><Relationship Id="rId19" Type="http://schemas.openxmlformats.org/officeDocument/2006/relationships/hyperlink" Target="https://doi.org/10.1002/jtr.2152" TargetMode="External"/><Relationship Id="rId31" Type="http://schemas.openxmlformats.org/officeDocument/2006/relationships/hyperlink" Target="https://publicatii.uvvg.ro/index.php/studiaeconomia/article/view/728" TargetMode="External"/><Relationship Id="rId4" Type="http://schemas.openxmlformats.org/officeDocument/2006/relationships/hyperlink" Target="https://doi.org/10.5367/te.2013.0359" TargetMode="External"/><Relationship Id="rId9" Type="http://schemas.openxmlformats.org/officeDocument/2006/relationships/hyperlink" Target="https://doi.org/10.1016/j.annals.2021.103326" TargetMode="External"/><Relationship Id="rId14" Type="http://schemas.openxmlformats.org/officeDocument/2006/relationships/hyperlink" Target="https://doi.org/10.1080/13683500.2019.1590322" TargetMode="External"/><Relationship Id="rId22" Type="http://schemas.openxmlformats.org/officeDocument/2006/relationships/hyperlink" Target="https://doi.org/10.1016/j.tourman.2013.01.013" TargetMode="External"/><Relationship Id="rId27" Type="http://schemas.openxmlformats.org/officeDocument/2006/relationships/hyperlink" Target="https://www.scopus.com/inward/record.uri?eid=2-s2.0-85034065604&amp;partnerID=40&amp;md5=8060f26b234aeb62d03cee7ff1824502" TargetMode="External"/><Relationship Id="rId30" Type="http://schemas.openxmlformats.org/officeDocument/2006/relationships/hyperlink" Target="https://doi.org/10.1016/j.tourman.2015.06.021" TargetMode="External"/><Relationship Id="rId8" Type="http://schemas.openxmlformats.org/officeDocument/2006/relationships/hyperlink" Target="https://doi.org/10.1016/j.annals.2018.11.009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CF5D8-5360-4F41-8D9F-3E73A6C3CD25}">
  <dimension ref="A1:E55"/>
  <sheetViews>
    <sheetView workbookViewId="0">
      <selection activeCell="A6" sqref="A6"/>
    </sheetView>
  </sheetViews>
  <sheetFormatPr defaultColWidth="11.42578125" defaultRowHeight="15"/>
  <cols>
    <col min="1" max="1" width="38.7109375" customWidth="1"/>
    <col min="2" max="2" width="22" customWidth="1"/>
  </cols>
  <sheetData>
    <row r="1" spans="1:2">
      <c r="A1" s="31"/>
    </row>
    <row r="2" spans="1:2">
      <c r="A2" s="1" t="s">
        <v>0</v>
      </c>
      <c r="B2" s="1" t="s">
        <v>1</v>
      </c>
    </row>
    <row r="3" spans="1:2">
      <c r="A3" s="1" t="s">
        <v>2</v>
      </c>
      <c r="B3" t="s">
        <v>3</v>
      </c>
    </row>
    <row r="4" spans="1:2">
      <c r="A4" s="1"/>
      <c r="B4" t="s">
        <v>4</v>
      </c>
    </row>
    <row r="5" spans="1:2">
      <c r="A5" s="1" t="s">
        <v>5</v>
      </c>
      <c r="B5" s="1" t="s">
        <v>6</v>
      </c>
    </row>
    <row r="6" spans="1:2">
      <c r="A6" s="1" t="s">
        <v>7</v>
      </c>
      <c r="B6" t="s">
        <v>8</v>
      </c>
    </row>
    <row r="55" spans="5:5">
      <c r="E55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8DC2-5CAE-4F4C-B989-3DB3218B8243}">
  <dimension ref="A1:AJ675"/>
  <sheetViews>
    <sheetView tabSelected="1" workbookViewId="0">
      <pane ySplit="1" topLeftCell="A266" activePane="bottomLeft" state="frozen"/>
      <selection pane="bottomLeft" activeCell="G284" sqref="G284"/>
    </sheetView>
  </sheetViews>
  <sheetFormatPr defaultColWidth="11.42578125" defaultRowHeight="15"/>
  <cols>
    <col min="1" max="1" width="31.28515625" customWidth="1"/>
    <col min="2" max="2" width="16" customWidth="1"/>
    <col min="4" max="4" width="27.85546875" customWidth="1"/>
    <col min="6" max="6" width="30" customWidth="1"/>
    <col min="13" max="13" width="7.140625" customWidth="1"/>
  </cols>
  <sheetData>
    <row r="1" spans="1:36">
      <c r="A1" s="34" t="s">
        <v>9</v>
      </c>
      <c r="B1" s="34" t="s">
        <v>10</v>
      </c>
      <c r="C1" s="34" t="s">
        <v>11</v>
      </c>
      <c r="D1" s="34" t="s">
        <v>12</v>
      </c>
      <c r="E1" s="34" t="s">
        <v>13</v>
      </c>
      <c r="F1" s="34" t="s">
        <v>14</v>
      </c>
      <c r="G1" s="34" t="s">
        <v>15</v>
      </c>
      <c r="H1" s="34" t="s">
        <v>16</v>
      </c>
      <c r="I1" s="34" t="s">
        <v>17</v>
      </c>
      <c r="J1" s="34" t="s">
        <v>18</v>
      </c>
      <c r="K1" s="34" t="s">
        <v>19</v>
      </c>
      <c r="L1" s="34" t="s">
        <v>20</v>
      </c>
      <c r="M1" s="34" t="s">
        <v>21</v>
      </c>
      <c r="N1" s="34" t="s">
        <v>22</v>
      </c>
      <c r="O1" s="34" t="s">
        <v>23</v>
      </c>
      <c r="P1" s="34" t="s">
        <v>24</v>
      </c>
      <c r="Q1" s="34" t="s">
        <v>25</v>
      </c>
      <c r="R1" s="34" t="s">
        <v>26</v>
      </c>
      <c r="S1" s="34" t="s">
        <v>27</v>
      </c>
      <c r="T1" s="34" t="s">
        <v>28</v>
      </c>
      <c r="U1" s="34" t="s">
        <v>29</v>
      </c>
      <c r="V1" s="34" t="s">
        <v>30</v>
      </c>
      <c r="W1" s="33" t="s">
        <v>31</v>
      </c>
      <c r="X1" s="33" t="s">
        <v>32</v>
      </c>
      <c r="Y1" s="33" t="s">
        <v>33</v>
      </c>
      <c r="Z1" s="33" t="s">
        <v>34</v>
      </c>
      <c r="AA1" s="33" t="s">
        <v>35</v>
      </c>
      <c r="AB1" s="33" t="s">
        <v>36</v>
      </c>
      <c r="AC1" s="33" t="s">
        <v>37</v>
      </c>
      <c r="AD1" s="33" t="s">
        <v>38</v>
      </c>
      <c r="AE1" s="33" t="s">
        <v>39</v>
      </c>
      <c r="AF1" s="33" t="s">
        <v>40</v>
      </c>
      <c r="AG1" s="33" t="s">
        <v>41</v>
      </c>
      <c r="AH1" s="33" t="s">
        <v>42</v>
      </c>
      <c r="AJ1" s="33" t="s">
        <v>43</v>
      </c>
    </row>
    <row r="2" spans="1:36">
      <c r="D2" t="s">
        <v>44</v>
      </c>
      <c r="E2">
        <v>2011</v>
      </c>
      <c r="F2" t="s">
        <v>45</v>
      </c>
      <c r="G2">
        <v>3</v>
      </c>
      <c r="M2">
        <v>0</v>
      </c>
      <c r="O2" t="s">
        <v>46</v>
      </c>
      <c r="P2" s="22" t="str">
        <f>HYPERLINK(O2)</f>
        <v>https://www.scopus.com/inward/record.uri?eid=2-s2.0-84890694490&amp;partnerID=40&amp;md5=81dc59e8256366e478b9cb3db58d9fd4</v>
      </c>
      <c r="Q2" t="s">
        <v>47</v>
      </c>
      <c r="R2" t="s">
        <v>48</v>
      </c>
      <c r="T2" t="s">
        <v>6</v>
      </c>
      <c r="U2" t="s">
        <v>49</v>
      </c>
      <c r="V2" s="36">
        <v>0</v>
      </c>
      <c r="W2" s="27">
        <v>0</v>
      </c>
      <c r="X2" s="27">
        <v>0</v>
      </c>
      <c r="Y2" s="27">
        <v>0</v>
      </c>
      <c r="Z2" s="27">
        <v>0</v>
      </c>
      <c r="AA2" s="27">
        <v>0</v>
      </c>
      <c r="AB2" s="27">
        <v>0</v>
      </c>
      <c r="AC2" s="27">
        <v>0</v>
      </c>
      <c r="AD2" s="27">
        <v>0</v>
      </c>
      <c r="AE2" s="27">
        <v>0</v>
      </c>
      <c r="AF2" s="27">
        <v>0</v>
      </c>
      <c r="AG2" s="27">
        <v>0</v>
      </c>
      <c r="AH2" s="27">
        <v>1</v>
      </c>
      <c r="AJ2">
        <f t="shared" ref="AJ2:AJ65" si="0">SUM(V2:AH2)</f>
        <v>1</v>
      </c>
    </row>
    <row r="3" spans="1:36">
      <c r="D3" t="s">
        <v>50</v>
      </c>
      <c r="E3">
        <v>2011</v>
      </c>
      <c r="F3" t="s">
        <v>45</v>
      </c>
      <c r="G3">
        <v>2</v>
      </c>
      <c r="M3">
        <v>0</v>
      </c>
      <c r="O3" t="s">
        <v>51</v>
      </c>
      <c r="P3" s="22" t="str">
        <f>HYPERLINK(O3)</f>
        <v>https://www.scopus.com/inward/record.uri?eid=2-s2.0-84890684959&amp;partnerID=40&amp;md5=51e1a17fa33df55afafa33c37f249321</v>
      </c>
      <c r="Q3" t="s">
        <v>47</v>
      </c>
      <c r="R3" t="s">
        <v>48</v>
      </c>
      <c r="T3" t="s">
        <v>6</v>
      </c>
      <c r="U3" t="s">
        <v>52</v>
      </c>
      <c r="V3" s="36">
        <v>0</v>
      </c>
      <c r="W3" s="27">
        <v>0</v>
      </c>
      <c r="X3" s="27">
        <v>0</v>
      </c>
      <c r="Y3" s="27">
        <v>0</v>
      </c>
      <c r="Z3" s="27">
        <v>0</v>
      </c>
      <c r="AA3" s="27">
        <v>0</v>
      </c>
      <c r="AB3" s="27">
        <v>0</v>
      </c>
      <c r="AC3" s="27">
        <v>0</v>
      </c>
      <c r="AD3" s="27">
        <v>0</v>
      </c>
      <c r="AE3" s="27">
        <v>0</v>
      </c>
      <c r="AF3" s="27">
        <v>0</v>
      </c>
      <c r="AG3" s="27">
        <v>0</v>
      </c>
      <c r="AH3" s="27">
        <v>1</v>
      </c>
      <c r="AJ3">
        <f t="shared" si="0"/>
        <v>1</v>
      </c>
    </row>
    <row r="4" spans="1:36">
      <c r="D4" t="s">
        <v>53</v>
      </c>
      <c r="E4">
        <v>2011</v>
      </c>
      <c r="F4" t="s">
        <v>45</v>
      </c>
      <c r="G4">
        <v>1</v>
      </c>
      <c r="M4">
        <v>0</v>
      </c>
      <c r="O4" t="s">
        <v>54</v>
      </c>
      <c r="P4" s="22" t="str">
        <f>HYPERLINK(O4)</f>
        <v>https://www.scopus.com/inward/record.uri?eid=2-s2.0-84890609966&amp;partnerID=40&amp;md5=7b37b394aae8fe4a81a9cd3a3a7f932c</v>
      </c>
      <c r="Q4" t="s">
        <v>47</v>
      </c>
      <c r="R4" t="s">
        <v>48</v>
      </c>
      <c r="T4" t="s">
        <v>6</v>
      </c>
      <c r="U4" t="s">
        <v>55</v>
      </c>
      <c r="V4" s="36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7">
        <v>0</v>
      </c>
      <c r="AH4" s="27">
        <v>1</v>
      </c>
      <c r="AJ4">
        <f t="shared" si="0"/>
        <v>1</v>
      </c>
    </row>
    <row r="5" spans="1:36">
      <c r="A5" t="s">
        <v>56</v>
      </c>
      <c r="B5" t="s">
        <v>57</v>
      </c>
      <c r="C5" t="s">
        <v>58</v>
      </c>
      <c r="D5" t="s">
        <v>59</v>
      </c>
      <c r="E5">
        <v>2012</v>
      </c>
      <c r="F5" t="s">
        <v>60</v>
      </c>
      <c r="M5">
        <v>4</v>
      </c>
      <c r="O5" t="s">
        <v>61</v>
      </c>
      <c r="P5" s="22" t="str">
        <f>HYPERLINK(O5)</f>
        <v>https://www.scopus.com/inward/record.uri?eid=2-s2.0-85099525990&amp;partnerID=40&amp;md5=e6a1a9cb5e83e45d73680af7ac8a8bf1</v>
      </c>
      <c r="Q5" t="s">
        <v>62</v>
      </c>
      <c r="R5" t="s">
        <v>48</v>
      </c>
      <c r="T5" t="s">
        <v>6</v>
      </c>
      <c r="U5" t="s">
        <v>63</v>
      </c>
      <c r="V5" s="36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1</v>
      </c>
      <c r="AG5" s="27">
        <v>0</v>
      </c>
      <c r="AH5" s="27">
        <v>0</v>
      </c>
      <c r="AJ5">
        <f t="shared" si="0"/>
        <v>1</v>
      </c>
    </row>
    <row r="6" spans="1:36">
      <c r="A6" t="s">
        <v>64</v>
      </c>
      <c r="B6" t="s">
        <v>65</v>
      </c>
      <c r="C6" t="s">
        <v>66</v>
      </c>
      <c r="D6" t="s">
        <v>67</v>
      </c>
      <c r="E6">
        <v>2014</v>
      </c>
      <c r="F6" t="s">
        <v>68</v>
      </c>
      <c r="M6">
        <v>0</v>
      </c>
      <c r="O6" t="s">
        <v>69</v>
      </c>
      <c r="P6" s="22" t="str">
        <f>HYPERLINK(O6)</f>
        <v>https://www.scopus.com/inward/record.uri?eid=2-s2.0-84901260044&amp;partnerID=40&amp;md5=35a4e8fb998fa55efdda24e24492ac71</v>
      </c>
      <c r="Q6" t="s">
        <v>62</v>
      </c>
      <c r="R6" t="s">
        <v>48</v>
      </c>
      <c r="T6" t="s">
        <v>6</v>
      </c>
      <c r="U6" t="s">
        <v>70</v>
      </c>
      <c r="V6" s="36">
        <v>0</v>
      </c>
      <c r="W6" s="27">
        <v>1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7">
        <v>0</v>
      </c>
      <c r="AH6" s="27">
        <v>0</v>
      </c>
      <c r="AJ6">
        <f t="shared" si="0"/>
        <v>1</v>
      </c>
    </row>
    <row r="7" spans="1:36">
      <c r="A7" t="s">
        <v>71</v>
      </c>
      <c r="B7" t="s">
        <v>72</v>
      </c>
      <c r="C7" t="s">
        <v>73</v>
      </c>
      <c r="D7" t="s">
        <v>74</v>
      </c>
      <c r="E7">
        <v>2021</v>
      </c>
      <c r="F7" t="s">
        <v>75</v>
      </c>
      <c r="J7">
        <v>543</v>
      </c>
      <c r="K7">
        <v>547</v>
      </c>
      <c r="L7">
        <v>4</v>
      </c>
      <c r="M7">
        <v>2</v>
      </c>
      <c r="N7" t="s">
        <v>76</v>
      </c>
      <c r="O7" t="s">
        <v>77</v>
      </c>
      <c r="P7" s="22" t="str">
        <f>HYPERLINK(O7)</f>
        <v>https://www.scopus.com/inward/record.uri?eid=2-s2.0-85126013216&amp;doi=10.1109%2fICCWAMTIP53232.2021.9674122&amp;partnerID=40&amp;md5=088a077e538f27a5a82c7790e7c67d5b</v>
      </c>
      <c r="Q7" t="s">
        <v>62</v>
      </c>
      <c r="R7" t="s">
        <v>48</v>
      </c>
      <c r="T7" t="s">
        <v>6</v>
      </c>
      <c r="U7" t="s">
        <v>78</v>
      </c>
      <c r="V7" s="36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27">
        <v>0</v>
      </c>
      <c r="AG7" s="27">
        <v>0</v>
      </c>
      <c r="AH7" s="27">
        <v>1</v>
      </c>
      <c r="AJ7">
        <f t="shared" si="0"/>
        <v>1</v>
      </c>
    </row>
    <row r="8" spans="1:36">
      <c r="A8" t="s">
        <v>79</v>
      </c>
      <c r="B8" t="s">
        <v>80</v>
      </c>
      <c r="C8" t="s">
        <v>81</v>
      </c>
      <c r="D8" t="s">
        <v>82</v>
      </c>
      <c r="E8">
        <v>2018</v>
      </c>
      <c r="F8" t="s">
        <v>83</v>
      </c>
      <c r="J8">
        <v>370</v>
      </c>
      <c r="K8">
        <v>379</v>
      </c>
      <c r="L8">
        <v>9</v>
      </c>
      <c r="M8">
        <v>0</v>
      </c>
      <c r="O8" t="s">
        <v>84</v>
      </c>
      <c r="P8" s="22" t="str">
        <f>HYPERLINK(O8)</f>
        <v>https://www.scopus.com/inward/record.uri?eid=2-s2.0-85061500990&amp;partnerID=40&amp;md5=0da35eb9eea7eb8df7a30d6c5b6dbac6</v>
      </c>
      <c r="Q8" t="s">
        <v>62</v>
      </c>
      <c r="R8" t="s">
        <v>48</v>
      </c>
      <c r="T8" t="s">
        <v>6</v>
      </c>
      <c r="U8" t="s">
        <v>85</v>
      </c>
      <c r="V8" s="36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  <c r="AH8" s="27">
        <v>1</v>
      </c>
      <c r="AJ8">
        <f t="shared" si="0"/>
        <v>1</v>
      </c>
    </row>
    <row r="9" spans="1:36">
      <c r="A9" t="s">
        <v>86</v>
      </c>
      <c r="B9" t="s">
        <v>87</v>
      </c>
      <c r="C9" t="s">
        <v>88</v>
      </c>
      <c r="D9" t="s">
        <v>89</v>
      </c>
      <c r="E9">
        <v>2005</v>
      </c>
      <c r="F9" t="s">
        <v>90</v>
      </c>
      <c r="M9">
        <v>0</v>
      </c>
      <c r="O9" t="s">
        <v>91</v>
      </c>
      <c r="P9" s="22" t="str">
        <f>HYPERLINK(O9)</f>
        <v>https://www.scopus.com/inward/record.uri?eid=2-s2.0-77957833423&amp;partnerID=40&amp;md5=1d68ab397ad36bf8781ec717057ba179</v>
      </c>
      <c r="Q9" t="s">
        <v>62</v>
      </c>
      <c r="R9" t="s">
        <v>48</v>
      </c>
      <c r="T9" t="s">
        <v>6</v>
      </c>
      <c r="U9" t="s">
        <v>92</v>
      </c>
      <c r="V9" s="36">
        <v>0</v>
      </c>
      <c r="W9" s="27">
        <v>1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J9">
        <f t="shared" si="0"/>
        <v>1</v>
      </c>
    </row>
    <row r="10" spans="1:36">
      <c r="A10" t="s">
        <v>93</v>
      </c>
      <c r="B10" t="s">
        <v>94</v>
      </c>
      <c r="C10" t="s">
        <v>95</v>
      </c>
      <c r="D10" t="s">
        <v>96</v>
      </c>
      <c r="E10">
        <v>2017</v>
      </c>
      <c r="F10" t="s">
        <v>97</v>
      </c>
      <c r="I10">
        <v>8078656</v>
      </c>
      <c r="M10">
        <v>0</v>
      </c>
      <c r="N10" t="s">
        <v>98</v>
      </c>
      <c r="O10" t="s">
        <v>99</v>
      </c>
      <c r="P10" s="22" t="str">
        <f>HYPERLINK(O10)</f>
        <v>https://www.scopus.com/inward/record.uri?eid=2-s2.0-85039946667&amp;doi=10.1109%2fIEIS.2017.8078656&amp;partnerID=40&amp;md5=dcc9037dc5acd2f5efb793c59cfb466f</v>
      </c>
      <c r="Q10" t="s">
        <v>62</v>
      </c>
      <c r="R10" t="s">
        <v>48</v>
      </c>
      <c r="T10" t="s">
        <v>6</v>
      </c>
      <c r="U10" t="s">
        <v>100</v>
      </c>
      <c r="V10" s="36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1</v>
      </c>
      <c r="AJ10">
        <f t="shared" si="0"/>
        <v>1</v>
      </c>
    </row>
    <row r="11" spans="1:36">
      <c r="A11" t="s">
        <v>101</v>
      </c>
      <c r="B11" t="s">
        <v>102</v>
      </c>
      <c r="C11" t="s">
        <v>103</v>
      </c>
      <c r="D11" t="s">
        <v>104</v>
      </c>
      <c r="E11">
        <v>2010</v>
      </c>
      <c r="F11" t="s">
        <v>105</v>
      </c>
      <c r="G11">
        <v>12</v>
      </c>
      <c r="J11">
        <v>9806</v>
      </c>
      <c r="K11">
        <v>9821</v>
      </c>
      <c r="L11">
        <v>15</v>
      </c>
      <c r="M11">
        <v>5</v>
      </c>
      <c r="O11" t="s">
        <v>106</v>
      </c>
      <c r="P11" s="22" t="str">
        <f>HYPERLINK(O11)</f>
        <v>https://www.scopus.com/inward/record.uri?eid=2-s2.0-79959433571&amp;partnerID=40&amp;md5=a1b387c548f4a32235405468a8a5ccb2</v>
      </c>
      <c r="Q11" t="s">
        <v>62</v>
      </c>
      <c r="R11" t="s">
        <v>48</v>
      </c>
      <c r="T11" t="s">
        <v>6</v>
      </c>
      <c r="U11" t="s">
        <v>107</v>
      </c>
      <c r="V11" s="36">
        <v>0</v>
      </c>
      <c r="W11" s="27">
        <v>1</v>
      </c>
      <c r="X11" s="27">
        <v>0</v>
      </c>
      <c r="Y11" s="27">
        <v>0</v>
      </c>
      <c r="Z11" s="27">
        <v>0</v>
      </c>
      <c r="AA11" s="27">
        <v>0</v>
      </c>
      <c r="AB11" s="27">
        <v>0</v>
      </c>
      <c r="AC11" s="27">
        <v>0</v>
      </c>
      <c r="AD11" s="27">
        <v>0</v>
      </c>
      <c r="AE11" s="27">
        <v>0</v>
      </c>
      <c r="AF11" s="27">
        <v>0</v>
      </c>
      <c r="AG11" s="27">
        <v>0</v>
      </c>
      <c r="AH11" s="27">
        <v>0</v>
      </c>
      <c r="AJ11">
        <f t="shared" si="0"/>
        <v>1</v>
      </c>
    </row>
    <row r="12" spans="1:36">
      <c r="D12" t="s">
        <v>108</v>
      </c>
      <c r="E12">
        <v>2007</v>
      </c>
      <c r="F12" t="s">
        <v>108</v>
      </c>
      <c r="M12">
        <v>0</v>
      </c>
      <c r="O12" t="s">
        <v>109</v>
      </c>
      <c r="P12" s="22" t="str">
        <f>HYPERLINK(O12)</f>
        <v>https://www.scopus.com/inward/record.uri?eid=2-s2.0-84890290172&amp;partnerID=40&amp;md5=c4a78d8dfef8057d1a16d9988ebca9ff</v>
      </c>
      <c r="Q12" t="s">
        <v>47</v>
      </c>
      <c r="R12" t="s">
        <v>48</v>
      </c>
      <c r="T12" t="s">
        <v>6</v>
      </c>
      <c r="U12" t="s">
        <v>110</v>
      </c>
      <c r="V12" s="36">
        <v>0</v>
      </c>
      <c r="W12" s="27">
        <v>0</v>
      </c>
      <c r="X12" s="27">
        <v>0</v>
      </c>
      <c r="Y12" s="27">
        <v>0</v>
      </c>
      <c r="Z12" s="27">
        <v>0</v>
      </c>
      <c r="AA12" s="27">
        <v>0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1</v>
      </c>
      <c r="AJ12">
        <f t="shared" si="0"/>
        <v>1</v>
      </c>
    </row>
    <row r="13" spans="1:36">
      <c r="A13" t="s">
        <v>111</v>
      </c>
      <c r="B13" t="s">
        <v>112</v>
      </c>
      <c r="C13">
        <v>57210370404</v>
      </c>
      <c r="D13" t="s">
        <v>113</v>
      </c>
      <c r="E13">
        <v>2015</v>
      </c>
      <c r="F13" t="s">
        <v>114</v>
      </c>
      <c r="G13">
        <v>3</v>
      </c>
      <c r="J13">
        <v>2065</v>
      </c>
      <c r="K13">
        <v>2070</v>
      </c>
      <c r="L13">
        <v>5</v>
      </c>
      <c r="M13">
        <v>0</v>
      </c>
      <c r="N13" t="s">
        <v>115</v>
      </c>
      <c r="O13" t="s">
        <v>116</v>
      </c>
      <c r="P13" s="22" t="str">
        <f>HYPERLINK(O13)</f>
        <v>https://www.scopus.com/inward/record.uri?eid=2-s2.0-85070521875&amp;doi=10.2175%2f193864715819539515&amp;partnerID=40&amp;md5=077114ca21eec5554908ff9b1ae87a90</v>
      </c>
      <c r="Q13" t="s">
        <v>62</v>
      </c>
      <c r="R13" t="s">
        <v>48</v>
      </c>
      <c r="T13" t="s">
        <v>6</v>
      </c>
      <c r="U13" t="s">
        <v>117</v>
      </c>
      <c r="V13" s="36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7">
        <v>0</v>
      </c>
      <c r="AH13" s="27">
        <v>1</v>
      </c>
      <c r="AJ13">
        <f t="shared" si="0"/>
        <v>1</v>
      </c>
    </row>
    <row r="14" spans="1:36">
      <c r="A14" t="s">
        <v>118</v>
      </c>
      <c r="B14" t="s">
        <v>119</v>
      </c>
      <c r="C14" t="s">
        <v>120</v>
      </c>
      <c r="D14" t="s">
        <v>121</v>
      </c>
      <c r="E14">
        <v>2021</v>
      </c>
      <c r="F14" t="s">
        <v>122</v>
      </c>
      <c r="I14" t="s">
        <v>123</v>
      </c>
      <c r="M14">
        <v>2</v>
      </c>
      <c r="N14" t="s">
        <v>124</v>
      </c>
      <c r="O14" t="s">
        <v>125</v>
      </c>
      <c r="P14" s="22" t="str">
        <f>HYPERLINK(O14)</f>
        <v>https://www.scopus.com/inward/record.uri?eid=2-s2.0-85121236047&amp;doi=10.2514%2f6.2021-4212&amp;partnerID=40&amp;md5=8101a9a6ad0eadd8738dc9abcd2e1a90</v>
      </c>
      <c r="Q14" t="s">
        <v>62</v>
      </c>
      <c r="R14" t="s">
        <v>48</v>
      </c>
      <c r="T14" t="s">
        <v>6</v>
      </c>
      <c r="U14" t="s">
        <v>126</v>
      </c>
      <c r="V14" s="36">
        <v>0</v>
      </c>
      <c r="W14" s="27">
        <v>1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J14">
        <f t="shared" si="0"/>
        <v>1</v>
      </c>
    </row>
    <row r="15" spans="1:36">
      <c r="A15" t="s">
        <v>127</v>
      </c>
      <c r="B15" t="s">
        <v>128</v>
      </c>
      <c r="C15" t="s">
        <v>129</v>
      </c>
      <c r="D15" t="s">
        <v>130</v>
      </c>
      <c r="E15">
        <v>2024</v>
      </c>
      <c r="F15" t="s">
        <v>131</v>
      </c>
      <c r="J15">
        <v>150</v>
      </c>
      <c r="K15">
        <v>156</v>
      </c>
      <c r="L15">
        <v>6</v>
      </c>
      <c r="M15">
        <v>0</v>
      </c>
      <c r="N15" t="s">
        <v>132</v>
      </c>
      <c r="O15" t="s">
        <v>133</v>
      </c>
      <c r="P15" s="22" t="str">
        <f>HYPERLINK(O15)</f>
        <v>https://www.scopus.com/inward/record.uri?eid=2-s2.0-85200386047&amp;doi=10.1145%2f3675417.3675443&amp;partnerID=40&amp;md5=d0355447785172327b997f38afa305e6</v>
      </c>
      <c r="Q15" t="s">
        <v>62</v>
      </c>
      <c r="R15" t="s">
        <v>48</v>
      </c>
      <c r="T15" t="s">
        <v>6</v>
      </c>
      <c r="U15" t="s">
        <v>134</v>
      </c>
      <c r="V15" s="36">
        <v>0</v>
      </c>
      <c r="W15" s="27">
        <v>1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7">
        <v>0</v>
      </c>
      <c r="AD15" s="27">
        <v>0</v>
      </c>
      <c r="AE15" s="27">
        <v>0</v>
      </c>
      <c r="AF15" s="27">
        <v>0</v>
      </c>
      <c r="AG15" s="27">
        <v>0</v>
      </c>
      <c r="AH15" s="27">
        <v>1</v>
      </c>
      <c r="AJ15">
        <f t="shared" si="0"/>
        <v>2</v>
      </c>
    </row>
    <row r="16" spans="1:36">
      <c r="D16" t="s">
        <v>131</v>
      </c>
      <c r="E16">
        <v>2013</v>
      </c>
      <c r="F16" t="s">
        <v>131</v>
      </c>
      <c r="G16" t="s">
        <v>135</v>
      </c>
      <c r="L16">
        <v>84</v>
      </c>
      <c r="M16">
        <v>0</v>
      </c>
      <c r="O16" t="s">
        <v>136</v>
      </c>
      <c r="P16" s="22" t="str">
        <f>HYPERLINK(O16)</f>
        <v>https://www.scopus.com/inward/record.uri?eid=2-s2.0-84959037965&amp;partnerID=40&amp;md5=c5b33c01db35d82f7fe46e672e6a3ed8</v>
      </c>
      <c r="Q16" t="s">
        <v>47</v>
      </c>
      <c r="R16" t="s">
        <v>48</v>
      </c>
      <c r="T16" t="s">
        <v>6</v>
      </c>
      <c r="U16" t="s">
        <v>137</v>
      </c>
      <c r="V16" s="36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1</v>
      </c>
      <c r="AJ16">
        <f t="shared" si="0"/>
        <v>1</v>
      </c>
    </row>
    <row r="17" spans="1:36">
      <c r="D17" t="s">
        <v>131</v>
      </c>
      <c r="E17">
        <v>2018</v>
      </c>
      <c r="F17" t="s">
        <v>131</v>
      </c>
      <c r="J17">
        <v>166</v>
      </c>
      <c r="M17">
        <v>0</v>
      </c>
      <c r="O17" t="s">
        <v>138</v>
      </c>
      <c r="P17" s="22" t="str">
        <f>HYPERLINK(O17)</f>
        <v>https://www.scopus.com/inward/record.uri?eid=2-s2.0-85056787493&amp;partnerID=40&amp;md5=d05ee60daebacd5cf3c2a87187c066b0</v>
      </c>
      <c r="Q17" t="s">
        <v>47</v>
      </c>
      <c r="R17" t="s">
        <v>48</v>
      </c>
      <c r="T17" t="s">
        <v>6</v>
      </c>
      <c r="U17" t="s">
        <v>139</v>
      </c>
      <c r="V17" s="36">
        <v>0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1</v>
      </c>
      <c r="AJ17">
        <f t="shared" si="0"/>
        <v>1</v>
      </c>
    </row>
    <row r="18" spans="1:36">
      <c r="D18" t="s">
        <v>131</v>
      </c>
      <c r="E18">
        <v>2019</v>
      </c>
      <c r="F18" t="s">
        <v>131</v>
      </c>
      <c r="L18">
        <v>137</v>
      </c>
      <c r="M18">
        <v>0</v>
      </c>
      <c r="O18" t="s">
        <v>140</v>
      </c>
      <c r="P18" s="22" t="str">
        <f>HYPERLINK(O18)</f>
        <v>https://www.scopus.com/inward/record.uri?eid=2-s2.0-85123042358&amp;partnerID=40&amp;md5=f441e32942a06dc7714ff83d6043765d</v>
      </c>
      <c r="Q18" t="s">
        <v>47</v>
      </c>
      <c r="R18" t="s">
        <v>48</v>
      </c>
      <c r="T18" t="s">
        <v>6</v>
      </c>
      <c r="U18" t="s">
        <v>141</v>
      </c>
      <c r="V18" s="36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J18">
        <f t="shared" si="0"/>
        <v>0</v>
      </c>
    </row>
    <row r="19" spans="1:36">
      <c r="A19" t="s">
        <v>142</v>
      </c>
      <c r="B19" t="s">
        <v>143</v>
      </c>
      <c r="C19" t="s">
        <v>144</v>
      </c>
      <c r="D19" t="s">
        <v>145</v>
      </c>
      <c r="E19">
        <v>2002</v>
      </c>
      <c r="F19" t="s">
        <v>146</v>
      </c>
      <c r="G19">
        <v>51</v>
      </c>
      <c r="H19" s="32">
        <v>45901</v>
      </c>
      <c r="J19">
        <v>637</v>
      </c>
      <c r="K19">
        <v>646</v>
      </c>
      <c r="L19">
        <v>9</v>
      </c>
      <c r="M19">
        <v>4</v>
      </c>
      <c r="N19" t="s">
        <v>147</v>
      </c>
      <c r="O19" t="s">
        <v>148</v>
      </c>
      <c r="P19" s="22" t="str">
        <f>HYPERLINK(O19)</f>
        <v>https://www.scopus.com/inward/record.uri?eid=2-s2.0-10644264420&amp;doi=10.1016%2fS0094-5765%2802%2900081-4&amp;partnerID=40&amp;md5=4d701b232f3271a063982aac7e19e341</v>
      </c>
      <c r="Q19" t="s">
        <v>62</v>
      </c>
      <c r="R19" t="s">
        <v>48</v>
      </c>
      <c r="T19" t="s">
        <v>6</v>
      </c>
      <c r="U19" t="s">
        <v>149</v>
      </c>
      <c r="V19" s="36">
        <v>0</v>
      </c>
      <c r="W19" s="27">
        <v>1</v>
      </c>
      <c r="X19" s="27">
        <v>0</v>
      </c>
      <c r="Y19" s="27">
        <v>0</v>
      </c>
      <c r="Z19" s="27">
        <v>0</v>
      </c>
      <c r="AA19" s="27">
        <v>0</v>
      </c>
      <c r="AB19" s="27">
        <v>0</v>
      </c>
      <c r="AC19" s="27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1</v>
      </c>
      <c r="AJ19">
        <f t="shared" si="0"/>
        <v>2</v>
      </c>
    </row>
    <row r="20" spans="1:36">
      <c r="A20" t="s">
        <v>150</v>
      </c>
      <c r="B20" t="s">
        <v>151</v>
      </c>
      <c r="C20" t="s">
        <v>152</v>
      </c>
      <c r="D20" t="s">
        <v>153</v>
      </c>
      <c r="E20">
        <v>2010</v>
      </c>
      <c r="F20" t="s">
        <v>146</v>
      </c>
      <c r="G20">
        <v>66</v>
      </c>
      <c r="H20" s="32">
        <v>45750</v>
      </c>
      <c r="J20">
        <v>605</v>
      </c>
      <c r="K20">
        <v>609</v>
      </c>
      <c r="L20">
        <v>4</v>
      </c>
      <c r="M20">
        <v>5</v>
      </c>
      <c r="N20" t="s">
        <v>154</v>
      </c>
      <c r="O20" t="s">
        <v>155</v>
      </c>
      <c r="P20" s="22" t="str">
        <f>HYPERLINK(O20)</f>
        <v>https://www.scopus.com/inward/record.uri?eid=2-s2.0-70449528496&amp;doi=10.1016%2fj.actaastro.2009.07.017&amp;partnerID=40&amp;md5=50e404296577a8c6e24047fcf401cf1d</v>
      </c>
      <c r="Q20" t="s">
        <v>156</v>
      </c>
      <c r="R20" t="s">
        <v>48</v>
      </c>
      <c r="T20" t="s">
        <v>6</v>
      </c>
      <c r="U20" t="s">
        <v>157</v>
      </c>
      <c r="V20" s="36">
        <v>0</v>
      </c>
      <c r="W20" s="27">
        <v>1</v>
      </c>
      <c r="X20" s="27">
        <v>0</v>
      </c>
      <c r="Y20" s="27">
        <v>0</v>
      </c>
      <c r="Z20" s="27">
        <v>0</v>
      </c>
      <c r="AA20" s="27">
        <v>0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</v>
      </c>
      <c r="AJ20">
        <f t="shared" si="0"/>
        <v>1</v>
      </c>
    </row>
    <row r="21" spans="1:36">
      <c r="A21" t="s">
        <v>158</v>
      </c>
      <c r="B21" t="s">
        <v>159</v>
      </c>
      <c r="C21" t="s">
        <v>160</v>
      </c>
      <c r="D21" t="s">
        <v>161</v>
      </c>
      <c r="E21">
        <v>2015</v>
      </c>
      <c r="F21" t="s">
        <v>146</v>
      </c>
      <c r="G21">
        <v>115</v>
      </c>
      <c r="I21">
        <v>5473</v>
      </c>
      <c r="J21">
        <v>338</v>
      </c>
      <c r="K21">
        <v>348</v>
      </c>
      <c r="L21">
        <v>10</v>
      </c>
      <c r="M21">
        <v>18</v>
      </c>
      <c r="N21" t="s">
        <v>162</v>
      </c>
      <c r="O21" t="s">
        <v>163</v>
      </c>
      <c r="P21" s="22" t="str">
        <f>HYPERLINK(O21)</f>
        <v>https://www.scopus.com/inward/record.uri?eid=2-s2.0-84934986183&amp;doi=10.1016%2fj.actaastro.2015.06.006&amp;partnerID=40&amp;md5=4447452bbc147156f5434fcc01630c8b</v>
      </c>
      <c r="Q21" t="s">
        <v>156</v>
      </c>
      <c r="R21" t="s">
        <v>48</v>
      </c>
      <c r="S21" t="s">
        <v>164</v>
      </c>
      <c r="T21" t="s">
        <v>6</v>
      </c>
      <c r="U21" t="s">
        <v>165</v>
      </c>
      <c r="V21" s="36">
        <v>0</v>
      </c>
      <c r="W21" s="27">
        <v>1</v>
      </c>
      <c r="X21" s="27">
        <v>0</v>
      </c>
      <c r="Y21" s="27">
        <v>0</v>
      </c>
      <c r="Z21" s="27">
        <v>0</v>
      </c>
      <c r="AA21" s="27">
        <v>0</v>
      </c>
      <c r="AB21" s="27">
        <v>0</v>
      </c>
      <c r="AC21" s="27">
        <v>0</v>
      </c>
      <c r="AD21" s="27">
        <v>0</v>
      </c>
      <c r="AE21" s="27">
        <v>0</v>
      </c>
      <c r="AF21" s="27">
        <v>0</v>
      </c>
      <c r="AG21" s="27">
        <v>0</v>
      </c>
      <c r="AH21" s="27">
        <v>0</v>
      </c>
      <c r="AJ21">
        <f t="shared" si="0"/>
        <v>1</v>
      </c>
    </row>
    <row r="22" spans="1:36">
      <c r="A22" t="s">
        <v>166</v>
      </c>
      <c r="B22" t="s">
        <v>167</v>
      </c>
      <c r="C22" t="s">
        <v>168</v>
      </c>
      <c r="D22" t="s">
        <v>169</v>
      </c>
      <c r="E22">
        <v>2024</v>
      </c>
      <c r="F22" t="s">
        <v>146</v>
      </c>
      <c r="G22">
        <v>220</v>
      </c>
      <c r="J22">
        <v>403</v>
      </c>
      <c r="K22">
        <v>415</v>
      </c>
      <c r="L22">
        <v>12</v>
      </c>
      <c r="M22">
        <v>1</v>
      </c>
      <c r="N22" t="s">
        <v>170</v>
      </c>
      <c r="O22" t="s">
        <v>171</v>
      </c>
      <c r="P22" s="22" t="str">
        <f>HYPERLINK(O22)</f>
        <v>https://www.scopus.com/inward/record.uri?eid=2-s2.0-85192680352&amp;doi=10.1016%2fj.actaastro.2024.04.041&amp;partnerID=40&amp;md5=6936ac04b24e4de78d1edf3936eedee5</v>
      </c>
      <c r="Q22" t="s">
        <v>156</v>
      </c>
      <c r="R22" t="s">
        <v>48</v>
      </c>
      <c r="S22" t="s">
        <v>172</v>
      </c>
      <c r="T22" t="s">
        <v>6</v>
      </c>
      <c r="U22" t="s">
        <v>173</v>
      </c>
      <c r="V22" s="36">
        <v>0</v>
      </c>
      <c r="W22" s="27">
        <v>1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J22">
        <f t="shared" si="0"/>
        <v>1</v>
      </c>
    </row>
    <row r="23" spans="1:36">
      <c r="D23" t="s">
        <v>174</v>
      </c>
      <c r="E23">
        <v>1988</v>
      </c>
      <c r="F23" t="s">
        <v>146</v>
      </c>
      <c r="G23">
        <v>17</v>
      </c>
      <c r="H23">
        <v>4</v>
      </c>
      <c r="J23">
        <v>375</v>
      </c>
      <c r="K23">
        <v>462</v>
      </c>
      <c r="L23">
        <v>87</v>
      </c>
      <c r="M23">
        <v>0</v>
      </c>
      <c r="N23" t="s">
        <v>175</v>
      </c>
      <c r="O23" t="s">
        <v>176</v>
      </c>
      <c r="P23" s="22" t="str">
        <f>HYPERLINK(O23)</f>
        <v>https://www.scopus.com/inward/record.uri?eid=2-s2.0-0023985051&amp;doi=10.1016%2f0094-5765%2888%2990051-3&amp;partnerID=40&amp;md5=b9b9d94a6742d5ac8d617951e784e648</v>
      </c>
      <c r="Q23" t="s">
        <v>47</v>
      </c>
      <c r="R23" t="s">
        <v>48</v>
      </c>
      <c r="T23" t="s">
        <v>6</v>
      </c>
      <c r="U23" t="s">
        <v>177</v>
      </c>
      <c r="V23" s="36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J23">
        <f t="shared" si="0"/>
        <v>0</v>
      </c>
    </row>
    <row r="24" spans="1:36">
      <c r="A24" t="s">
        <v>178</v>
      </c>
      <c r="B24" t="s">
        <v>179</v>
      </c>
      <c r="C24">
        <v>17344111700</v>
      </c>
      <c r="D24" t="s">
        <v>180</v>
      </c>
      <c r="E24">
        <v>2024</v>
      </c>
      <c r="F24" t="s">
        <v>181</v>
      </c>
      <c r="G24">
        <v>14</v>
      </c>
      <c r="H24">
        <v>9</v>
      </c>
      <c r="I24">
        <v>219</v>
      </c>
      <c r="M24">
        <v>1</v>
      </c>
      <c r="N24" t="s">
        <v>182</v>
      </c>
      <c r="O24" t="s">
        <v>183</v>
      </c>
      <c r="P24" s="22" t="str">
        <f>HYPERLINK(O24)</f>
        <v>https://www.scopus.com/inward/record.uri?eid=2-s2.0-85205082612&amp;doi=10.3390%2fadmsci14090219&amp;partnerID=40&amp;md5=3456df114eace91edc991d9ff41d0298</v>
      </c>
      <c r="Q24" t="s">
        <v>184</v>
      </c>
      <c r="R24" t="s">
        <v>48</v>
      </c>
      <c r="S24" t="s">
        <v>185</v>
      </c>
      <c r="T24" t="s">
        <v>6</v>
      </c>
      <c r="U24" t="s">
        <v>186</v>
      </c>
      <c r="V24" s="36">
        <v>0</v>
      </c>
      <c r="W24" s="27">
        <v>0</v>
      </c>
      <c r="X24" s="27">
        <v>0</v>
      </c>
      <c r="Y24" s="27">
        <v>0</v>
      </c>
      <c r="Z24" s="27">
        <v>0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1</v>
      </c>
      <c r="AJ24">
        <f t="shared" si="0"/>
        <v>1</v>
      </c>
    </row>
    <row r="25" spans="1:36">
      <c r="A25" t="s">
        <v>187</v>
      </c>
      <c r="B25" t="s">
        <v>188</v>
      </c>
      <c r="C25" t="s">
        <v>189</v>
      </c>
      <c r="D25" t="s">
        <v>190</v>
      </c>
      <c r="E25">
        <v>2011</v>
      </c>
      <c r="F25" t="s">
        <v>191</v>
      </c>
      <c r="G25">
        <v>178</v>
      </c>
      <c r="J25">
        <v>35</v>
      </c>
      <c r="K25">
        <v>40</v>
      </c>
      <c r="L25">
        <v>5</v>
      </c>
      <c r="M25">
        <v>0</v>
      </c>
      <c r="N25" t="s">
        <v>192</v>
      </c>
      <c r="O25" t="s">
        <v>193</v>
      </c>
      <c r="P25" s="22" t="str">
        <f>HYPERLINK(O25)</f>
        <v>https://www.scopus.com/inward/record.uri?eid=2-s2.0-78751486082&amp;doi=10.4028%2fwww.scientific.net%2fAMR.178.35&amp;partnerID=40&amp;md5=9ba49f58c753fb7da54958849357cd12</v>
      </c>
      <c r="Q25" t="s">
        <v>62</v>
      </c>
      <c r="R25" t="s">
        <v>48</v>
      </c>
      <c r="T25" t="s">
        <v>6</v>
      </c>
      <c r="U25" t="s">
        <v>194</v>
      </c>
      <c r="V25" s="36">
        <v>0</v>
      </c>
      <c r="W25" s="27">
        <v>0</v>
      </c>
      <c r="X25" s="27">
        <v>0</v>
      </c>
      <c r="Y25" s="27">
        <v>0</v>
      </c>
      <c r="Z25" s="27">
        <v>0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1</v>
      </c>
      <c r="AJ25">
        <f t="shared" si="0"/>
        <v>1</v>
      </c>
    </row>
    <row r="26" spans="1:36">
      <c r="D26" t="s">
        <v>195</v>
      </c>
      <c r="E26">
        <v>2011</v>
      </c>
      <c r="F26" t="s">
        <v>191</v>
      </c>
      <c r="G26">
        <v>178</v>
      </c>
      <c r="L26">
        <v>390</v>
      </c>
      <c r="M26">
        <v>0</v>
      </c>
      <c r="O26" t="s">
        <v>196</v>
      </c>
      <c r="P26" s="22" t="str">
        <f>HYPERLINK(O26)</f>
        <v>https://www.scopus.com/inward/record.uri?eid=2-s2.0-78751555378&amp;partnerID=40&amp;md5=0876a3610d7add9b3eedfd0b54607c17</v>
      </c>
      <c r="Q26" t="s">
        <v>47</v>
      </c>
      <c r="R26" t="s">
        <v>48</v>
      </c>
      <c r="T26" t="s">
        <v>6</v>
      </c>
      <c r="U26" t="s">
        <v>197</v>
      </c>
      <c r="V26" s="36">
        <v>0</v>
      </c>
      <c r="W26" s="27">
        <v>1</v>
      </c>
      <c r="X26" s="27">
        <v>0</v>
      </c>
      <c r="Y26" s="27">
        <v>0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J26">
        <f t="shared" si="0"/>
        <v>1</v>
      </c>
    </row>
    <row r="27" spans="1:36">
      <c r="D27" t="s">
        <v>198</v>
      </c>
      <c r="E27">
        <v>2013</v>
      </c>
      <c r="F27" t="s">
        <v>191</v>
      </c>
      <c r="G27">
        <v>790</v>
      </c>
      <c r="M27">
        <v>0</v>
      </c>
      <c r="O27" t="s">
        <v>199</v>
      </c>
      <c r="P27" s="22" t="str">
        <f>HYPERLINK(O27)</f>
        <v>https://www.scopus.com/inward/record.uri?eid=2-s2.0-84886299805&amp;partnerID=40&amp;md5=200cbdc6342afb592f8dcb7650af1f98</v>
      </c>
      <c r="Q27" t="s">
        <v>47</v>
      </c>
      <c r="R27" t="s">
        <v>48</v>
      </c>
      <c r="T27" t="s">
        <v>6</v>
      </c>
      <c r="U27" t="s">
        <v>200</v>
      </c>
      <c r="V27" s="36">
        <v>0</v>
      </c>
      <c r="W27" s="27">
        <v>1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J27">
        <f t="shared" si="0"/>
        <v>1</v>
      </c>
    </row>
    <row r="28" spans="1:36">
      <c r="D28" t="s">
        <v>201</v>
      </c>
      <c r="E28">
        <v>2014</v>
      </c>
      <c r="F28" t="s">
        <v>191</v>
      </c>
      <c r="G28" t="s">
        <v>202</v>
      </c>
      <c r="M28">
        <v>0</v>
      </c>
      <c r="O28" t="s">
        <v>203</v>
      </c>
      <c r="P28" s="22" t="str">
        <f>HYPERLINK(O28)</f>
        <v>https://www.scopus.com/inward/record.uri?eid=2-s2.0-84904211575&amp;partnerID=40&amp;md5=7a26c28be8b0209111210ef89d97f108</v>
      </c>
      <c r="Q28" t="s">
        <v>47</v>
      </c>
      <c r="R28" t="s">
        <v>48</v>
      </c>
      <c r="T28" t="s">
        <v>6</v>
      </c>
      <c r="U28" t="s">
        <v>204</v>
      </c>
      <c r="V28" s="36">
        <v>0</v>
      </c>
      <c r="W28" s="27">
        <v>1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J28">
        <f t="shared" si="0"/>
        <v>1</v>
      </c>
    </row>
    <row r="29" spans="1:36">
      <c r="D29" t="s">
        <v>205</v>
      </c>
      <c r="E29">
        <v>2014</v>
      </c>
      <c r="F29" t="s">
        <v>191</v>
      </c>
      <c r="G29" t="s">
        <v>206</v>
      </c>
      <c r="M29">
        <v>0</v>
      </c>
      <c r="O29" t="s">
        <v>207</v>
      </c>
      <c r="P29" s="22" t="str">
        <f>HYPERLINK(O29)</f>
        <v>https://www.scopus.com/inward/record.uri?eid=2-s2.0-84904200062&amp;partnerID=40&amp;md5=e53dc534765f47bc03f6a7762c2aee4e</v>
      </c>
      <c r="Q29" t="s">
        <v>47</v>
      </c>
      <c r="R29" t="s">
        <v>48</v>
      </c>
      <c r="T29" t="s">
        <v>6</v>
      </c>
      <c r="U29" t="s">
        <v>208</v>
      </c>
      <c r="V29" s="36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1</v>
      </c>
      <c r="AJ29">
        <f t="shared" si="0"/>
        <v>1</v>
      </c>
    </row>
    <row r="30" spans="1:36">
      <c r="A30" t="s">
        <v>209</v>
      </c>
      <c r="B30" t="s">
        <v>210</v>
      </c>
      <c r="C30" t="s">
        <v>211</v>
      </c>
      <c r="D30" t="s">
        <v>212</v>
      </c>
      <c r="E30">
        <v>2022</v>
      </c>
      <c r="F30" t="s">
        <v>213</v>
      </c>
      <c r="J30">
        <v>121</v>
      </c>
      <c r="K30">
        <v>138</v>
      </c>
      <c r="L30">
        <v>17</v>
      </c>
      <c r="M30">
        <v>1</v>
      </c>
      <c r="N30" t="s">
        <v>214</v>
      </c>
      <c r="O30" t="s">
        <v>215</v>
      </c>
      <c r="P30" s="22" t="str">
        <f>HYPERLINK(O30)</f>
        <v>https://www.scopus.com/inward/record.uri?eid=2-s2.0-85122449697&amp;doi=10.1007%2f978-981-16-7649-9_7&amp;partnerID=40&amp;md5=16eaf4c0540e61c89722ad0f9277a45a</v>
      </c>
      <c r="Q30" t="s">
        <v>216</v>
      </c>
      <c r="R30" t="s">
        <v>48</v>
      </c>
      <c r="T30" t="s">
        <v>6</v>
      </c>
      <c r="U30" t="s">
        <v>217</v>
      </c>
      <c r="V30" s="36">
        <v>0</v>
      </c>
      <c r="W30" s="27">
        <v>1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J30">
        <f t="shared" si="0"/>
        <v>1</v>
      </c>
    </row>
    <row r="31" spans="1:36">
      <c r="A31" t="s">
        <v>218</v>
      </c>
      <c r="B31" t="s">
        <v>219</v>
      </c>
      <c r="C31" t="s">
        <v>220</v>
      </c>
      <c r="D31" t="s">
        <v>221</v>
      </c>
      <c r="E31">
        <v>2023</v>
      </c>
      <c r="F31" t="s">
        <v>222</v>
      </c>
      <c r="G31">
        <v>11</v>
      </c>
      <c r="H31">
        <v>2</v>
      </c>
      <c r="J31">
        <v>294</v>
      </c>
      <c r="K31">
        <v>316</v>
      </c>
      <c r="L31">
        <v>22</v>
      </c>
      <c r="M31">
        <v>0</v>
      </c>
      <c r="N31" t="s">
        <v>223</v>
      </c>
      <c r="O31" t="s">
        <v>224</v>
      </c>
      <c r="P31" s="22" t="str">
        <f>HYPERLINK(O31)</f>
        <v>https://www.scopus.com/inward/record.uri?eid=2-s2.0-85161481380&amp;doi=10.30519%2fahtr.1096210&amp;partnerID=40&amp;md5=46604e0a90b9c8b9a7f498acc1ebf631</v>
      </c>
      <c r="Q31" t="s">
        <v>156</v>
      </c>
      <c r="R31" t="s">
        <v>48</v>
      </c>
      <c r="S31" t="s">
        <v>225</v>
      </c>
      <c r="T31" t="s">
        <v>6</v>
      </c>
      <c r="U31" t="s">
        <v>226</v>
      </c>
      <c r="V31" s="36">
        <v>1</v>
      </c>
      <c r="W31" s="27">
        <v>0</v>
      </c>
      <c r="X31" s="27">
        <v>0</v>
      </c>
      <c r="Y31" s="27">
        <v>0</v>
      </c>
      <c r="Z31" s="27">
        <v>0</v>
      </c>
      <c r="AA31" s="27">
        <v>0</v>
      </c>
      <c r="AB31" s="27">
        <v>0</v>
      </c>
      <c r="AC31" s="27">
        <v>0</v>
      </c>
      <c r="AD31" s="27">
        <v>0</v>
      </c>
      <c r="AE31" s="27">
        <v>0</v>
      </c>
      <c r="AF31" s="27">
        <v>0</v>
      </c>
      <c r="AG31" s="27">
        <v>0</v>
      </c>
      <c r="AH31" s="27">
        <v>0</v>
      </c>
      <c r="AJ31">
        <f t="shared" si="0"/>
        <v>1</v>
      </c>
    </row>
    <row r="32" spans="1:36">
      <c r="A32" t="s">
        <v>227</v>
      </c>
      <c r="B32" t="s">
        <v>228</v>
      </c>
      <c r="C32" t="s">
        <v>229</v>
      </c>
      <c r="D32" t="s">
        <v>230</v>
      </c>
      <c r="E32">
        <v>2011</v>
      </c>
      <c r="F32" t="s">
        <v>231</v>
      </c>
      <c r="G32">
        <v>3</v>
      </c>
      <c r="H32">
        <v>6</v>
      </c>
      <c r="J32">
        <v>357</v>
      </c>
      <c r="K32">
        <v>363</v>
      </c>
      <c r="L32">
        <v>6</v>
      </c>
      <c r="M32">
        <v>4</v>
      </c>
      <c r="N32" t="s">
        <v>232</v>
      </c>
      <c r="O32" t="s">
        <v>233</v>
      </c>
      <c r="P32" s="22" t="str">
        <f>HYPERLINK(O32)</f>
        <v>https://www.scopus.com/inward/record.uri?eid=2-s2.0-79961008975&amp;doi=10.4156%2faiss.vol3.issue6.45&amp;partnerID=40&amp;md5=d9d36149553644733ea9b3d119be9492</v>
      </c>
      <c r="Q32" t="s">
        <v>156</v>
      </c>
      <c r="R32" t="s">
        <v>48</v>
      </c>
      <c r="T32" t="s">
        <v>6</v>
      </c>
      <c r="U32" t="s">
        <v>234</v>
      </c>
      <c r="V32" s="36">
        <v>0</v>
      </c>
      <c r="W32" s="27">
        <v>0</v>
      </c>
      <c r="X32" s="27">
        <v>0</v>
      </c>
      <c r="Y32" s="27">
        <v>0</v>
      </c>
      <c r="Z32" s="27">
        <v>0</v>
      </c>
      <c r="AA32" s="27">
        <v>0</v>
      </c>
      <c r="AB32" s="27">
        <v>0</v>
      </c>
      <c r="AC32" s="27">
        <v>0</v>
      </c>
      <c r="AD32" s="27">
        <v>0</v>
      </c>
      <c r="AE32" s="27">
        <v>0</v>
      </c>
      <c r="AF32" s="27">
        <v>1</v>
      </c>
      <c r="AG32" s="27">
        <v>0</v>
      </c>
      <c r="AH32" s="27">
        <v>0</v>
      </c>
      <c r="AJ32">
        <f t="shared" si="0"/>
        <v>1</v>
      </c>
    </row>
    <row r="33" spans="1:36">
      <c r="A33" t="s">
        <v>235</v>
      </c>
      <c r="B33" t="s">
        <v>236</v>
      </c>
      <c r="C33" t="s">
        <v>237</v>
      </c>
      <c r="D33" t="s">
        <v>238</v>
      </c>
      <c r="E33">
        <v>2020</v>
      </c>
      <c r="F33" t="s">
        <v>239</v>
      </c>
      <c r="G33" t="s">
        <v>240</v>
      </c>
      <c r="J33">
        <v>218</v>
      </c>
      <c r="K33">
        <v>231</v>
      </c>
      <c r="L33">
        <v>13</v>
      </c>
      <c r="M33">
        <v>0</v>
      </c>
      <c r="N33" t="s">
        <v>241</v>
      </c>
      <c r="O33" t="s">
        <v>242</v>
      </c>
      <c r="P33" s="22" t="str">
        <f>HYPERLINK(O33)</f>
        <v>https://www.scopus.com/inward/record.uri?eid=2-s2.0-85084792804&amp;doi=10.1007%2f978-3-030-46828-6_19&amp;partnerID=40&amp;md5=47ebc2f44aa7244729a020038cefc8d3</v>
      </c>
      <c r="Q33" t="s">
        <v>62</v>
      </c>
      <c r="R33" t="s">
        <v>48</v>
      </c>
      <c r="T33" t="s">
        <v>6</v>
      </c>
      <c r="U33" t="s">
        <v>243</v>
      </c>
      <c r="V33" s="36">
        <v>0</v>
      </c>
      <c r="W33" s="27">
        <v>0</v>
      </c>
      <c r="X33" s="27">
        <v>0</v>
      </c>
      <c r="Y33" s="27">
        <v>0</v>
      </c>
      <c r="Z33" s="27">
        <v>1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J33">
        <f t="shared" si="0"/>
        <v>1</v>
      </c>
    </row>
    <row r="34" spans="1:36">
      <c r="D34" t="s">
        <v>244</v>
      </c>
      <c r="E34">
        <v>2020</v>
      </c>
      <c r="F34" t="s">
        <v>239</v>
      </c>
      <c r="G34" t="s">
        <v>240</v>
      </c>
      <c r="L34">
        <v>360</v>
      </c>
      <c r="M34">
        <v>0</v>
      </c>
      <c r="O34" t="s">
        <v>245</v>
      </c>
      <c r="P34" s="22" t="str">
        <f>HYPERLINK(O34)</f>
        <v>https://www.scopus.com/inward/record.uri?eid=2-s2.0-85084809081&amp;partnerID=40&amp;md5=a2bfe64d8d71d8caf3b738c2bc95ff92</v>
      </c>
      <c r="Q34" t="s">
        <v>47</v>
      </c>
      <c r="R34" t="s">
        <v>48</v>
      </c>
      <c r="T34" t="s">
        <v>6</v>
      </c>
      <c r="U34" t="s">
        <v>246</v>
      </c>
      <c r="V34" s="36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1</v>
      </c>
      <c r="AJ34">
        <f t="shared" si="0"/>
        <v>1</v>
      </c>
    </row>
    <row r="35" spans="1:36">
      <c r="A35" t="s">
        <v>247</v>
      </c>
      <c r="B35" t="s">
        <v>248</v>
      </c>
      <c r="C35" t="s">
        <v>249</v>
      </c>
      <c r="D35" t="s">
        <v>250</v>
      </c>
      <c r="E35">
        <v>2022</v>
      </c>
      <c r="F35" t="s">
        <v>251</v>
      </c>
      <c r="G35">
        <v>16</v>
      </c>
      <c r="H35">
        <v>6</v>
      </c>
      <c r="J35">
        <v>1</v>
      </c>
      <c r="K35">
        <v>13</v>
      </c>
      <c r="L35">
        <v>12</v>
      </c>
      <c r="M35">
        <v>6</v>
      </c>
      <c r="N35" t="s">
        <v>252</v>
      </c>
      <c r="O35" t="s">
        <v>253</v>
      </c>
      <c r="P35" s="22" t="str">
        <f>HYPERLINK(O35)</f>
        <v>https://www.scopus.com/inward/record.uri?eid=2-s2.0-85142852216&amp;doi=10.12913%2f22998624%2f155214&amp;partnerID=40&amp;md5=6acf7327c8660df8e2107897ea4ebb51</v>
      </c>
      <c r="Q35" t="s">
        <v>156</v>
      </c>
      <c r="R35" t="s">
        <v>48</v>
      </c>
      <c r="S35" t="s">
        <v>185</v>
      </c>
      <c r="T35" t="s">
        <v>6</v>
      </c>
      <c r="U35" t="s">
        <v>254</v>
      </c>
      <c r="V35" s="36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1</v>
      </c>
      <c r="AJ35">
        <f t="shared" si="0"/>
        <v>1</v>
      </c>
    </row>
    <row r="36" spans="1:36">
      <c r="A36" t="s">
        <v>255</v>
      </c>
      <c r="B36" t="s">
        <v>256</v>
      </c>
      <c r="C36" t="s">
        <v>257</v>
      </c>
      <c r="D36" t="s">
        <v>258</v>
      </c>
      <c r="E36">
        <v>2020</v>
      </c>
      <c r="F36" t="s">
        <v>259</v>
      </c>
      <c r="J36">
        <v>1</v>
      </c>
      <c r="K36">
        <v>20</v>
      </c>
      <c r="L36">
        <v>19</v>
      </c>
      <c r="M36">
        <v>15</v>
      </c>
      <c r="N36" t="s">
        <v>260</v>
      </c>
      <c r="O36" t="s">
        <v>261</v>
      </c>
      <c r="P36" s="22" t="str">
        <f>HYPERLINK(O36)</f>
        <v>https://www.scopus.com/inward/record.uri?eid=2-s2.0-85097989499&amp;doi=10.1007%2f978-3-030-23243-6_1&amp;partnerID=40&amp;md5=0178ec1993b22001de249a1029739753</v>
      </c>
      <c r="Q36" t="s">
        <v>216</v>
      </c>
      <c r="R36" t="s">
        <v>48</v>
      </c>
      <c r="T36" t="s">
        <v>6</v>
      </c>
      <c r="U36" t="s">
        <v>262</v>
      </c>
      <c r="V36" s="36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1</v>
      </c>
      <c r="AJ36">
        <f t="shared" si="0"/>
        <v>1</v>
      </c>
    </row>
    <row r="37" spans="1:36">
      <c r="A37" t="s">
        <v>263</v>
      </c>
      <c r="B37" t="s">
        <v>264</v>
      </c>
      <c r="C37" t="s">
        <v>265</v>
      </c>
      <c r="D37" t="s">
        <v>266</v>
      </c>
      <c r="E37">
        <v>2024</v>
      </c>
      <c r="F37" t="s">
        <v>259</v>
      </c>
      <c r="J37">
        <v>1057</v>
      </c>
      <c r="K37">
        <v>1061</v>
      </c>
      <c r="L37">
        <v>4</v>
      </c>
      <c r="M37">
        <v>0</v>
      </c>
      <c r="N37" t="s">
        <v>267</v>
      </c>
      <c r="O37" t="s">
        <v>268</v>
      </c>
      <c r="P37" s="22" t="str">
        <f>HYPERLINK(O37)</f>
        <v>https://www.scopus.com/inward/record.uri?eid=2-s2.0-85200698040&amp;doi=10.1007%2f978-3-031-51904-8_230&amp;partnerID=40&amp;md5=7d7f19a7cc95be4040854e9a03c10926</v>
      </c>
      <c r="Q37" t="s">
        <v>62</v>
      </c>
      <c r="R37" t="s">
        <v>48</v>
      </c>
      <c r="T37" t="s">
        <v>6</v>
      </c>
      <c r="U37" t="s">
        <v>269</v>
      </c>
      <c r="V37" s="36">
        <v>0</v>
      </c>
      <c r="W37" s="27">
        <v>1</v>
      </c>
      <c r="X37" s="27">
        <v>0</v>
      </c>
      <c r="Y37" s="27">
        <v>0</v>
      </c>
      <c r="Z37" s="27">
        <v>0</v>
      </c>
      <c r="AA37" s="27">
        <v>0</v>
      </c>
      <c r="AB37" s="27">
        <v>0</v>
      </c>
      <c r="AC37" s="27">
        <v>0</v>
      </c>
      <c r="AD37" s="27">
        <v>0</v>
      </c>
      <c r="AE37" s="27">
        <v>0</v>
      </c>
      <c r="AF37" s="27">
        <v>0</v>
      </c>
      <c r="AG37" s="27">
        <v>0</v>
      </c>
      <c r="AH37" s="27">
        <v>0</v>
      </c>
      <c r="AJ37">
        <f t="shared" si="0"/>
        <v>1</v>
      </c>
    </row>
    <row r="38" spans="1:36">
      <c r="A38" t="s">
        <v>270</v>
      </c>
      <c r="B38" t="s">
        <v>271</v>
      </c>
      <c r="C38" t="s">
        <v>272</v>
      </c>
      <c r="D38" t="s">
        <v>273</v>
      </c>
      <c r="E38">
        <v>2016</v>
      </c>
      <c r="F38" t="s">
        <v>274</v>
      </c>
      <c r="H38">
        <v>9783319301945</v>
      </c>
      <c r="J38">
        <v>365</v>
      </c>
      <c r="K38">
        <v>414</v>
      </c>
      <c r="L38">
        <v>49</v>
      </c>
      <c r="M38">
        <v>3</v>
      </c>
      <c r="N38" t="s">
        <v>275</v>
      </c>
      <c r="O38" t="s">
        <v>276</v>
      </c>
      <c r="P38" s="22" t="str">
        <f>HYPERLINK(O38)</f>
        <v>https://www.scopus.com/inward/record.uri?eid=2-s2.0-85020224888&amp;doi=10.1007%2f978-3-319-30196-9_15&amp;partnerID=40&amp;md5=c97978aca5a62253026184ee3e571caf</v>
      </c>
      <c r="Q38" t="s">
        <v>216</v>
      </c>
      <c r="R38" t="s">
        <v>48</v>
      </c>
      <c r="T38" t="s">
        <v>6</v>
      </c>
      <c r="U38" t="s">
        <v>277</v>
      </c>
      <c r="V38" s="36">
        <v>0</v>
      </c>
      <c r="W38" s="27">
        <v>0</v>
      </c>
      <c r="X38" s="27">
        <v>0</v>
      </c>
      <c r="Y38" s="27">
        <v>0</v>
      </c>
      <c r="Z38" s="27">
        <v>0</v>
      </c>
      <c r="AA38" s="27">
        <v>0</v>
      </c>
      <c r="AB38" s="27">
        <v>0</v>
      </c>
      <c r="AC38" s="27">
        <v>0</v>
      </c>
      <c r="AD38" s="27">
        <v>0</v>
      </c>
      <c r="AE38" s="27">
        <v>0</v>
      </c>
      <c r="AF38" s="27">
        <v>0</v>
      </c>
      <c r="AG38" s="27">
        <v>0</v>
      </c>
      <c r="AH38" s="27">
        <v>1</v>
      </c>
      <c r="AJ38">
        <f t="shared" si="0"/>
        <v>1</v>
      </c>
    </row>
    <row r="39" spans="1:36">
      <c r="A39" t="s">
        <v>278</v>
      </c>
      <c r="B39" t="s">
        <v>279</v>
      </c>
      <c r="C39" t="s">
        <v>280</v>
      </c>
      <c r="D39" t="s">
        <v>281</v>
      </c>
      <c r="E39">
        <v>2021</v>
      </c>
      <c r="F39" t="s">
        <v>274</v>
      </c>
      <c r="J39">
        <v>181</v>
      </c>
      <c r="K39">
        <v>208</v>
      </c>
      <c r="L39">
        <v>27</v>
      </c>
      <c r="M39">
        <v>1</v>
      </c>
      <c r="N39" t="s">
        <v>282</v>
      </c>
      <c r="O39" t="s">
        <v>283</v>
      </c>
      <c r="P39" s="22" t="str">
        <f>HYPERLINK(O39)</f>
        <v>https://www.scopus.com/inward/record.uri?eid=2-s2.0-85097983746&amp;doi=10.1007%2f978-3-030-61274-0_10&amp;partnerID=40&amp;md5=2794bd91420eb6020d6d75dab973c79d</v>
      </c>
      <c r="Q39" t="s">
        <v>216</v>
      </c>
      <c r="R39" t="s">
        <v>48</v>
      </c>
      <c r="T39" t="s">
        <v>6</v>
      </c>
      <c r="U39" t="s">
        <v>284</v>
      </c>
      <c r="V39" s="36">
        <v>0</v>
      </c>
      <c r="W39" s="27">
        <v>0</v>
      </c>
      <c r="X39" s="27">
        <v>1</v>
      </c>
      <c r="Y39" s="27">
        <v>0</v>
      </c>
      <c r="Z39" s="27">
        <v>0</v>
      </c>
      <c r="AA39" s="27">
        <v>0</v>
      </c>
      <c r="AB39" s="27">
        <v>0</v>
      </c>
      <c r="AC39" s="27">
        <v>0</v>
      </c>
      <c r="AD39" s="27">
        <v>0</v>
      </c>
      <c r="AE39" s="27">
        <v>0</v>
      </c>
      <c r="AF39" s="27">
        <v>0</v>
      </c>
      <c r="AG39" s="27">
        <v>0</v>
      </c>
      <c r="AH39" s="27">
        <v>0</v>
      </c>
      <c r="AJ39">
        <f t="shared" si="0"/>
        <v>1</v>
      </c>
    </row>
    <row r="40" spans="1:36">
      <c r="A40" t="s">
        <v>285</v>
      </c>
      <c r="B40" t="s">
        <v>286</v>
      </c>
      <c r="C40">
        <v>22835407800</v>
      </c>
      <c r="D40" t="s">
        <v>287</v>
      </c>
      <c r="E40">
        <v>2024</v>
      </c>
      <c r="F40" t="s">
        <v>288</v>
      </c>
      <c r="G40">
        <v>30</v>
      </c>
      <c r="J40">
        <v>73</v>
      </c>
      <c r="K40">
        <v>90</v>
      </c>
      <c r="L40">
        <v>17</v>
      </c>
      <c r="M40">
        <v>0</v>
      </c>
      <c r="N40" t="s">
        <v>289</v>
      </c>
      <c r="O40" t="s">
        <v>290</v>
      </c>
      <c r="P40" s="22" t="str">
        <f>HYPERLINK(O40)</f>
        <v>https://www.scopus.com/inward/record.uri?eid=2-s2.0-85195283443&amp;doi=10.1108%2fS1048-473620240000030006&amp;partnerID=40&amp;md5=b5b0d5e7b2cba3d7c1f4e24b9bd80cc1</v>
      </c>
      <c r="Q40" t="s">
        <v>216</v>
      </c>
      <c r="R40" t="s">
        <v>48</v>
      </c>
      <c r="T40" t="s">
        <v>6</v>
      </c>
      <c r="U40" t="s">
        <v>291</v>
      </c>
      <c r="V40" s="36">
        <v>0</v>
      </c>
      <c r="W40" s="27">
        <v>0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1</v>
      </c>
      <c r="AJ40">
        <f t="shared" si="0"/>
        <v>1</v>
      </c>
    </row>
    <row r="41" spans="1:36">
      <c r="A41" t="s">
        <v>292</v>
      </c>
      <c r="B41" t="s">
        <v>293</v>
      </c>
      <c r="C41" t="s">
        <v>294</v>
      </c>
      <c r="D41" t="s">
        <v>295</v>
      </c>
      <c r="E41">
        <v>2017</v>
      </c>
      <c r="F41" t="s">
        <v>296</v>
      </c>
      <c r="J41">
        <v>625</v>
      </c>
      <c r="K41">
        <v>637</v>
      </c>
      <c r="L41">
        <v>12</v>
      </c>
      <c r="M41">
        <v>0</v>
      </c>
      <c r="N41" t="s">
        <v>297</v>
      </c>
      <c r="O41" t="s">
        <v>298</v>
      </c>
      <c r="P41" s="22" t="str">
        <f>HYPERLINK(O41)</f>
        <v>https://www.scopus.com/inward/record.uri?eid=2-s2.0-85050283697&amp;doi=10.1061%2f9780784480502.052&amp;partnerID=40&amp;md5=9d1d5c85b8dadf9b8ca0c8c76c28102c</v>
      </c>
      <c r="Q41" t="s">
        <v>62</v>
      </c>
      <c r="R41" t="s">
        <v>48</v>
      </c>
      <c r="T41" t="s">
        <v>6</v>
      </c>
      <c r="U41" t="s">
        <v>299</v>
      </c>
      <c r="V41" s="36">
        <v>0</v>
      </c>
      <c r="W41" s="27">
        <v>0</v>
      </c>
      <c r="X41" s="27">
        <v>0</v>
      </c>
      <c r="Y41" s="27">
        <v>0</v>
      </c>
      <c r="Z41" s="27">
        <v>0</v>
      </c>
      <c r="AA41" s="27">
        <v>0</v>
      </c>
      <c r="AB41" s="27">
        <v>0</v>
      </c>
      <c r="AC41" s="27">
        <v>0</v>
      </c>
      <c r="AD41" s="27">
        <v>0</v>
      </c>
      <c r="AE41" s="27">
        <v>0</v>
      </c>
      <c r="AF41" s="27">
        <v>0</v>
      </c>
      <c r="AG41" s="27">
        <v>0</v>
      </c>
      <c r="AH41" s="27">
        <v>1</v>
      </c>
      <c r="AJ41">
        <f t="shared" si="0"/>
        <v>1</v>
      </c>
    </row>
    <row r="42" spans="1:36">
      <c r="A42" t="s">
        <v>300</v>
      </c>
      <c r="B42" t="s">
        <v>301</v>
      </c>
      <c r="C42">
        <v>55686027600</v>
      </c>
      <c r="D42" t="s">
        <v>302</v>
      </c>
      <c r="E42">
        <v>2005</v>
      </c>
      <c r="F42" t="s">
        <v>303</v>
      </c>
      <c r="G42">
        <v>43</v>
      </c>
      <c r="H42">
        <v>12</v>
      </c>
      <c r="J42">
        <v>80</v>
      </c>
      <c r="K42">
        <v>81</v>
      </c>
      <c r="L42">
        <v>1</v>
      </c>
      <c r="M42">
        <v>0</v>
      </c>
      <c r="O42" t="s">
        <v>304</v>
      </c>
      <c r="P42" s="22" t="str">
        <f>HYPERLINK(O42)</f>
        <v>https://www.scopus.com/inward/record.uri?eid=2-s2.0-33645276588&amp;partnerID=40&amp;md5=e4ed34ab8317967490b71c3da218a5d6</v>
      </c>
      <c r="Q42" t="s">
        <v>184</v>
      </c>
      <c r="R42" t="s">
        <v>48</v>
      </c>
      <c r="T42" t="s">
        <v>6</v>
      </c>
      <c r="U42" t="s">
        <v>305</v>
      </c>
      <c r="V42" s="36">
        <v>0</v>
      </c>
      <c r="W42" s="27">
        <v>1</v>
      </c>
      <c r="X42" s="27">
        <v>0</v>
      </c>
      <c r="Y42" s="27">
        <v>0</v>
      </c>
      <c r="Z42" s="27">
        <v>0</v>
      </c>
      <c r="AA42" s="27">
        <v>0</v>
      </c>
      <c r="AB42" s="27">
        <v>0</v>
      </c>
      <c r="AC42" s="27">
        <v>0</v>
      </c>
      <c r="AD42" s="27">
        <v>0</v>
      </c>
      <c r="AE42" s="27">
        <v>0</v>
      </c>
      <c r="AF42" s="27">
        <v>0</v>
      </c>
      <c r="AG42" s="27">
        <v>0</v>
      </c>
      <c r="AH42" s="27">
        <v>0</v>
      </c>
      <c r="AJ42">
        <f t="shared" si="0"/>
        <v>1</v>
      </c>
    </row>
    <row r="43" spans="1:36">
      <c r="A43" t="s">
        <v>306</v>
      </c>
      <c r="B43" t="s">
        <v>307</v>
      </c>
      <c r="C43">
        <v>57198119415</v>
      </c>
      <c r="D43" t="s">
        <v>308</v>
      </c>
      <c r="E43">
        <v>2006</v>
      </c>
      <c r="F43" t="s">
        <v>309</v>
      </c>
      <c r="G43">
        <v>33</v>
      </c>
      <c r="H43">
        <v>6</v>
      </c>
      <c r="J43">
        <v>20</v>
      </c>
      <c r="K43">
        <v>23</v>
      </c>
      <c r="L43">
        <v>3</v>
      </c>
      <c r="M43">
        <v>0</v>
      </c>
      <c r="O43" t="s">
        <v>310</v>
      </c>
      <c r="P43" s="22" t="str">
        <f>HYPERLINK(O43)</f>
        <v>https://www.scopus.com/inward/record.uri?eid=2-s2.0-33745636613&amp;partnerID=40&amp;md5=a483f7ae151b8d7510681a37f5a31a25</v>
      </c>
      <c r="Q43" t="s">
        <v>184</v>
      </c>
      <c r="R43" t="s">
        <v>48</v>
      </c>
      <c r="T43" t="s">
        <v>6</v>
      </c>
      <c r="U43" t="s">
        <v>311</v>
      </c>
      <c r="V43" s="36">
        <v>0</v>
      </c>
      <c r="W43" s="27">
        <v>0</v>
      </c>
      <c r="X43" s="27">
        <v>0</v>
      </c>
      <c r="Y43" s="27">
        <v>0</v>
      </c>
      <c r="Z43" s="27">
        <v>0</v>
      </c>
      <c r="AA43" s="27">
        <v>0</v>
      </c>
      <c r="AB43" s="27">
        <v>0</v>
      </c>
      <c r="AC43" s="27">
        <v>0</v>
      </c>
      <c r="AD43" s="27">
        <v>0</v>
      </c>
      <c r="AE43" s="27">
        <v>0</v>
      </c>
      <c r="AF43" s="27">
        <v>0</v>
      </c>
      <c r="AG43" s="27">
        <v>0</v>
      </c>
      <c r="AH43" s="27">
        <v>1</v>
      </c>
      <c r="AJ43">
        <f t="shared" si="0"/>
        <v>1</v>
      </c>
    </row>
    <row r="44" spans="1:36">
      <c r="A44" t="s">
        <v>312</v>
      </c>
      <c r="B44" t="s">
        <v>313</v>
      </c>
      <c r="C44" t="s">
        <v>314</v>
      </c>
      <c r="D44" t="s">
        <v>315</v>
      </c>
      <c r="E44">
        <v>2020</v>
      </c>
      <c r="F44" t="s">
        <v>316</v>
      </c>
      <c r="G44">
        <v>106</v>
      </c>
      <c r="I44">
        <v>106147</v>
      </c>
      <c r="M44">
        <v>38</v>
      </c>
      <c r="N44" t="s">
        <v>317</v>
      </c>
      <c r="O44" t="s">
        <v>318</v>
      </c>
      <c r="P44" s="22" t="str">
        <f>HYPERLINK(O44)</f>
        <v>https://www.scopus.com/inward/record.uri?eid=2-s2.0-85090423038&amp;doi=10.1016%2fj.ast.2020.106147&amp;partnerID=40&amp;md5=95dd181a70e44d8901e1118737a081da</v>
      </c>
      <c r="Q44" t="s">
        <v>156</v>
      </c>
      <c r="R44" t="s">
        <v>48</v>
      </c>
      <c r="T44" t="s">
        <v>6</v>
      </c>
      <c r="U44" t="s">
        <v>319</v>
      </c>
      <c r="V44" s="36">
        <v>0</v>
      </c>
      <c r="W44" s="27">
        <v>0</v>
      </c>
      <c r="X44" s="27">
        <v>0</v>
      </c>
      <c r="Y44" s="27">
        <v>0</v>
      </c>
      <c r="Z44" s="27">
        <v>0</v>
      </c>
      <c r="AA44" s="27">
        <v>0</v>
      </c>
      <c r="AB44" s="27">
        <v>0</v>
      </c>
      <c r="AC44" s="27">
        <v>0</v>
      </c>
      <c r="AD44" s="27">
        <v>0</v>
      </c>
      <c r="AE44" s="27">
        <v>0</v>
      </c>
      <c r="AF44" s="27">
        <v>0</v>
      </c>
      <c r="AG44" s="27">
        <v>0</v>
      </c>
      <c r="AH44" s="27">
        <v>1</v>
      </c>
      <c r="AJ44">
        <f t="shared" si="0"/>
        <v>1</v>
      </c>
    </row>
    <row r="45" spans="1:36">
      <c r="A45" t="s">
        <v>320</v>
      </c>
      <c r="B45" t="s">
        <v>321</v>
      </c>
      <c r="C45" t="s">
        <v>322</v>
      </c>
      <c r="D45" t="s">
        <v>323</v>
      </c>
      <c r="E45">
        <v>2021</v>
      </c>
      <c r="F45" t="s">
        <v>316</v>
      </c>
      <c r="G45">
        <v>118</v>
      </c>
      <c r="I45">
        <v>107001</v>
      </c>
      <c r="M45">
        <v>2</v>
      </c>
      <c r="N45" t="s">
        <v>324</v>
      </c>
      <c r="O45" t="s">
        <v>325</v>
      </c>
      <c r="P45" s="22" t="str">
        <f>HYPERLINK(O45)</f>
        <v>https://www.scopus.com/inward/record.uri?eid=2-s2.0-85114014862&amp;doi=10.1016%2fj.ast.2021.107001&amp;partnerID=40&amp;md5=db74907b33558a7fdff6215947bbe6a5</v>
      </c>
      <c r="Q45" t="s">
        <v>156</v>
      </c>
      <c r="R45" t="s">
        <v>48</v>
      </c>
      <c r="T45" t="s">
        <v>6</v>
      </c>
      <c r="U45" t="s">
        <v>326</v>
      </c>
      <c r="V45" s="36">
        <v>0</v>
      </c>
      <c r="W45" s="27">
        <v>1</v>
      </c>
      <c r="X45" s="27">
        <v>0</v>
      </c>
      <c r="Y45" s="27">
        <v>0</v>
      </c>
      <c r="Z45" s="27">
        <v>0</v>
      </c>
      <c r="AA45" s="27">
        <v>0</v>
      </c>
      <c r="AB45" s="27">
        <v>0</v>
      </c>
      <c r="AC45" s="27">
        <v>0</v>
      </c>
      <c r="AD45" s="27">
        <v>0</v>
      </c>
      <c r="AE45" s="27">
        <v>0</v>
      </c>
      <c r="AF45" s="27">
        <v>0</v>
      </c>
      <c r="AG45" s="27">
        <v>0</v>
      </c>
      <c r="AH45" s="27">
        <v>0</v>
      </c>
      <c r="AJ45">
        <f t="shared" si="0"/>
        <v>1</v>
      </c>
    </row>
    <row r="46" spans="1:36">
      <c r="A46" t="s">
        <v>327</v>
      </c>
      <c r="B46" t="s">
        <v>328</v>
      </c>
      <c r="C46">
        <v>56464040400</v>
      </c>
      <c r="D46" t="s">
        <v>329</v>
      </c>
      <c r="E46">
        <v>2012</v>
      </c>
      <c r="F46" t="s">
        <v>330</v>
      </c>
      <c r="G46">
        <v>9780896804869</v>
      </c>
      <c r="J46">
        <v>117</v>
      </c>
      <c r="K46">
        <v>134</v>
      </c>
      <c r="L46">
        <v>17</v>
      </c>
      <c r="M46">
        <v>0</v>
      </c>
      <c r="O46" t="s">
        <v>331</v>
      </c>
      <c r="P46" s="22" t="str">
        <f>HYPERLINK(O46)</f>
        <v>https://www.scopus.com/inward/record.uri?eid=2-s2.0-84920059623&amp;partnerID=40&amp;md5=59602182e2815de34594c5693cd96284</v>
      </c>
      <c r="Q46" t="s">
        <v>216</v>
      </c>
      <c r="R46" t="s">
        <v>48</v>
      </c>
      <c r="T46" t="s">
        <v>6</v>
      </c>
      <c r="U46" t="s">
        <v>332</v>
      </c>
      <c r="V46" s="36">
        <v>0</v>
      </c>
      <c r="W46" s="27">
        <v>0</v>
      </c>
      <c r="X46" s="27">
        <v>0</v>
      </c>
      <c r="Y46" s="27">
        <v>0</v>
      </c>
      <c r="Z46" s="27">
        <v>0</v>
      </c>
      <c r="AA46" s="27">
        <v>0</v>
      </c>
      <c r="AB46" s="27">
        <v>0</v>
      </c>
      <c r="AC46" s="27">
        <v>0</v>
      </c>
      <c r="AD46" s="27">
        <v>0</v>
      </c>
      <c r="AE46" s="27">
        <v>0</v>
      </c>
      <c r="AF46" s="27">
        <v>0</v>
      </c>
      <c r="AG46" s="27">
        <v>0</v>
      </c>
      <c r="AH46" s="27">
        <v>1</v>
      </c>
      <c r="AJ46">
        <f t="shared" si="0"/>
        <v>1</v>
      </c>
    </row>
    <row r="47" spans="1:36">
      <c r="A47" t="s">
        <v>333</v>
      </c>
      <c r="B47" t="s">
        <v>334</v>
      </c>
      <c r="C47" t="s">
        <v>335</v>
      </c>
      <c r="D47" t="s">
        <v>336</v>
      </c>
      <c r="E47">
        <v>2020</v>
      </c>
      <c r="F47" t="s">
        <v>337</v>
      </c>
      <c r="G47">
        <v>9</v>
      </c>
      <c r="H47">
        <v>3</v>
      </c>
      <c r="J47">
        <v>349</v>
      </c>
      <c r="K47">
        <v>362</v>
      </c>
      <c r="L47">
        <v>13</v>
      </c>
      <c r="M47">
        <v>2</v>
      </c>
      <c r="N47" t="s">
        <v>338</v>
      </c>
      <c r="O47" t="s">
        <v>339</v>
      </c>
      <c r="P47" s="22" t="str">
        <f>HYPERLINK(O47)</f>
        <v>https://www.scopus.com/inward/record.uri?eid=2-s2.0-85092459959&amp;doi=10.46222%2fajhtl.19770720-23&amp;partnerID=40&amp;md5=ede0ebf7f116908efd25b33f3c5224e1</v>
      </c>
      <c r="Q47" t="s">
        <v>156</v>
      </c>
      <c r="R47" t="s">
        <v>48</v>
      </c>
      <c r="T47" t="s">
        <v>6</v>
      </c>
      <c r="U47" t="s">
        <v>340</v>
      </c>
      <c r="V47" s="36">
        <v>0</v>
      </c>
      <c r="W47" s="27">
        <v>0</v>
      </c>
      <c r="X47" s="27">
        <v>0</v>
      </c>
      <c r="Y47" s="27">
        <v>0</v>
      </c>
      <c r="Z47" s="27">
        <v>0</v>
      </c>
      <c r="AA47" s="27">
        <v>0</v>
      </c>
      <c r="AB47" s="27">
        <v>0</v>
      </c>
      <c r="AC47" s="27">
        <v>0</v>
      </c>
      <c r="AD47" s="27">
        <v>0</v>
      </c>
      <c r="AE47" s="27">
        <v>0</v>
      </c>
      <c r="AF47" s="27">
        <v>0</v>
      </c>
      <c r="AG47" s="27">
        <v>0</v>
      </c>
      <c r="AH47" s="27">
        <v>1</v>
      </c>
      <c r="AJ47">
        <f t="shared" si="0"/>
        <v>1</v>
      </c>
    </row>
    <row r="48" spans="1:36">
      <c r="A48" t="s">
        <v>341</v>
      </c>
      <c r="B48" t="s">
        <v>342</v>
      </c>
      <c r="C48" t="s">
        <v>343</v>
      </c>
      <c r="D48" t="s">
        <v>344</v>
      </c>
      <c r="E48">
        <v>2014</v>
      </c>
      <c r="F48" t="s">
        <v>345</v>
      </c>
      <c r="M48">
        <v>4</v>
      </c>
      <c r="N48" t="s">
        <v>346</v>
      </c>
      <c r="O48" t="s">
        <v>347</v>
      </c>
      <c r="P48" s="22" t="str">
        <f>HYPERLINK(O48)</f>
        <v>https://www.scopus.com/inward/record.uri?eid=2-s2.0-85087599671&amp;doi=10.2514%2f6.2014-2530&amp;partnerID=40&amp;md5=883b3d8e98da3c16403a36ff8b02d86a</v>
      </c>
      <c r="Q48" t="s">
        <v>62</v>
      </c>
      <c r="R48" t="s">
        <v>48</v>
      </c>
      <c r="T48" t="s">
        <v>6</v>
      </c>
      <c r="U48" t="s">
        <v>348</v>
      </c>
      <c r="V48" s="36">
        <v>0</v>
      </c>
      <c r="W48" s="27">
        <v>1</v>
      </c>
      <c r="X48" s="27">
        <v>0</v>
      </c>
      <c r="Y48" s="27">
        <v>0</v>
      </c>
      <c r="Z48" s="27">
        <v>0</v>
      </c>
      <c r="AA48" s="27">
        <v>0</v>
      </c>
      <c r="AB48" s="27">
        <v>0</v>
      </c>
      <c r="AC48" s="27">
        <v>0</v>
      </c>
      <c r="AD48" s="27">
        <v>0</v>
      </c>
      <c r="AE48" s="27">
        <v>0</v>
      </c>
      <c r="AF48" s="27">
        <v>0</v>
      </c>
      <c r="AG48" s="27">
        <v>0</v>
      </c>
      <c r="AH48" s="27">
        <v>0</v>
      </c>
      <c r="AJ48">
        <f t="shared" si="0"/>
        <v>1</v>
      </c>
    </row>
    <row r="49" spans="1:36">
      <c r="A49" t="s">
        <v>349</v>
      </c>
      <c r="B49" t="s">
        <v>350</v>
      </c>
      <c r="C49" t="s">
        <v>351</v>
      </c>
      <c r="D49" t="s">
        <v>352</v>
      </c>
      <c r="E49">
        <v>2013</v>
      </c>
      <c r="F49" t="s">
        <v>353</v>
      </c>
      <c r="M49">
        <v>0</v>
      </c>
      <c r="O49" t="s">
        <v>354</v>
      </c>
      <c r="P49" s="22" t="str">
        <f>HYPERLINK(O49)</f>
        <v>https://www.scopus.com/inward/record.uri?eid=2-s2.0-84884853010&amp;partnerID=40&amp;md5=a9ae3a4193a46503e984fe74819aca03</v>
      </c>
      <c r="Q49" t="s">
        <v>62</v>
      </c>
      <c r="R49" t="s">
        <v>48</v>
      </c>
      <c r="T49" t="s">
        <v>6</v>
      </c>
      <c r="U49" t="s">
        <v>355</v>
      </c>
      <c r="V49" s="36">
        <v>0</v>
      </c>
      <c r="W49" s="27">
        <v>1</v>
      </c>
      <c r="X49" s="27">
        <v>0</v>
      </c>
      <c r="Y49" s="27">
        <v>0</v>
      </c>
      <c r="Z49" s="27">
        <v>0</v>
      </c>
      <c r="AA49" s="27">
        <v>0</v>
      </c>
      <c r="AB49" s="27">
        <v>0</v>
      </c>
      <c r="AC49" s="27">
        <v>0</v>
      </c>
      <c r="AD49" s="27">
        <v>0</v>
      </c>
      <c r="AE49" s="27">
        <v>0</v>
      </c>
      <c r="AF49" s="27">
        <v>0</v>
      </c>
      <c r="AG49" s="27">
        <v>0</v>
      </c>
      <c r="AH49" s="27">
        <v>0</v>
      </c>
      <c r="AJ49">
        <f t="shared" si="0"/>
        <v>1</v>
      </c>
    </row>
    <row r="50" spans="1:36">
      <c r="D50" t="s">
        <v>353</v>
      </c>
      <c r="E50">
        <v>2013</v>
      </c>
      <c r="F50" t="s">
        <v>353</v>
      </c>
      <c r="M50">
        <v>0</v>
      </c>
      <c r="O50" t="s">
        <v>356</v>
      </c>
      <c r="P50" s="22" t="str">
        <f>HYPERLINK(O50)</f>
        <v>https://www.scopus.com/inward/record.uri?eid=2-s2.0-84884840686&amp;partnerID=40&amp;md5=ceaabfafd42497f76e00b99f0778bd5b</v>
      </c>
      <c r="Q50" t="s">
        <v>47</v>
      </c>
      <c r="R50" t="s">
        <v>48</v>
      </c>
      <c r="T50" t="s">
        <v>6</v>
      </c>
      <c r="U50" t="s">
        <v>357</v>
      </c>
      <c r="V50" s="36">
        <v>0</v>
      </c>
      <c r="W50" s="27">
        <v>0</v>
      </c>
      <c r="X50" s="27">
        <v>0</v>
      </c>
      <c r="Y50" s="27">
        <v>0</v>
      </c>
      <c r="Z50" s="27">
        <v>0</v>
      </c>
      <c r="AA50" s="27">
        <v>0</v>
      </c>
      <c r="AB50" s="27">
        <v>0</v>
      </c>
      <c r="AC50" s="27">
        <v>0</v>
      </c>
      <c r="AD50" s="27">
        <v>0</v>
      </c>
      <c r="AE50" s="27">
        <v>0</v>
      </c>
      <c r="AF50" s="27">
        <v>0</v>
      </c>
      <c r="AG50" s="27">
        <v>0</v>
      </c>
      <c r="AH50" s="27">
        <v>1</v>
      </c>
      <c r="AJ50">
        <f t="shared" si="0"/>
        <v>1</v>
      </c>
    </row>
    <row r="51" spans="1:36">
      <c r="A51" t="s">
        <v>358</v>
      </c>
      <c r="B51" t="s">
        <v>359</v>
      </c>
      <c r="C51">
        <v>57162001600</v>
      </c>
      <c r="D51" t="s">
        <v>360</v>
      </c>
      <c r="E51">
        <v>2016</v>
      </c>
      <c r="F51" t="s">
        <v>361</v>
      </c>
      <c r="L51">
        <v>16</v>
      </c>
      <c r="M51">
        <v>0</v>
      </c>
      <c r="N51" t="s">
        <v>362</v>
      </c>
      <c r="O51" t="s">
        <v>363</v>
      </c>
      <c r="P51" s="22" t="str">
        <f>HYPERLINK(O51)</f>
        <v>https://www.scopus.com/inward/record.uri?eid=2-s2.0-85088202392&amp;doi=10.2514%2f6.2016-5587&amp;partnerID=40&amp;md5=c6801afa46177c95bd28aab3db6d6d10</v>
      </c>
      <c r="Q51" t="s">
        <v>62</v>
      </c>
      <c r="R51" t="s">
        <v>48</v>
      </c>
      <c r="T51" t="s">
        <v>6</v>
      </c>
      <c r="U51" t="s">
        <v>364</v>
      </c>
      <c r="V51" s="36">
        <v>0</v>
      </c>
      <c r="W51" s="27">
        <v>1</v>
      </c>
      <c r="X51" s="27">
        <v>0</v>
      </c>
      <c r="Y51" s="27">
        <v>0</v>
      </c>
      <c r="Z51" s="27">
        <v>0</v>
      </c>
      <c r="AA51" s="27">
        <v>0</v>
      </c>
      <c r="AB51" s="27">
        <v>0</v>
      </c>
      <c r="AC51" s="27">
        <v>0</v>
      </c>
      <c r="AD51" s="27">
        <v>0</v>
      </c>
      <c r="AE51" s="27">
        <v>0</v>
      </c>
      <c r="AF51" s="27">
        <v>0</v>
      </c>
      <c r="AG51" s="27">
        <v>0</v>
      </c>
      <c r="AH51" s="27">
        <v>0</v>
      </c>
      <c r="AJ51">
        <f t="shared" si="0"/>
        <v>1</v>
      </c>
    </row>
    <row r="52" spans="1:36">
      <c r="A52" t="s">
        <v>365</v>
      </c>
      <c r="B52" t="s">
        <v>366</v>
      </c>
      <c r="C52">
        <v>8623888400</v>
      </c>
      <c r="D52" t="s">
        <v>367</v>
      </c>
      <c r="E52">
        <v>2002</v>
      </c>
      <c r="F52" t="s">
        <v>368</v>
      </c>
      <c r="M52">
        <v>0</v>
      </c>
      <c r="N52" t="s">
        <v>369</v>
      </c>
      <c r="O52" t="s">
        <v>370</v>
      </c>
      <c r="P52" s="22" t="str">
        <f>HYPERLINK(O52)</f>
        <v>https://www.scopus.com/inward/record.uri?eid=2-s2.0-85088345839&amp;doi=10.2514%2f6.2002-6119&amp;partnerID=40&amp;md5=6ef434f09b1e2460fd3935404795f2c3</v>
      </c>
      <c r="Q52" t="s">
        <v>62</v>
      </c>
      <c r="R52" t="s">
        <v>48</v>
      </c>
      <c r="T52" t="s">
        <v>6</v>
      </c>
      <c r="U52" t="s">
        <v>371</v>
      </c>
      <c r="V52" s="36">
        <v>0</v>
      </c>
      <c r="W52" s="27">
        <v>1</v>
      </c>
      <c r="X52" s="27">
        <v>0</v>
      </c>
      <c r="Y52" s="27">
        <v>0</v>
      </c>
      <c r="Z52" s="27">
        <v>0</v>
      </c>
      <c r="AA52" s="27">
        <v>0</v>
      </c>
      <c r="AB52" s="27">
        <v>0</v>
      </c>
      <c r="AC52" s="27">
        <v>0</v>
      </c>
      <c r="AD52" s="27">
        <v>0</v>
      </c>
      <c r="AE52" s="27">
        <v>0</v>
      </c>
      <c r="AF52" s="27">
        <v>0</v>
      </c>
      <c r="AG52" s="27">
        <v>0</v>
      </c>
      <c r="AH52" s="27">
        <v>0</v>
      </c>
      <c r="AJ52">
        <f t="shared" si="0"/>
        <v>1</v>
      </c>
    </row>
    <row r="53" spans="1:36">
      <c r="A53" t="s">
        <v>372</v>
      </c>
      <c r="B53" t="s">
        <v>373</v>
      </c>
      <c r="C53" t="s">
        <v>374</v>
      </c>
      <c r="D53" t="s">
        <v>375</v>
      </c>
      <c r="E53">
        <v>2019</v>
      </c>
      <c r="F53" t="s">
        <v>376</v>
      </c>
      <c r="G53">
        <v>2094</v>
      </c>
      <c r="I53">
        <v>20004</v>
      </c>
      <c r="M53">
        <v>0</v>
      </c>
      <c r="N53" t="s">
        <v>377</v>
      </c>
      <c r="O53" t="s">
        <v>378</v>
      </c>
      <c r="P53" s="22" t="str">
        <f>HYPERLINK(O53)</f>
        <v>https://www.scopus.com/inward/record.uri?eid=2-s2.0-85064868899&amp;doi=10.1063%2f1.5097473&amp;partnerID=40&amp;md5=42adfb16a9d7e7c294c30e81eb1c66a6</v>
      </c>
      <c r="Q53" t="s">
        <v>62</v>
      </c>
      <c r="R53" t="s">
        <v>48</v>
      </c>
      <c r="S53" t="s">
        <v>164</v>
      </c>
      <c r="T53" t="s">
        <v>6</v>
      </c>
      <c r="U53" t="s">
        <v>379</v>
      </c>
      <c r="V53" s="36">
        <v>0</v>
      </c>
      <c r="W53" s="27">
        <v>0</v>
      </c>
      <c r="X53" s="27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J53">
        <f t="shared" si="0"/>
        <v>0</v>
      </c>
    </row>
    <row r="54" spans="1:36">
      <c r="A54" t="s">
        <v>380</v>
      </c>
      <c r="B54" t="s">
        <v>381</v>
      </c>
      <c r="C54">
        <v>8437964600</v>
      </c>
      <c r="D54" t="s">
        <v>382</v>
      </c>
      <c r="E54">
        <v>2007</v>
      </c>
      <c r="F54" t="s">
        <v>376</v>
      </c>
      <c r="G54">
        <v>886</v>
      </c>
      <c r="J54">
        <v>123</v>
      </c>
      <c r="K54">
        <v>130</v>
      </c>
      <c r="L54">
        <v>7</v>
      </c>
      <c r="M54">
        <v>0</v>
      </c>
      <c r="N54" t="s">
        <v>383</v>
      </c>
      <c r="O54" t="s">
        <v>384</v>
      </c>
      <c r="P54" s="22" t="str">
        <f>HYPERLINK(O54)</f>
        <v>https://www.scopus.com/inward/record.uri?eid=2-s2.0-33947370888&amp;doi=10.1063%2f1.2710049&amp;partnerID=40&amp;md5=d20be6d094bac43674c4ca63c5859939</v>
      </c>
      <c r="Q54" t="s">
        <v>62</v>
      </c>
      <c r="R54" t="s">
        <v>48</v>
      </c>
      <c r="T54" t="s">
        <v>6</v>
      </c>
      <c r="U54" t="s">
        <v>385</v>
      </c>
      <c r="V54" s="36">
        <v>0</v>
      </c>
      <c r="W54" s="27">
        <v>1</v>
      </c>
      <c r="X54" s="27">
        <v>0</v>
      </c>
      <c r="Y54" s="27">
        <v>0</v>
      </c>
      <c r="Z54" s="27">
        <v>0</v>
      </c>
      <c r="AA54" s="27">
        <v>0</v>
      </c>
      <c r="AB54" s="27">
        <v>0</v>
      </c>
      <c r="AC54" s="27">
        <v>0</v>
      </c>
      <c r="AD54" s="27">
        <v>0</v>
      </c>
      <c r="AE54" s="27">
        <v>0</v>
      </c>
      <c r="AF54" s="27">
        <v>0</v>
      </c>
      <c r="AG54" s="27">
        <v>0</v>
      </c>
      <c r="AH54" s="27">
        <v>1</v>
      </c>
      <c r="AJ54">
        <f t="shared" si="0"/>
        <v>2</v>
      </c>
    </row>
    <row r="55" spans="1:36">
      <c r="A55" t="s">
        <v>386</v>
      </c>
      <c r="B55" t="s">
        <v>387</v>
      </c>
      <c r="C55" t="s">
        <v>388</v>
      </c>
      <c r="D55" t="s">
        <v>389</v>
      </c>
      <c r="E55">
        <v>2023</v>
      </c>
      <c r="F55" t="s">
        <v>390</v>
      </c>
      <c r="G55">
        <v>35</v>
      </c>
      <c r="H55">
        <v>1</v>
      </c>
      <c r="J55">
        <v>65</v>
      </c>
      <c r="K55">
        <v>81</v>
      </c>
      <c r="L55">
        <v>16</v>
      </c>
      <c r="M55">
        <v>3</v>
      </c>
      <c r="N55" t="s">
        <v>391</v>
      </c>
      <c r="O55" t="s">
        <v>392</v>
      </c>
      <c r="P55" s="22" t="str">
        <f>HYPERLINK(O55)</f>
        <v>https://www.scopus.com/inward/record.uri?eid=2-s2.0-85152796080&amp;doi=10.1080%2f27669645.2023.2200632&amp;partnerID=40&amp;md5=04068d837ce9df5add8584890809b6f3</v>
      </c>
      <c r="Q55" t="s">
        <v>156</v>
      </c>
      <c r="R55" t="s">
        <v>48</v>
      </c>
      <c r="S55" t="s">
        <v>185</v>
      </c>
      <c r="T55" t="s">
        <v>6</v>
      </c>
      <c r="U55" t="s">
        <v>393</v>
      </c>
      <c r="V55" s="36">
        <v>0</v>
      </c>
      <c r="W55" s="27">
        <v>1</v>
      </c>
      <c r="X55" s="27">
        <v>0</v>
      </c>
      <c r="Y55" s="27">
        <v>0</v>
      </c>
      <c r="Z55" s="27">
        <v>0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J55">
        <f t="shared" si="0"/>
        <v>1</v>
      </c>
    </row>
    <row r="56" spans="1:36">
      <c r="A56" t="s">
        <v>394</v>
      </c>
      <c r="B56" t="s">
        <v>395</v>
      </c>
      <c r="C56" t="s">
        <v>396</v>
      </c>
      <c r="D56" t="s">
        <v>397</v>
      </c>
      <c r="E56">
        <v>2005</v>
      </c>
      <c r="F56" t="s">
        <v>398</v>
      </c>
      <c r="G56">
        <v>18</v>
      </c>
      <c r="H56">
        <v>1</v>
      </c>
      <c r="J56">
        <v>245</v>
      </c>
      <c r="K56">
        <v>255</v>
      </c>
      <c r="L56">
        <v>10</v>
      </c>
      <c r="M56">
        <v>25</v>
      </c>
      <c r="O56" t="s">
        <v>399</v>
      </c>
      <c r="P56" s="22" t="str">
        <f>HYPERLINK(O56)</f>
        <v>https://www.scopus.com/inward/record.uri?eid=2-s2.0-84869090180&amp;partnerID=40&amp;md5=dd8adbb60eccccffa36feb8eaf0daa9a</v>
      </c>
      <c r="Q56" t="s">
        <v>156</v>
      </c>
      <c r="R56" t="s">
        <v>48</v>
      </c>
      <c r="T56" t="s">
        <v>6</v>
      </c>
      <c r="U56" t="s">
        <v>400</v>
      </c>
      <c r="V56" s="36">
        <v>0</v>
      </c>
      <c r="W56" s="27">
        <v>1</v>
      </c>
      <c r="X56" s="27">
        <v>0</v>
      </c>
      <c r="Y56" s="27">
        <v>0</v>
      </c>
      <c r="Z56" s="27">
        <v>0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J56">
        <f t="shared" si="0"/>
        <v>1</v>
      </c>
    </row>
    <row r="57" spans="1:36">
      <c r="A57" t="s">
        <v>401</v>
      </c>
      <c r="B57" t="s">
        <v>402</v>
      </c>
      <c r="C57" t="s">
        <v>403</v>
      </c>
      <c r="D57" t="s">
        <v>404</v>
      </c>
      <c r="E57">
        <v>2010</v>
      </c>
      <c r="F57" t="s">
        <v>405</v>
      </c>
      <c r="G57">
        <v>7</v>
      </c>
      <c r="H57">
        <v>12</v>
      </c>
      <c r="J57">
        <v>1593</v>
      </c>
      <c r="K57">
        <v>1598</v>
      </c>
      <c r="L57">
        <v>5</v>
      </c>
      <c r="M57">
        <v>13</v>
      </c>
      <c r="N57" t="s">
        <v>406</v>
      </c>
      <c r="O57" t="s">
        <v>407</v>
      </c>
      <c r="P57" s="22" t="str">
        <f>HYPERLINK(O57)</f>
        <v>https://www.scopus.com/inward/record.uri?eid=2-s2.0-79951776434&amp;doi=10.3844%2fajassp.2010.1593.1598&amp;partnerID=40&amp;md5=cdc2a3f2d996b2f25d1e084f93bd6e6f</v>
      </c>
      <c r="Q57" t="s">
        <v>156</v>
      </c>
      <c r="R57" t="s">
        <v>48</v>
      </c>
      <c r="S57" t="s">
        <v>172</v>
      </c>
      <c r="T57" t="s">
        <v>6</v>
      </c>
      <c r="U57" t="s">
        <v>408</v>
      </c>
      <c r="V57" s="36">
        <v>0</v>
      </c>
      <c r="W57" s="27">
        <v>0</v>
      </c>
      <c r="X57" s="27">
        <v>0</v>
      </c>
      <c r="Y57" s="27">
        <v>0</v>
      </c>
      <c r="Z57" s="27">
        <v>0</v>
      </c>
      <c r="AA57" s="27">
        <v>0</v>
      </c>
      <c r="AB57" s="27">
        <v>0</v>
      </c>
      <c r="AC57" s="27">
        <v>0</v>
      </c>
      <c r="AD57" s="27">
        <v>0</v>
      </c>
      <c r="AE57" s="27">
        <v>0</v>
      </c>
      <c r="AF57" s="27">
        <v>0</v>
      </c>
      <c r="AG57" s="27">
        <v>1</v>
      </c>
      <c r="AH57" s="27">
        <v>0</v>
      </c>
      <c r="AJ57">
        <f t="shared" si="0"/>
        <v>1</v>
      </c>
    </row>
    <row r="58" spans="1:36">
      <c r="A58" t="s">
        <v>409</v>
      </c>
      <c r="B58" t="s">
        <v>410</v>
      </c>
      <c r="C58" t="s">
        <v>411</v>
      </c>
      <c r="D58" t="s">
        <v>412</v>
      </c>
      <c r="E58">
        <v>2021</v>
      </c>
      <c r="F58" t="s">
        <v>413</v>
      </c>
      <c r="G58">
        <v>32</v>
      </c>
      <c r="H58">
        <v>3</v>
      </c>
      <c r="J58" t="s">
        <v>414</v>
      </c>
      <c r="M58">
        <v>0</v>
      </c>
      <c r="N58" t="s">
        <v>415</v>
      </c>
      <c r="O58" t="s">
        <v>416</v>
      </c>
      <c r="P58" s="22" t="str">
        <f>HYPERLINK(O58)</f>
        <v>https://www.scopus.com/inward/record.uri?eid=2-s2.0-85092471117&amp;doi=10.1080%2f13032917.2020.1830137&amp;partnerID=40&amp;md5=a3eb8ea5079cda40c5dd5c428280b8e2</v>
      </c>
      <c r="Q58" t="s">
        <v>417</v>
      </c>
      <c r="R58" t="s">
        <v>48</v>
      </c>
      <c r="T58" t="s">
        <v>6</v>
      </c>
      <c r="U58" t="s">
        <v>418</v>
      </c>
      <c r="V58" s="36">
        <v>0</v>
      </c>
      <c r="W58" s="27">
        <v>0</v>
      </c>
      <c r="X58" s="27">
        <v>0</v>
      </c>
      <c r="Y58" s="27">
        <v>0</v>
      </c>
      <c r="Z58" s="27">
        <v>0</v>
      </c>
      <c r="AA58" s="27">
        <v>0</v>
      </c>
      <c r="AB58" s="27">
        <v>0</v>
      </c>
      <c r="AC58" s="27">
        <v>0</v>
      </c>
      <c r="AD58" s="27">
        <v>0</v>
      </c>
      <c r="AE58" s="27">
        <v>0</v>
      </c>
      <c r="AF58" s="27">
        <v>0</v>
      </c>
      <c r="AG58" s="27">
        <v>0</v>
      </c>
      <c r="AH58" s="27">
        <v>0</v>
      </c>
      <c r="AJ58">
        <f t="shared" si="0"/>
        <v>0</v>
      </c>
    </row>
    <row r="59" spans="1:36">
      <c r="A59" t="s">
        <v>419</v>
      </c>
      <c r="B59" t="s">
        <v>420</v>
      </c>
      <c r="C59" t="s">
        <v>421</v>
      </c>
      <c r="D59" t="s">
        <v>422</v>
      </c>
      <c r="E59">
        <v>2023</v>
      </c>
      <c r="F59" t="s">
        <v>413</v>
      </c>
      <c r="G59">
        <v>34</v>
      </c>
      <c r="H59">
        <v>3</v>
      </c>
      <c r="J59">
        <v>452</v>
      </c>
      <c r="K59">
        <v>455</v>
      </c>
      <c r="L59">
        <v>3</v>
      </c>
      <c r="M59">
        <v>0</v>
      </c>
      <c r="N59" t="s">
        <v>423</v>
      </c>
      <c r="O59" t="s">
        <v>424</v>
      </c>
      <c r="P59" s="22" t="str">
        <f>HYPERLINK(O59)</f>
        <v>https://www.scopus.com/inward/record.uri?eid=2-s2.0-85136813972&amp;doi=10.1080%2f13032917.2022.2110131&amp;partnerID=40&amp;md5=655827c52e7ef26178144374037631a6</v>
      </c>
      <c r="Q59" t="s">
        <v>425</v>
      </c>
      <c r="R59" t="s">
        <v>48</v>
      </c>
      <c r="T59" t="s">
        <v>6</v>
      </c>
      <c r="U59" t="s">
        <v>426</v>
      </c>
      <c r="V59" s="36">
        <v>0</v>
      </c>
      <c r="W59" s="27">
        <v>0</v>
      </c>
      <c r="X59" s="27">
        <v>0</v>
      </c>
      <c r="Y59" s="27">
        <v>0</v>
      </c>
      <c r="Z59" s="27">
        <v>0</v>
      </c>
      <c r="AA59" s="27">
        <v>0</v>
      </c>
      <c r="AB59" s="27">
        <v>0</v>
      </c>
      <c r="AC59" s="27">
        <v>0</v>
      </c>
      <c r="AD59" s="27">
        <v>0</v>
      </c>
      <c r="AE59" s="27">
        <v>0</v>
      </c>
      <c r="AF59" s="27">
        <v>0</v>
      </c>
      <c r="AG59" s="27">
        <v>1</v>
      </c>
      <c r="AH59" s="27">
        <v>1</v>
      </c>
      <c r="AJ59">
        <f t="shared" si="0"/>
        <v>2</v>
      </c>
    </row>
    <row r="60" spans="1:36">
      <c r="A60" t="s">
        <v>427</v>
      </c>
      <c r="B60" t="s">
        <v>428</v>
      </c>
      <c r="C60">
        <v>55279829000</v>
      </c>
      <c r="D60" t="s">
        <v>429</v>
      </c>
      <c r="E60">
        <v>2017</v>
      </c>
      <c r="F60" t="s">
        <v>413</v>
      </c>
      <c r="G60">
        <v>28</v>
      </c>
      <c r="H60">
        <v>1</v>
      </c>
      <c r="J60">
        <v>52</v>
      </c>
      <c r="K60">
        <v>68</v>
      </c>
      <c r="L60">
        <v>16</v>
      </c>
      <c r="M60">
        <v>18</v>
      </c>
      <c r="N60" t="s">
        <v>430</v>
      </c>
      <c r="O60" t="s">
        <v>431</v>
      </c>
      <c r="P60" s="22" t="str">
        <f>HYPERLINK(O60)</f>
        <v>https://www.scopus.com/inward/record.uri?eid=2-s2.0-84992520150&amp;doi=10.1080%2f13032917.2016.1247289&amp;partnerID=40&amp;md5=fd1465c5622a58a4ab722fe8cfeab4e3</v>
      </c>
      <c r="Q60" t="s">
        <v>156</v>
      </c>
      <c r="R60" t="s">
        <v>48</v>
      </c>
      <c r="T60" t="s">
        <v>6</v>
      </c>
      <c r="U60" t="s">
        <v>432</v>
      </c>
      <c r="V60" s="36">
        <v>0</v>
      </c>
      <c r="W60" s="27">
        <v>0</v>
      </c>
      <c r="X60" s="27">
        <v>0</v>
      </c>
      <c r="Y60" s="27">
        <v>0</v>
      </c>
      <c r="Z60" s="27">
        <v>1</v>
      </c>
      <c r="AA60" s="27">
        <v>0</v>
      </c>
      <c r="AB60" s="27">
        <v>0</v>
      </c>
      <c r="AC60" s="27">
        <v>0</v>
      </c>
      <c r="AD60" s="27">
        <v>0</v>
      </c>
      <c r="AE60" s="27">
        <v>0</v>
      </c>
      <c r="AF60" s="27">
        <v>0</v>
      </c>
      <c r="AG60" s="27">
        <v>0</v>
      </c>
      <c r="AH60" s="27">
        <v>1</v>
      </c>
      <c r="AJ60">
        <f t="shared" si="0"/>
        <v>2</v>
      </c>
    </row>
    <row r="61" spans="1:36">
      <c r="D61" t="s">
        <v>433</v>
      </c>
      <c r="E61">
        <v>2021</v>
      </c>
      <c r="F61" t="s">
        <v>413</v>
      </c>
      <c r="G61">
        <v>32</v>
      </c>
      <c r="H61">
        <v>3</v>
      </c>
      <c r="J61">
        <v>529</v>
      </c>
      <c r="M61">
        <v>0</v>
      </c>
      <c r="N61" t="s">
        <v>434</v>
      </c>
      <c r="O61" t="s">
        <v>435</v>
      </c>
      <c r="P61" s="22" t="str">
        <f>HYPERLINK(O61)</f>
        <v>https://www.scopus.com/inward/record.uri?eid=2-s2.0-85115634990&amp;doi=10.1080%2f13032917.2021.1956707&amp;partnerID=40&amp;md5=69ecbd8ea994e37af7c98774f72ec637</v>
      </c>
      <c r="Q61" t="s">
        <v>417</v>
      </c>
      <c r="R61" t="s">
        <v>48</v>
      </c>
      <c r="S61" t="s">
        <v>436</v>
      </c>
      <c r="T61" t="s">
        <v>6</v>
      </c>
      <c r="U61" t="s">
        <v>437</v>
      </c>
      <c r="V61" s="36">
        <v>0</v>
      </c>
      <c r="W61" s="27">
        <v>0</v>
      </c>
      <c r="X61" s="27">
        <v>0</v>
      </c>
      <c r="Y61" s="27">
        <v>0</v>
      </c>
      <c r="Z61" s="27">
        <v>0</v>
      </c>
      <c r="AA61" s="27">
        <v>0</v>
      </c>
      <c r="AB61" s="27">
        <v>0</v>
      </c>
      <c r="AC61" s="27">
        <v>0</v>
      </c>
      <c r="AD61" s="27">
        <v>0</v>
      </c>
      <c r="AE61" s="27">
        <v>0</v>
      </c>
      <c r="AF61" s="27">
        <v>0</v>
      </c>
      <c r="AG61" s="27">
        <v>0</v>
      </c>
      <c r="AH61" s="27">
        <v>0</v>
      </c>
      <c r="AJ61">
        <f t="shared" si="0"/>
        <v>0</v>
      </c>
    </row>
    <row r="62" spans="1:36">
      <c r="A62" t="s">
        <v>438</v>
      </c>
      <c r="B62" t="s">
        <v>439</v>
      </c>
      <c r="C62" t="s">
        <v>440</v>
      </c>
      <c r="D62" t="s">
        <v>441</v>
      </c>
      <c r="E62">
        <v>2020</v>
      </c>
      <c r="F62" t="s">
        <v>442</v>
      </c>
      <c r="G62">
        <v>86</v>
      </c>
      <c r="H62">
        <v>1</v>
      </c>
      <c r="I62">
        <v>151</v>
      </c>
      <c r="J62">
        <v>1</v>
      </c>
      <c r="K62">
        <v>64</v>
      </c>
      <c r="L62">
        <v>63</v>
      </c>
      <c r="M62">
        <v>397</v>
      </c>
      <c r="N62" t="s">
        <v>443</v>
      </c>
      <c r="O62" t="s">
        <v>444</v>
      </c>
      <c r="P62" s="22" t="str">
        <f>HYPERLINK(O62)</f>
        <v>https://www.scopus.com/inward/record.uri?eid=2-s2.0-85098047537&amp;doi=10.5334%2faogh.2831&amp;partnerID=40&amp;md5=6f9daf554b0d6b1d959148a315305fe9</v>
      </c>
      <c r="Q62" t="s">
        <v>156</v>
      </c>
      <c r="R62" t="s">
        <v>48</v>
      </c>
      <c r="S62" t="s">
        <v>225</v>
      </c>
      <c r="T62" t="s">
        <v>6</v>
      </c>
      <c r="U62" t="s">
        <v>445</v>
      </c>
      <c r="V62" s="36">
        <v>0</v>
      </c>
      <c r="W62" s="27">
        <v>0</v>
      </c>
      <c r="X62" s="27">
        <v>0</v>
      </c>
      <c r="Y62" s="27">
        <v>0</v>
      </c>
      <c r="Z62" s="27">
        <v>0</v>
      </c>
      <c r="AA62" s="27">
        <v>0</v>
      </c>
      <c r="AB62" s="27">
        <v>0</v>
      </c>
      <c r="AC62" s="27">
        <v>0</v>
      </c>
      <c r="AD62" s="27">
        <v>0</v>
      </c>
      <c r="AE62" s="27">
        <v>0</v>
      </c>
      <c r="AF62" s="27">
        <v>0</v>
      </c>
      <c r="AG62" s="27">
        <v>0</v>
      </c>
      <c r="AH62" s="27">
        <v>1</v>
      </c>
      <c r="AJ62">
        <f t="shared" si="0"/>
        <v>1</v>
      </c>
    </row>
    <row r="63" spans="1:36">
      <c r="A63" t="s">
        <v>446</v>
      </c>
      <c r="B63" t="s">
        <v>447</v>
      </c>
      <c r="C63">
        <v>25632655700</v>
      </c>
      <c r="D63" t="s">
        <v>448</v>
      </c>
      <c r="E63">
        <v>2010</v>
      </c>
      <c r="F63" t="s">
        <v>449</v>
      </c>
      <c r="G63">
        <v>44</v>
      </c>
      <c r="H63">
        <v>3</v>
      </c>
      <c r="J63">
        <v>541</v>
      </c>
      <c r="K63">
        <v>557</v>
      </c>
      <c r="L63">
        <v>16</v>
      </c>
      <c r="M63">
        <v>105</v>
      </c>
      <c r="N63" t="s">
        <v>450</v>
      </c>
      <c r="O63" t="s">
        <v>451</v>
      </c>
      <c r="P63" s="22" t="str">
        <f>HYPERLINK(O63)</f>
        <v>https://www.scopus.com/inward/record.uri?eid=2-s2.0-77954032692&amp;doi=10.1007%2fs00168-008-0275-2&amp;partnerID=40&amp;md5=408e1606c926a4ee67a171f41df43e26</v>
      </c>
      <c r="Q63" t="s">
        <v>156</v>
      </c>
      <c r="R63" t="s">
        <v>48</v>
      </c>
      <c r="S63" t="s">
        <v>436</v>
      </c>
      <c r="T63" t="s">
        <v>6</v>
      </c>
      <c r="U63" t="s">
        <v>452</v>
      </c>
      <c r="V63" s="36">
        <v>1</v>
      </c>
      <c r="W63" s="27">
        <v>0</v>
      </c>
      <c r="X63" s="27">
        <v>0</v>
      </c>
      <c r="Y63" s="27">
        <v>0</v>
      </c>
      <c r="Z63" s="27">
        <v>0</v>
      </c>
      <c r="AA63" s="27">
        <v>0</v>
      </c>
      <c r="AB63" s="27">
        <v>0</v>
      </c>
      <c r="AC63" s="27">
        <v>0</v>
      </c>
      <c r="AD63" s="27">
        <v>0</v>
      </c>
      <c r="AE63" s="27">
        <v>0</v>
      </c>
      <c r="AF63" s="27">
        <v>0</v>
      </c>
      <c r="AG63" s="27">
        <v>0</v>
      </c>
      <c r="AH63" s="27">
        <v>0</v>
      </c>
      <c r="AJ63">
        <f t="shared" si="0"/>
        <v>1</v>
      </c>
    </row>
    <row r="64" spans="1:36">
      <c r="A64" t="s">
        <v>453</v>
      </c>
      <c r="B64" t="s">
        <v>454</v>
      </c>
      <c r="C64" t="s">
        <v>455</v>
      </c>
      <c r="D64" t="s">
        <v>456</v>
      </c>
      <c r="E64">
        <v>2022</v>
      </c>
      <c r="F64" t="s">
        <v>457</v>
      </c>
      <c r="G64">
        <v>95</v>
      </c>
      <c r="I64">
        <v>103440</v>
      </c>
      <c r="M64">
        <v>32</v>
      </c>
      <c r="N64" t="s">
        <v>458</v>
      </c>
      <c r="O64" t="s">
        <v>459</v>
      </c>
      <c r="P64" s="22" t="str">
        <f>HYPERLINK(O64)</f>
        <v>https://www.scopus.com/inward/record.uri?eid=2-s2.0-85133426799&amp;doi=10.1016%2fj.annals.2022.103440&amp;partnerID=40&amp;md5=7284b906362e3e8e2c9c1631c4a75f2c</v>
      </c>
      <c r="Q64" t="s">
        <v>156</v>
      </c>
      <c r="R64" t="s">
        <v>48</v>
      </c>
      <c r="S64" t="s">
        <v>164</v>
      </c>
      <c r="T64" t="s">
        <v>6</v>
      </c>
      <c r="U64" t="s">
        <v>460</v>
      </c>
      <c r="V64" s="36">
        <v>1</v>
      </c>
      <c r="W64" s="27">
        <v>0</v>
      </c>
      <c r="X64" s="27">
        <v>0</v>
      </c>
      <c r="Y64" s="27">
        <v>0</v>
      </c>
      <c r="Z64" s="27">
        <v>0</v>
      </c>
      <c r="AA64" s="27">
        <v>0</v>
      </c>
      <c r="AB64" s="27">
        <v>0</v>
      </c>
      <c r="AC64" s="27">
        <v>0</v>
      </c>
      <c r="AD64" s="27">
        <v>0</v>
      </c>
      <c r="AE64" s="27">
        <v>0</v>
      </c>
      <c r="AF64" s="27">
        <v>0</v>
      </c>
      <c r="AG64" s="27">
        <v>0</v>
      </c>
      <c r="AH64" s="27">
        <v>0</v>
      </c>
      <c r="AJ64">
        <f t="shared" si="0"/>
        <v>1</v>
      </c>
    </row>
    <row r="65" spans="1:36">
      <c r="A65" t="s">
        <v>461</v>
      </c>
      <c r="B65" t="s">
        <v>462</v>
      </c>
      <c r="C65" t="s">
        <v>463</v>
      </c>
      <c r="D65" t="s">
        <v>464</v>
      </c>
      <c r="E65">
        <v>2023</v>
      </c>
      <c r="F65" t="s">
        <v>457</v>
      </c>
      <c r="G65">
        <v>103</v>
      </c>
      <c r="I65">
        <v>103672</v>
      </c>
      <c r="M65">
        <v>1</v>
      </c>
      <c r="N65" t="s">
        <v>465</v>
      </c>
      <c r="O65" t="s">
        <v>466</v>
      </c>
      <c r="P65" s="22" t="str">
        <f>HYPERLINK(O65)</f>
        <v>https://www.scopus.com/inward/record.uri?eid=2-s2.0-85175534927&amp;doi=10.1016%2fj.annals.2023.103672&amp;partnerID=40&amp;md5=a6dd8f385b7583c511ccbad513db6403</v>
      </c>
      <c r="Q65" t="s">
        <v>156</v>
      </c>
      <c r="R65" t="s">
        <v>48</v>
      </c>
      <c r="S65" t="s">
        <v>467</v>
      </c>
      <c r="T65" t="s">
        <v>6</v>
      </c>
      <c r="U65" t="s">
        <v>468</v>
      </c>
      <c r="V65" s="36">
        <v>1</v>
      </c>
      <c r="W65" s="27">
        <v>0</v>
      </c>
      <c r="X65" s="27">
        <v>0</v>
      </c>
      <c r="Y65" s="27">
        <v>0</v>
      </c>
      <c r="Z65" s="27">
        <v>0</v>
      </c>
      <c r="AA65" s="27">
        <v>0</v>
      </c>
      <c r="AB65" s="27">
        <v>0</v>
      </c>
      <c r="AC65" s="27">
        <v>0</v>
      </c>
      <c r="AD65" s="27">
        <v>0</v>
      </c>
      <c r="AE65" s="27">
        <v>0</v>
      </c>
      <c r="AF65" s="27">
        <v>0</v>
      </c>
      <c r="AG65" s="27">
        <v>0</v>
      </c>
      <c r="AH65" s="27">
        <v>0</v>
      </c>
      <c r="AJ65">
        <f t="shared" si="0"/>
        <v>1</v>
      </c>
    </row>
    <row r="66" spans="1:36">
      <c r="A66" t="s">
        <v>469</v>
      </c>
      <c r="B66" t="s">
        <v>470</v>
      </c>
      <c r="C66" t="s">
        <v>471</v>
      </c>
      <c r="D66" t="s">
        <v>472</v>
      </c>
      <c r="E66">
        <v>2022</v>
      </c>
      <c r="F66" t="s">
        <v>457</v>
      </c>
      <c r="G66">
        <v>92</v>
      </c>
      <c r="I66">
        <v>103326</v>
      </c>
      <c r="M66">
        <v>55</v>
      </c>
      <c r="N66" t="s">
        <v>473</v>
      </c>
      <c r="O66" t="s">
        <v>474</v>
      </c>
      <c r="P66" s="22" t="str">
        <f>HYPERLINK(O66)</f>
        <v>https://www.scopus.com/inward/record.uri?eid=2-s2.0-85119980790&amp;doi=10.1016%2fj.annals.2021.103326&amp;partnerID=40&amp;md5=510a97c7c50b34d2c76de0d36a54dd6a</v>
      </c>
      <c r="Q66" t="s">
        <v>156</v>
      </c>
      <c r="R66" t="s">
        <v>48</v>
      </c>
      <c r="S66" t="s">
        <v>467</v>
      </c>
      <c r="T66" t="s">
        <v>6</v>
      </c>
      <c r="U66" t="s">
        <v>475</v>
      </c>
      <c r="V66" s="36">
        <v>1</v>
      </c>
      <c r="W66" s="27">
        <v>0</v>
      </c>
      <c r="X66" s="27">
        <v>0</v>
      </c>
      <c r="Y66" s="27">
        <v>0</v>
      </c>
      <c r="Z66" s="27">
        <v>0</v>
      </c>
      <c r="AA66" s="27">
        <v>0</v>
      </c>
      <c r="AB66" s="27">
        <v>0</v>
      </c>
      <c r="AC66" s="27">
        <v>0</v>
      </c>
      <c r="AD66" s="27">
        <v>0</v>
      </c>
      <c r="AE66" s="27">
        <v>0</v>
      </c>
      <c r="AF66" s="27">
        <v>0</v>
      </c>
      <c r="AG66" s="27">
        <v>0</v>
      </c>
      <c r="AH66" s="27">
        <v>0</v>
      </c>
      <c r="AJ66">
        <f t="shared" ref="AJ66:AJ129" si="1">SUM(V66:AH66)</f>
        <v>1</v>
      </c>
    </row>
    <row r="67" spans="1:36">
      <c r="A67" t="s">
        <v>476</v>
      </c>
      <c r="B67" t="s">
        <v>477</v>
      </c>
      <c r="C67" t="s">
        <v>478</v>
      </c>
      <c r="D67" t="s">
        <v>479</v>
      </c>
      <c r="E67">
        <v>2014</v>
      </c>
      <c r="F67" t="s">
        <v>457</v>
      </c>
      <c r="G67">
        <v>48</v>
      </c>
      <c r="J67">
        <v>1</v>
      </c>
      <c r="K67">
        <v>10</v>
      </c>
      <c r="L67">
        <v>9</v>
      </c>
      <c r="M67">
        <v>242</v>
      </c>
      <c r="N67" t="s">
        <v>480</v>
      </c>
      <c r="O67" t="s">
        <v>481</v>
      </c>
      <c r="P67" s="22" t="str">
        <f>HYPERLINK(O67)</f>
        <v>https://www.scopus.com/inward/record.uri?eid=2-s2.0-84901761953&amp;doi=10.1016%2fj.annals.2014.05.008&amp;partnerID=40&amp;md5=817c488892cbb8a68b4926a453a9b283</v>
      </c>
      <c r="Q67" t="s">
        <v>156</v>
      </c>
      <c r="R67" t="s">
        <v>48</v>
      </c>
      <c r="T67" t="s">
        <v>6</v>
      </c>
      <c r="U67" t="s">
        <v>482</v>
      </c>
      <c r="V67" s="36">
        <v>0</v>
      </c>
      <c r="W67" s="27">
        <v>0</v>
      </c>
      <c r="X67" s="27">
        <v>1</v>
      </c>
      <c r="Y67" s="27">
        <v>0</v>
      </c>
      <c r="Z67" s="27">
        <v>0</v>
      </c>
      <c r="AA67" s="27">
        <v>0</v>
      </c>
      <c r="AB67" s="27">
        <v>0</v>
      </c>
      <c r="AC67" s="27">
        <v>0</v>
      </c>
      <c r="AD67" s="27">
        <v>0</v>
      </c>
      <c r="AE67" s="27">
        <v>0</v>
      </c>
      <c r="AF67" s="27">
        <v>0</v>
      </c>
      <c r="AG67" s="27">
        <v>0</v>
      </c>
      <c r="AH67" s="27">
        <v>0</v>
      </c>
      <c r="AJ67">
        <f t="shared" si="1"/>
        <v>1</v>
      </c>
    </row>
    <row r="68" spans="1:36">
      <c r="A68" t="s">
        <v>483</v>
      </c>
      <c r="B68" t="s">
        <v>484</v>
      </c>
      <c r="C68" t="s">
        <v>485</v>
      </c>
      <c r="D68" t="s">
        <v>486</v>
      </c>
      <c r="E68">
        <v>1997</v>
      </c>
      <c r="F68" t="s">
        <v>457</v>
      </c>
      <c r="G68">
        <v>24</v>
      </c>
      <c r="H68">
        <v>3</v>
      </c>
      <c r="J68">
        <v>624</v>
      </c>
      <c r="K68">
        <v>637</v>
      </c>
      <c r="L68">
        <v>13</v>
      </c>
      <c r="M68">
        <v>52</v>
      </c>
      <c r="N68" t="s">
        <v>487</v>
      </c>
      <c r="O68" t="s">
        <v>488</v>
      </c>
      <c r="P68" s="22" t="str">
        <f>HYPERLINK(O68)</f>
        <v>https://www.scopus.com/inward/record.uri?eid=2-s2.0-0043130603&amp;doi=10.1016%2fs0160-7383%2897%2900021-2&amp;partnerID=40&amp;md5=40bf1f80e86013c16d3ba217f39431d2</v>
      </c>
      <c r="Q68" t="s">
        <v>156</v>
      </c>
      <c r="R68" t="s">
        <v>48</v>
      </c>
      <c r="T68" t="s">
        <v>6</v>
      </c>
      <c r="U68" t="s">
        <v>489</v>
      </c>
      <c r="V68" s="36">
        <v>0</v>
      </c>
      <c r="W68" s="27">
        <v>0</v>
      </c>
      <c r="X68" s="27">
        <v>0</v>
      </c>
      <c r="Y68" s="27">
        <v>0</v>
      </c>
      <c r="Z68" s="27">
        <v>1</v>
      </c>
      <c r="AA68" s="27">
        <v>0</v>
      </c>
      <c r="AB68" s="27">
        <v>0</v>
      </c>
      <c r="AC68" s="27">
        <v>0</v>
      </c>
      <c r="AD68" s="27">
        <v>0</v>
      </c>
      <c r="AE68" s="27">
        <v>0</v>
      </c>
      <c r="AF68" s="27">
        <v>0</v>
      </c>
      <c r="AG68" s="27">
        <v>0</v>
      </c>
      <c r="AH68" s="27">
        <v>0</v>
      </c>
      <c r="AJ68">
        <f t="shared" si="1"/>
        <v>1</v>
      </c>
    </row>
    <row r="69" spans="1:36">
      <c r="A69" t="s">
        <v>490</v>
      </c>
      <c r="B69" t="s">
        <v>491</v>
      </c>
      <c r="C69" t="s">
        <v>492</v>
      </c>
      <c r="D69" t="s">
        <v>493</v>
      </c>
      <c r="E69">
        <v>2024</v>
      </c>
      <c r="F69" t="s">
        <v>494</v>
      </c>
      <c r="G69">
        <v>5</v>
      </c>
      <c r="H69">
        <v>2</v>
      </c>
      <c r="I69">
        <v>100143</v>
      </c>
      <c r="M69">
        <v>0</v>
      </c>
      <c r="N69" t="s">
        <v>495</v>
      </c>
      <c r="O69" t="s">
        <v>496</v>
      </c>
      <c r="P69" s="22" t="str">
        <f>HYPERLINK(O69)</f>
        <v>https://www.scopus.com/inward/record.uri?eid=2-s2.0-85193694522&amp;doi=10.1016%2fj.annale.2024.100143&amp;partnerID=40&amp;md5=66fd73df148b871f8ef01653f0e2c03e</v>
      </c>
      <c r="Q69" t="s">
        <v>156</v>
      </c>
      <c r="R69" t="s">
        <v>48</v>
      </c>
      <c r="S69" t="s">
        <v>172</v>
      </c>
      <c r="T69" t="s">
        <v>6</v>
      </c>
      <c r="U69" t="s">
        <v>497</v>
      </c>
      <c r="V69" s="36">
        <v>0</v>
      </c>
      <c r="W69" s="27">
        <v>0</v>
      </c>
      <c r="X69" s="27">
        <v>0</v>
      </c>
      <c r="Y69" s="27">
        <v>0</v>
      </c>
      <c r="Z69" s="27">
        <v>1</v>
      </c>
      <c r="AA69" s="27">
        <v>0</v>
      </c>
      <c r="AB69" s="27">
        <v>0</v>
      </c>
      <c r="AC69" s="27">
        <v>0</v>
      </c>
      <c r="AD69" s="27">
        <v>0</v>
      </c>
      <c r="AE69" s="27">
        <v>0</v>
      </c>
      <c r="AF69" s="27">
        <v>0</v>
      </c>
      <c r="AG69" s="27">
        <v>0</v>
      </c>
      <c r="AH69" s="27">
        <v>0</v>
      </c>
      <c r="AJ69">
        <f t="shared" si="1"/>
        <v>1</v>
      </c>
    </row>
    <row r="70" spans="1:36">
      <c r="A70" t="s">
        <v>498</v>
      </c>
      <c r="B70" t="s">
        <v>499</v>
      </c>
      <c r="C70" t="s">
        <v>500</v>
      </c>
      <c r="D70" t="s">
        <v>501</v>
      </c>
      <c r="E70">
        <v>2016</v>
      </c>
      <c r="F70" t="s">
        <v>502</v>
      </c>
      <c r="G70">
        <v>16</v>
      </c>
      <c r="H70">
        <v>1</v>
      </c>
      <c r="J70">
        <v>131</v>
      </c>
      <c r="K70">
        <v>146</v>
      </c>
      <c r="L70">
        <v>15</v>
      </c>
      <c r="M70">
        <v>10</v>
      </c>
      <c r="O70" t="s">
        <v>503</v>
      </c>
      <c r="P70" s="22" t="str">
        <f>HYPERLINK(O70)</f>
        <v>https://www.scopus.com/inward/record.uri?eid=2-s2.0-84974712303&amp;partnerID=40&amp;md5=a406f5fb0ca81fae83c6175d1e5d9a3a</v>
      </c>
      <c r="Q70" t="s">
        <v>156</v>
      </c>
      <c r="R70" t="s">
        <v>48</v>
      </c>
      <c r="T70" t="s">
        <v>6</v>
      </c>
      <c r="U70" t="s">
        <v>504</v>
      </c>
      <c r="V70" s="36">
        <v>0</v>
      </c>
      <c r="W70" s="27">
        <v>0</v>
      </c>
      <c r="X70" s="27">
        <v>0</v>
      </c>
      <c r="Y70" s="27">
        <v>0</v>
      </c>
      <c r="Z70" s="27">
        <v>0</v>
      </c>
      <c r="AA70" s="27">
        <v>0</v>
      </c>
      <c r="AB70" s="27">
        <v>0</v>
      </c>
      <c r="AC70" s="27">
        <v>0</v>
      </c>
      <c r="AD70" s="27">
        <v>0</v>
      </c>
      <c r="AE70" s="27">
        <v>0</v>
      </c>
      <c r="AF70" s="27">
        <v>0</v>
      </c>
      <c r="AG70" s="27">
        <v>1</v>
      </c>
      <c r="AH70" s="27">
        <v>0</v>
      </c>
      <c r="AJ70">
        <f t="shared" si="1"/>
        <v>1</v>
      </c>
    </row>
    <row r="71" spans="1:36">
      <c r="A71" t="s">
        <v>505</v>
      </c>
      <c r="B71" t="s">
        <v>506</v>
      </c>
      <c r="C71" t="s">
        <v>507</v>
      </c>
      <c r="D71" t="s">
        <v>508</v>
      </c>
      <c r="E71">
        <v>2021</v>
      </c>
      <c r="F71" t="s">
        <v>509</v>
      </c>
      <c r="G71">
        <v>53</v>
      </c>
      <c r="H71">
        <v>45</v>
      </c>
      <c r="J71">
        <v>5281</v>
      </c>
      <c r="K71">
        <v>5302</v>
      </c>
      <c r="L71">
        <v>21</v>
      </c>
      <c r="M71">
        <v>8</v>
      </c>
      <c r="N71" t="s">
        <v>510</v>
      </c>
      <c r="O71" t="s">
        <v>511</v>
      </c>
      <c r="P71" s="22" t="str">
        <f>HYPERLINK(O71)</f>
        <v>https://www.scopus.com/inward/record.uri?eid=2-s2.0-85111668368&amp;doi=10.1080%2f00036846.2021.1922591&amp;partnerID=40&amp;md5=70168cf4d69311b7a75b1e0c15fdca22</v>
      </c>
      <c r="Q71" t="s">
        <v>156</v>
      </c>
      <c r="R71" t="s">
        <v>48</v>
      </c>
      <c r="T71" t="s">
        <v>6</v>
      </c>
      <c r="U71" t="s">
        <v>512</v>
      </c>
      <c r="V71" s="36">
        <v>0</v>
      </c>
      <c r="W71" s="27">
        <v>0</v>
      </c>
      <c r="X71" s="27">
        <v>0</v>
      </c>
      <c r="Y71" s="27">
        <v>0</v>
      </c>
      <c r="Z71" s="27">
        <v>1</v>
      </c>
      <c r="AA71" s="27">
        <v>0</v>
      </c>
      <c r="AB71" s="27">
        <v>0</v>
      </c>
      <c r="AC71" s="27">
        <v>0</v>
      </c>
      <c r="AD71" s="27">
        <v>0</v>
      </c>
      <c r="AE71" s="27">
        <v>0</v>
      </c>
      <c r="AF71" s="27">
        <v>0</v>
      </c>
      <c r="AG71" s="27">
        <v>0</v>
      </c>
      <c r="AH71" s="27">
        <v>1</v>
      </c>
      <c r="AJ71">
        <f t="shared" si="1"/>
        <v>2</v>
      </c>
    </row>
    <row r="72" spans="1:36">
      <c r="A72" t="s">
        <v>513</v>
      </c>
      <c r="B72" t="s">
        <v>514</v>
      </c>
      <c r="C72">
        <v>55257962300</v>
      </c>
      <c r="D72" t="s">
        <v>515</v>
      </c>
      <c r="E72">
        <v>2014</v>
      </c>
      <c r="F72" t="s">
        <v>509</v>
      </c>
      <c r="G72">
        <v>46</v>
      </c>
      <c r="H72">
        <v>13</v>
      </c>
      <c r="J72">
        <v>1509</v>
      </c>
      <c r="K72">
        <v>1525</v>
      </c>
      <c r="L72">
        <v>16</v>
      </c>
      <c r="M72">
        <v>7</v>
      </c>
      <c r="N72" t="s">
        <v>516</v>
      </c>
      <c r="O72" t="s">
        <v>517</v>
      </c>
      <c r="P72" s="22" t="str">
        <f>HYPERLINK(O72)</f>
        <v>https://www.scopus.com/inward/record.uri?eid=2-s2.0-84894094020&amp;doi=10.1080%2f00036846.2013.877576&amp;partnerID=40&amp;md5=718f9bde2019c5515d962f976bed0b07</v>
      </c>
      <c r="Q72" t="s">
        <v>156</v>
      </c>
      <c r="R72" t="s">
        <v>48</v>
      </c>
      <c r="T72" t="s">
        <v>6</v>
      </c>
      <c r="U72" t="s">
        <v>518</v>
      </c>
      <c r="V72" s="36">
        <v>0</v>
      </c>
      <c r="W72" s="27">
        <v>0</v>
      </c>
      <c r="X72" s="27">
        <v>0</v>
      </c>
      <c r="Y72" s="27">
        <v>0</v>
      </c>
      <c r="Z72" s="27">
        <v>0</v>
      </c>
      <c r="AA72" s="27">
        <v>0</v>
      </c>
      <c r="AB72" s="27">
        <v>0</v>
      </c>
      <c r="AC72" s="27">
        <v>0</v>
      </c>
      <c r="AD72" s="27">
        <v>0</v>
      </c>
      <c r="AE72" s="27">
        <v>0</v>
      </c>
      <c r="AF72" s="27">
        <v>0</v>
      </c>
      <c r="AG72" s="27">
        <v>0</v>
      </c>
      <c r="AH72" s="27">
        <v>0</v>
      </c>
      <c r="AJ72">
        <f t="shared" si="1"/>
        <v>0</v>
      </c>
    </row>
    <row r="73" spans="1:36">
      <c r="A73" t="s">
        <v>519</v>
      </c>
      <c r="B73" t="s">
        <v>520</v>
      </c>
      <c r="C73" t="s">
        <v>521</v>
      </c>
      <c r="D73" t="s">
        <v>522</v>
      </c>
      <c r="E73">
        <v>2014</v>
      </c>
      <c r="F73" t="s">
        <v>509</v>
      </c>
      <c r="G73">
        <v>46</v>
      </c>
      <c r="H73">
        <v>17</v>
      </c>
      <c r="J73">
        <v>1985</v>
      </c>
      <c r="K73">
        <v>1995</v>
      </c>
      <c r="L73">
        <v>10</v>
      </c>
      <c r="M73">
        <v>24</v>
      </c>
      <c r="N73" t="s">
        <v>523</v>
      </c>
      <c r="O73" t="s">
        <v>524</v>
      </c>
      <c r="P73" s="22" t="str">
        <f>HYPERLINK(O73)</f>
        <v>https://www.scopus.com/inward/record.uri?eid=2-s2.0-84896822342&amp;doi=10.1080%2f00036846.2014.889802&amp;partnerID=40&amp;md5=b56c5c99ded51dcd4414e7c5c83e6f96</v>
      </c>
      <c r="Q73" t="s">
        <v>156</v>
      </c>
      <c r="R73" t="s">
        <v>48</v>
      </c>
      <c r="T73" t="s">
        <v>6</v>
      </c>
      <c r="U73" t="s">
        <v>525</v>
      </c>
      <c r="V73" s="36">
        <v>1</v>
      </c>
      <c r="W73" s="27">
        <v>0</v>
      </c>
      <c r="X73" s="27">
        <v>0</v>
      </c>
      <c r="Y73" s="27">
        <v>0</v>
      </c>
      <c r="Z73" s="27">
        <v>0</v>
      </c>
      <c r="AA73" s="27">
        <v>0</v>
      </c>
      <c r="AB73" s="27">
        <v>0</v>
      </c>
      <c r="AC73" s="27">
        <v>0</v>
      </c>
      <c r="AD73" s="27">
        <v>0</v>
      </c>
      <c r="AE73" s="27">
        <v>0</v>
      </c>
      <c r="AF73" s="27">
        <v>0</v>
      </c>
      <c r="AG73" s="27">
        <v>0</v>
      </c>
      <c r="AH73" s="27">
        <v>0</v>
      </c>
      <c r="AJ73">
        <f t="shared" si="1"/>
        <v>1</v>
      </c>
    </row>
    <row r="74" spans="1:36">
      <c r="A74" t="s">
        <v>526</v>
      </c>
      <c r="B74" t="s">
        <v>527</v>
      </c>
      <c r="C74" t="s">
        <v>528</v>
      </c>
      <c r="D74" t="s">
        <v>529</v>
      </c>
      <c r="E74">
        <v>2013</v>
      </c>
      <c r="F74" t="s">
        <v>530</v>
      </c>
      <c r="G74">
        <v>320</v>
      </c>
      <c r="J74">
        <v>739</v>
      </c>
      <c r="K74">
        <v>742</v>
      </c>
      <c r="L74">
        <v>3</v>
      </c>
      <c r="M74">
        <v>0</v>
      </c>
      <c r="N74" t="s">
        <v>531</v>
      </c>
      <c r="O74" t="s">
        <v>532</v>
      </c>
      <c r="P74" s="22" t="str">
        <f>HYPERLINK(O74)</f>
        <v>https://www.scopus.com/inward/record.uri?eid=2-s2.0-84879729781&amp;doi=10.4028%2fwww.scientific.net%2fAMM.320.739&amp;partnerID=40&amp;md5=68216668a3d9048cfeb3cd053c481689</v>
      </c>
      <c r="Q74" t="s">
        <v>62</v>
      </c>
      <c r="R74" t="s">
        <v>48</v>
      </c>
      <c r="T74" t="s">
        <v>6</v>
      </c>
      <c r="U74" t="s">
        <v>533</v>
      </c>
      <c r="V74" s="36">
        <v>0</v>
      </c>
      <c r="W74" s="27">
        <v>0</v>
      </c>
      <c r="X74" s="27">
        <v>0</v>
      </c>
      <c r="Y74" s="27">
        <v>0</v>
      </c>
      <c r="Z74" s="27">
        <v>0</v>
      </c>
      <c r="AA74" s="27">
        <v>0</v>
      </c>
      <c r="AB74" s="27">
        <v>0</v>
      </c>
      <c r="AC74" s="27">
        <v>0</v>
      </c>
      <c r="AD74" s="27">
        <v>0</v>
      </c>
      <c r="AE74" s="27">
        <v>0</v>
      </c>
      <c r="AF74" s="27">
        <v>0</v>
      </c>
      <c r="AG74" s="27">
        <v>0</v>
      </c>
      <c r="AH74" s="27">
        <v>1</v>
      </c>
      <c r="AJ74">
        <f t="shared" si="1"/>
        <v>1</v>
      </c>
    </row>
    <row r="75" spans="1:36">
      <c r="D75" t="s">
        <v>534</v>
      </c>
      <c r="E75">
        <v>2013</v>
      </c>
      <c r="F75" t="s">
        <v>530</v>
      </c>
      <c r="G75">
        <v>320</v>
      </c>
      <c r="M75">
        <v>0</v>
      </c>
      <c r="O75" t="s">
        <v>535</v>
      </c>
      <c r="P75" s="22" t="str">
        <f>HYPERLINK(O75)</f>
        <v>https://www.scopus.com/inward/record.uri?eid=2-s2.0-84879704857&amp;partnerID=40&amp;md5=aad3a8fae6c8cedc8fd55d64527b0423</v>
      </c>
      <c r="Q75" t="s">
        <v>47</v>
      </c>
      <c r="R75" t="s">
        <v>48</v>
      </c>
      <c r="T75" t="s">
        <v>6</v>
      </c>
      <c r="U75" t="s">
        <v>536</v>
      </c>
      <c r="V75" s="36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1</v>
      </c>
      <c r="AJ75">
        <f t="shared" si="1"/>
        <v>1</v>
      </c>
    </row>
    <row r="76" spans="1:36">
      <c r="D76" t="s">
        <v>537</v>
      </c>
      <c r="E76">
        <v>2014</v>
      </c>
      <c r="F76" t="s">
        <v>530</v>
      </c>
      <c r="G76" t="s">
        <v>538</v>
      </c>
      <c r="M76">
        <v>0</v>
      </c>
      <c r="O76" t="s">
        <v>539</v>
      </c>
      <c r="P76" s="22" t="str">
        <f>HYPERLINK(O76)</f>
        <v>https://www.scopus.com/inward/record.uri?eid=2-s2.0-84902073951&amp;partnerID=40&amp;md5=f3500d5dde8b9164b2604fa1801b067b</v>
      </c>
      <c r="Q76" t="s">
        <v>47</v>
      </c>
      <c r="R76" t="s">
        <v>48</v>
      </c>
      <c r="T76" t="s">
        <v>6</v>
      </c>
      <c r="U76" t="s">
        <v>540</v>
      </c>
      <c r="V76" s="36">
        <v>0</v>
      </c>
      <c r="W76" s="27">
        <v>0</v>
      </c>
      <c r="X76" s="27">
        <v>0</v>
      </c>
      <c r="Y76" s="27">
        <v>0</v>
      </c>
      <c r="Z76" s="27">
        <v>0</v>
      </c>
      <c r="AA76" s="27">
        <v>0</v>
      </c>
      <c r="AB76" s="27">
        <v>0</v>
      </c>
      <c r="AC76" s="27">
        <v>0</v>
      </c>
      <c r="AD76" s="27">
        <v>0</v>
      </c>
      <c r="AE76" s="27">
        <v>0</v>
      </c>
      <c r="AF76" s="27">
        <v>0</v>
      </c>
      <c r="AG76" s="27">
        <v>0</v>
      </c>
      <c r="AH76" s="27">
        <v>1</v>
      </c>
      <c r="AJ76">
        <f t="shared" si="1"/>
        <v>1</v>
      </c>
    </row>
    <row r="77" spans="1:36">
      <c r="D77" t="s">
        <v>541</v>
      </c>
      <c r="E77">
        <v>2014</v>
      </c>
      <c r="F77" t="s">
        <v>530</v>
      </c>
      <c r="G77" t="s">
        <v>542</v>
      </c>
      <c r="M77">
        <v>0</v>
      </c>
      <c r="O77" t="s">
        <v>543</v>
      </c>
      <c r="P77" s="22" t="str">
        <f>HYPERLINK(O77)</f>
        <v>https://www.scopus.com/inward/record.uri?eid=2-s2.0-84904997939&amp;partnerID=40&amp;md5=fd6a0fbe6f533a43f6a3d02c760b9cd7</v>
      </c>
      <c r="Q77" t="s">
        <v>47</v>
      </c>
      <c r="R77" t="s">
        <v>48</v>
      </c>
      <c r="T77" t="s">
        <v>6</v>
      </c>
      <c r="U77" t="s">
        <v>544</v>
      </c>
      <c r="V77" s="36">
        <v>0</v>
      </c>
      <c r="W77" s="27">
        <v>0</v>
      </c>
      <c r="X77" s="27">
        <v>0</v>
      </c>
      <c r="Y77" s="27">
        <v>0</v>
      </c>
      <c r="Z77" s="27">
        <v>0</v>
      </c>
      <c r="AA77" s="27">
        <v>0</v>
      </c>
      <c r="AB77" s="27">
        <v>0</v>
      </c>
      <c r="AC77" s="27">
        <v>0</v>
      </c>
      <c r="AD77" s="27">
        <v>0</v>
      </c>
      <c r="AE77" s="27">
        <v>0</v>
      </c>
      <c r="AF77" s="27">
        <v>0</v>
      </c>
      <c r="AG77" s="27">
        <v>0</v>
      </c>
      <c r="AH77" s="27">
        <v>1</v>
      </c>
      <c r="AJ77">
        <f t="shared" si="1"/>
        <v>1</v>
      </c>
    </row>
    <row r="78" spans="1:36">
      <c r="A78" t="s">
        <v>545</v>
      </c>
      <c r="B78" t="s">
        <v>546</v>
      </c>
      <c r="C78" t="s">
        <v>547</v>
      </c>
      <c r="D78" t="s">
        <v>548</v>
      </c>
      <c r="E78">
        <v>2022</v>
      </c>
      <c r="F78" t="s">
        <v>549</v>
      </c>
      <c r="G78">
        <v>12</v>
      </c>
      <c r="H78">
        <v>12</v>
      </c>
      <c r="I78">
        <v>6226</v>
      </c>
      <c r="M78">
        <v>6</v>
      </c>
      <c r="N78" t="s">
        <v>550</v>
      </c>
      <c r="O78" t="s">
        <v>551</v>
      </c>
      <c r="P78" s="22" t="str">
        <f>HYPERLINK(O78)</f>
        <v>https://www.scopus.com/inward/record.uri?eid=2-s2.0-85135486613&amp;doi=10.3390%2fapp12126226&amp;partnerID=40&amp;md5=8247ef4fa217fea117eb6c7dab350973</v>
      </c>
      <c r="Q78" t="s">
        <v>156</v>
      </c>
      <c r="R78" t="s">
        <v>48</v>
      </c>
      <c r="S78" t="s">
        <v>185</v>
      </c>
      <c r="T78" t="s">
        <v>6</v>
      </c>
      <c r="U78" t="s">
        <v>552</v>
      </c>
      <c r="V78" s="36">
        <v>1</v>
      </c>
      <c r="W78" s="27">
        <v>0</v>
      </c>
      <c r="X78" s="27">
        <v>0</v>
      </c>
      <c r="Y78" s="27">
        <v>0</v>
      </c>
      <c r="Z78" s="27">
        <v>0</v>
      </c>
      <c r="AA78" s="27">
        <v>0</v>
      </c>
      <c r="AB78" s="27">
        <v>0</v>
      </c>
      <c r="AC78" s="27">
        <v>0</v>
      </c>
      <c r="AD78" s="27">
        <v>0</v>
      </c>
      <c r="AE78" s="27">
        <v>0</v>
      </c>
      <c r="AF78" s="27">
        <v>0</v>
      </c>
      <c r="AG78" s="27">
        <v>0</v>
      </c>
      <c r="AH78" s="27">
        <v>0</v>
      </c>
      <c r="AJ78">
        <f t="shared" si="1"/>
        <v>1</v>
      </c>
    </row>
    <row r="79" spans="1:36">
      <c r="A79" t="s">
        <v>553</v>
      </c>
      <c r="B79" t="s">
        <v>554</v>
      </c>
      <c r="C79" t="s">
        <v>555</v>
      </c>
      <c r="D79" t="s">
        <v>556</v>
      </c>
      <c r="E79">
        <v>2019</v>
      </c>
      <c r="F79" t="s">
        <v>557</v>
      </c>
      <c r="G79">
        <v>12</v>
      </c>
      <c r="H79">
        <v>2</v>
      </c>
      <c r="J79">
        <v>349</v>
      </c>
      <c r="K79">
        <v>376</v>
      </c>
      <c r="L79">
        <v>27</v>
      </c>
      <c r="M79">
        <v>26</v>
      </c>
      <c r="N79" t="s">
        <v>558</v>
      </c>
      <c r="O79" t="s">
        <v>559</v>
      </c>
      <c r="P79" s="22" t="str">
        <f>HYPERLINK(O79)</f>
        <v>https://www.scopus.com/inward/record.uri?eid=2-s2.0-85034224821&amp;doi=10.1007%2fs12061-017-9245-3&amp;partnerID=40&amp;md5=ed3b7089d964a415231f269f564102ad</v>
      </c>
      <c r="Q79" t="s">
        <v>156</v>
      </c>
      <c r="R79" t="s">
        <v>48</v>
      </c>
      <c r="T79" t="s">
        <v>6</v>
      </c>
      <c r="U79" t="s">
        <v>560</v>
      </c>
      <c r="V79" s="36">
        <v>0</v>
      </c>
      <c r="W79" s="27">
        <v>1</v>
      </c>
      <c r="X79" s="27">
        <v>0</v>
      </c>
      <c r="Y79" s="27">
        <v>0</v>
      </c>
      <c r="Z79" s="27">
        <v>0</v>
      </c>
      <c r="AA79" s="27">
        <v>0</v>
      </c>
      <c r="AB79" s="27">
        <v>0</v>
      </c>
      <c r="AC79" s="27">
        <v>0</v>
      </c>
      <c r="AD79" s="27">
        <v>0</v>
      </c>
      <c r="AE79" s="27">
        <v>0</v>
      </c>
      <c r="AF79" s="27">
        <v>0</v>
      </c>
      <c r="AG79" s="27">
        <v>0</v>
      </c>
      <c r="AH79" s="27">
        <v>0</v>
      </c>
      <c r="AJ79">
        <f t="shared" si="1"/>
        <v>1</v>
      </c>
    </row>
    <row r="80" spans="1:36">
      <c r="A80" t="s">
        <v>561</v>
      </c>
      <c r="B80" t="s">
        <v>562</v>
      </c>
      <c r="C80" t="s">
        <v>563</v>
      </c>
      <c r="D80" t="s">
        <v>564</v>
      </c>
      <c r="E80">
        <v>2021</v>
      </c>
      <c r="F80" t="s">
        <v>565</v>
      </c>
      <c r="G80">
        <v>92</v>
      </c>
      <c r="I80">
        <v>102128</v>
      </c>
      <c r="M80">
        <v>19</v>
      </c>
      <c r="N80" t="s">
        <v>566</v>
      </c>
      <c r="O80" t="s">
        <v>567</v>
      </c>
      <c r="P80" s="22" t="str">
        <f>HYPERLINK(O80)</f>
        <v>https://www.scopus.com/inward/record.uri?eid=2-s2.0-85097077546&amp;doi=10.1016%2fj.aquaeng.2020.102128&amp;partnerID=40&amp;md5=e419148d0b95a894e850d3cbd199b18b</v>
      </c>
      <c r="Q80" t="s">
        <v>156</v>
      </c>
      <c r="R80" t="s">
        <v>48</v>
      </c>
      <c r="T80" t="s">
        <v>6</v>
      </c>
      <c r="U80" t="s">
        <v>568</v>
      </c>
      <c r="V80" s="36">
        <v>0</v>
      </c>
      <c r="W80" s="27">
        <v>0</v>
      </c>
      <c r="X80" s="27">
        <v>0</v>
      </c>
      <c r="Y80" s="27">
        <v>0</v>
      </c>
      <c r="Z80" s="27">
        <v>0</v>
      </c>
      <c r="AA80" s="27">
        <v>0</v>
      </c>
      <c r="AB80" s="27">
        <v>0</v>
      </c>
      <c r="AC80" s="27">
        <v>0</v>
      </c>
      <c r="AD80" s="27">
        <v>0</v>
      </c>
      <c r="AE80" s="27">
        <v>0</v>
      </c>
      <c r="AF80" s="27">
        <v>0</v>
      </c>
      <c r="AG80" s="27">
        <v>0</v>
      </c>
      <c r="AH80" s="27">
        <v>1</v>
      </c>
      <c r="AJ80">
        <f t="shared" si="1"/>
        <v>1</v>
      </c>
    </row>
    <row r="81" spans="1:36">
      <c r="A81" t="s">
        <v>569</v>
      </c>
      <c r="B81" t="s">
        <v>570</v>
      </c>
      <c r="C81" t="s">
        <v>571</v>
      </c>
      <c r="D81" t="s">
        <v>572</v>
      </c>
      <c r="E81">
        <v>2016</v>
      </c>
      <c r="F81" t="s">
        <v>573</v>
      </c>
      <c r="G81">
        <v>9</v>
      </c>
      <c r="H81">
        <v>7</v>
      </c>
      <c r="I81">
        <v>506</v>
      </c>
      <c r="M81">
        <v>26</v>
      </c>
      <c r="N81" t="s">
        <v>574</v>
      </c>
      <c r="O81" t="s">
        <v>575</v>
      </c>
      <c r="P81" s="22" t="str">
        <f>HYPERLINK(O81)</f>
        <v>https://www.scopus.com/inward/record.uri?eid=2-s2.0-84975698831&amp;doi=10.1007%2fs12517-016-2539-y&amp;partnerID=40&amp;md5=d8a154c2a720107be0270898bf278371</v>
      </c>
      <c r="Q81" t="s">
        <v>156</v>
      </c>
      <c r="R81" t="s">
        <v>48</v>
      </c>
      <c r="T81" t="s">
        <v>6</v>
      </c>
      <c r="U81" t="s">
        <v>576</v>
      </c>
      <c r="V81" s="36">
        <v>0</v>
      </c>
      <c r="W81" s="27">
        <v>0</v>
      </c>
      <c r="X81" s="27">
        <v>0</v>
      </c>
      <c r="Y81" s="27">
        <v>0</v>
      </c>
      <c r="Z81" s="27">
        <v>0</v>
      </c>
      <c r="AA81" s="27">
        <v>0</v>
      </c>
      <c r="AB81" s="27">
        <v>0</v>
      </c>
      <c r="AC81" s="27">
        <v>0</v>
      </c>
      <c r="AD81" s="27">
        <v>0</v>
      </c>
      <c r="AE81" s="27">
        <v>0</v>
      </c>
      <c r="AF81" s="27">
        <v>0</v>
      </c>
      <c r="AG81" s="27">
        <v>0</v>
      </c>
      <c r="AH81" s="27">
        <v>1</v>
      </c>
      <c r="AJ81">
        <f t="shared" si="1"/>
        <v>1</v>
      </c>
    </row>
    <row r="82" spans="1:36">
      <c r="A82" t="s">
        <v>577</v>
      </c>
      <c r="B82" t="s">
        <v>578</v>
      </c>
      <c r="C82" t="s">
        <v>579</v>
      </c>
      <c r="D82" t="s">
        <v>580</v>
      </c>
      <c r="E82">
        <v>2020</v>
      </c>
      <c r="F82" t="s">
        <v>573</v>
      </c>
      <c r="G82">
        <v>13</v>
      </c>
      <c r="H82">
        <v>23</v>
      </c>
      <c r="I82">
        <v>1233</v>
      </c>
      <c r="M82">
        <v>6</v>
      </c>
      <c r="N82" t="s">
        <v>581</v>
      </c>
      <c r="O82" t="s">
        <v>582</v>
      </c>
      <c r="P82" s="22" t="str">
        <f>HYPERLINK(O82)</f>
        <v>https://www.scopus.com/inward/record.uri?eid=2-s2.0-85096201368&amp;doi=10.1007%2fs12517-020-06215-8&amp;partnerID=40&amp;md5=5a3f769eb8ed6a6982a66eb52c3a0195</v>
      </c>
      <c r="Q82" t="s">
        <v>156</v>
      </c>
      <c r="R82" t="s">
        <v>48</v>
      </c>
      <c r="T82" t="s">
        <v>6</v>
      </c>
      <c r="U82" t="s">
        <v>583</v>
      </c>
      <c r="V82" s="36">
        <v>0</v>
      </c>
      <c r="W82" s="27">
        <v>1</v>
      </c>
      <c r="X82" s="27">
        <v>0</v>
      </c>
      <c r="Y82" s="27">
        <v>0</v>
      </c>
      <c r="Z82" s="27">
        <v>0</v>
      </c>
      <c r="AA82" s="27">
        <v>0</v>
      </c>
      <c r="AB82" s="27">
        <v>0</v>
      </c>
      <c r="AC82" s="27">
        <v>0</v>
      </c>
      <c r="AD82" s="27">
        <v>0</v>
      </c>
      <c r="AE82" s="27">
        <v>0</v>
      </c>
      <c r="AF82" s="27">
        <v>0</v>
      </c>
      <c r="AG82" s="27">
        <v>0</v>
      </c>
      <c r="AH82" s="27">
        <v>0</v>
      </c>
      <c r="AJ82">
        <f t="shared" si="1"/>
        <v>1</v>
      </c>
    </row>
    <row r="83" spans="1:36">
      <c r="A83" t="s">
        <v>584</v>
      </c>
      <c r="B83" t="s">
        <v>585</v>
      </c>
      <c r="C83" t="s">
        <v>586</v>
      </c>
      <c r="D83" t="s">
        <v>587</v>
      </c>
      <c r="E83">
        <v>2009</v>
      </c>
      <c r="F83" t="s">
        <v>588</v>
      </c>
      <c r="J83">
        <v>282</v>
      </c>
      <c r="K83">
        <v>288</v>
      </c>
      <c r="L83">
        <v>6</v>
      </c>
      <c r="M83">
        <v>0</v>
      </c>
      <c r="O83" t="s">
        <v>589</v>
      </c>
      <c r="P83" s="22" t="str">
        <f>HYPERLINK(O83)</f>
        <v>https://www.scopus.com/inward/record.uri?eid=2-s2.0-72749124455&amp;partnerID=40&amp;md5=3cf7ba2e939b2e6e7e1dd34ca3e64280</v>
      </c>
      <c r="Q83" t="s">
        <v>62</v>
      </c>
      <c r="R83" t="s">
        <v>48</v>
      </c>
      <c r="T83" t="s">
        <v>6</v>
      </c>
      <c r="U83" t="s">
        <v>590</v>
      </c>
      <c r="V83" s="36">
        <v>0</v>
      </c>
      <c r="W83" s="27">
        <v>1</v>
      </c>
      <c r="X83" s="27">
        <v>0</v>
      </c>
      <c r="Y83" s="27">
        <v>0</v>
      </c>
      <c r="Z83" s="27">
        <v>0</v>
      </c>
      <c r="AA83" s="27">
        <v>0</v>
      </c>
      <c r="AB83" s="27">
        <v>0</v>
      </c>
      <c r="AC83" s="27">
        <v>0</v>
      </c>
      <c r="AD83" s="27">
        <v>0</v>
      </c>
      <c r="AE83" s="27">
        <v>0</v>
      </c>
      <c r="AF83" s="27">
        <v>0</v>
      </c>
      <c r="AG83" s="27">
        <v>0</v>
      </c>
      <c r="AH83" s="27">
        <v>0</v>
      </c>
      <c r="AJ83">
        <f t="shared" si="1"/>
        <v>1</v>
      </c>
    </row>
    <row r="84" spans="1:36">
      <c r="A84" t="s">
        <v>591</v>
      </c>
      <c r="B84" t="s">
        <v>592</v>
      </c>
      <c r="C84" t="s">
        <v>593</v>
      </c>
      <c r="D84" t="s">
        <v>594</v>
      </c>
      <c r="E84">
        <v>2022</v>
      </c>
      <c r="F84" t="s">
        <v>595</v>
      </c>
      <c r="G84">
        <v>27</v>
      </c>
      <c r="H84">
        <v>3</v>
      </c>
      <c r="J84">
        <v>246</v>
      </c>
      <c r="K84">
        <v>258</v>
      </c>
      <c r="L84">
        <v>12</v>
      </c>
      <c r="M84">
        <v>0</v>
      </c>
      <c r="N84" t="s">
        <v>596</v>
      </c>
      <c r="O84" t="s">
        <v>597</v>
      </c>
      <c r="P84" s="22" t="str">
        <f>HYPERLINK(O84)</f>
        <v>https://www.scopus.com/inward/record.uri?eid=2-s2.0-85128397894&amp;doi=10.1080%2f10941665.2022.2061362&amp;partnerID=40&amp;md5=77b2c1acf6878b92d0d237593817cff3</v>
      </c>
      <c r="Q84" t="s">
        <v>156</v>
      </c>
      <c r="R84" t="s">
        <v>48</v>
      </c>
      <c r="T84" t="s">
        <v>6</v>
      </c>
      <c r="U84" t="s">
        <v>598</v>
      </c>
      <c r="V84" s="36">
        <v>0</v>
      </c>
      <c r="W84" s="27">
        <v>0</v>
      </c>
      <c r="X84" s="27">
        <v>0</v>
      </c>
      <c r="Y84" s="27">
        <v>0</v>
      </c>
      <c r="Z84" s="27">
        <v>1</v>
      </c>
      <c r="AA84" s="27">
        <v>0</v>
      </c>
      <c r="AB84" s="27">
        <v>0</v>
      </c>
      <c r="AC84" s="27">
        <v>0</v>
      </c>
      <c r="AD84" s="27">
        <v>0</v>
      </c>
      <c r="AE84" s="27">
        <v>0</v>
      </c>
      <c r="AF84" s="27">
        <v>0</v>
      </c>
      <c r="AG84" s="27">
        <v>0</v>
      </c>
      <c r="AH84" s="27">
        <v>0</v>
      </c>
      <c r="AJ84">
        <f t="shared" si="1"/>
        <v>1</v>
      </c>
    </row>
    <row r="85" spans="1:36">
      <c r="A85" t="s">
        <v>599</v>
      </c>
      <c r="B85" t="s">
        <v>600</v>
      </c>
      <c r="C85">
        <v>56995519800</v>
      </c>
      <c r="D85" t="s">
        <v>601</v>
      </c>
      <c r="E85">
        <v>2020</v>
      </c>
      <c r="F85" t="s">
        <v>595</v>
      </c>
      <c r="G85">
        <v>25</v>
      </c>
      <c r="H85">
        <v>5</v>
      </c>
      <c r="J85">
        <v>555</v>
      </c>
      <c r="K85">
        <v>571</v>
      </c>
      <c r="L85">
        <v>16</v>
      </c>
      <c r="M85">
        <v>6</v>
      </c>
      <c r="N85" t="s">
        <v>602</v>
      </c>
      <c r="O85" t="s">
        <v>603</v>
      </c>
      <c r="P85" s="22" t="str">
        <f>HYPERLINK(O85)</f>
        <v>https://www.scopus.com/inward/record.uri?eid=2-s2.0-85083488469&amp;doi=10.1080%2f10941665.2020.1752755&amp;partnerID=40&amp;md5=df5d651eab737ddc9e7235760f7a91b5</v>
      </c>
      <c r="Q85" t="s">
        <v>156</v>
      </c>
      <c r="R85" t="s">
        <v>48</v>
      </c>
      <c r="T85" t="s">
        <v>6</v>
      </c>
      <c r="U85" t="s">
        <v>604</v>
      </c>
      <c r="V85" s="36">
        <v>0</v>
      </c>
      <c r="W85" s="27">
        <v>0</v>
      </c>
      <c r="X85" s="27">
        <v>1</v>
      </c>
      <c r="Y85" s="27">
        <v>0</v>
      </c>
      <c r="Z85" s="27">
        <v>0</v>
      </c>
      <c r="AA85" s="27">
        <v>0</v>
      </c>
      <c r="AB85" s="27">
        <v>0</v>
      </c>
      <c r="AC85" s="27">
        <v>0</v>
      </c>
      <c r="AD85" s="27">
        <v>0</v>
      </c>
      <c r="AE85" s="27">
        <v>0</v>
      </c>
      <c r="AF85" s="27">
        <v>0</v>
      </c>
      <c r="AG85" s="27">
        <v>0</v>
      </c>
      <c r="AH85" s="27">
        <v>0</v>
      </c>
      <c r="AJ85">
        <f t="shared" si="1"/>
        <v>1</v>
      </c>
    </row>
    <row r="86" spans="1:36">
      <c r="A86" t="s">
        <v>605</v>
      </c>
      <c r="B86" t="s">
        <v>606</v>
      </c>
      <c r="C86" t="s">
        <v>607</v>
      </c>
      <c r="D86" t="s">
        <v>608</v>
      </c>
      <c r="E86">
        <v>2016</v>
      </c>
      <c r="F86" t="s">
        <v>609</v>
      </c>
      <c r="G86">
        <v>21</v>
      </c>
      <c r="H86">
        <v>4</v>
      </c>
      <c r="J86">
        <v>239</v>
      </c>
      <c r="K86">
        <v>243</v>
      </c>
      <c r="L86">
        <v>4</v>
      </c>
      <c r="M86">
        <v>6</v>
      </c>
      <c r="N86" t="s">
        <v>610</v>
      </c>
      <c r="O86" t="s">
        <v>611</v>
      </c>
      <c r="P86" s="22" t="str">
        <f>HYPERLINK(O86)</f>
        <v>https://www.scopus.com/inward/record.uri?eid=2-s2.0-85006789363&amp;doi=10.1016%2fj.apmrv.2016.08.002&amp;partnerID=40&amp;md5=95c52f33c2cab45aa55eb7930ab9a39c</v>
      </c>
      <c r="Q86" t="s">
        <v>156</v>
      </c>
      <c r="R86" t="s">
        <v>48</v>
      </c>
      <c r="S86" t="s">
        <v>467</v>
      </c>
      <c r="T86" t="s">
        <v>6</v>
      </c>
      <c r="U86" t="s">
        <v>612</v>
      </c>
      <c r="V86" s="36">
        <v>1</v>
      </c>
      <c r="W86" s="27">
        <v>0</v>
      </c>
      <c r="X86" s="27">
        <v>0</v>
      </c>
      <c r="Y86" s="27">
        <v>0</v>
      </c>
      <c r="Z86" s="27">
        <v>0</v>
      </c>
      <c r="AA86" s="27">
        <v>0</v>
      </c>
      <c r="AB86" s="27">
        <v>0</v>
      </c>
      <c r="AC86" s="27">
        <v>0</v>
      </c>
      <c r="AD86" s="27">
        <v>0</v>
      </c>
      <c r="AE86" s="27">
        <v>0</v>
      </c>
      <c r="AF86" s="27">
        <v>0</v>
      </c>
      <c r="AG86" s="27">
        <v>0</v>
      </c>
      <c r="AH86" s="27">
        <v>0</v>
      </c>
      <c r="AJ86">
        <f t="shared" si="1"/>
        <v>1</v>
      </c>
    </row>
    <row r="87" spans="1:36">
      <c r="A87" t="s">
        <v>613</v>
      </c>
      <c r="B87" t="s">
        <v>614</v>
      </c>
      <c r="C87" t="s">
        <v>615</v>
      </c>
      <c r="D87" t="s">
        <v>616</v>
      </c>
      <c r="E87">
        <v>2020</v>
      </c>
      <c r="F87" t="s">
        <v>617</v>
      </c>
      <c r="G87">
        <v>4</v>
      </c>
      <c r="H87">
        <v>1</v>
      </c>
      <c r="J87">
        <v>73</v>
      </c>
      <c r="K87">
        <v>90</v>
      </c>
      <c r="L87">
        <v>17</v>
      </c>
      <c r="M87">
        <v>4</v>
      </c>
      <c r="N87" t="s">
        <v>618</v>
      </c>
      <c r="O87" t="s">
        <v>619</v>
      </c>
      <c r="P87" s="22" t="str">
        <f>HYPERLINK(O87)</f>
        <v>https://www.scopus.com/inward/record.uri?eid=2-s2.0-85100640530&amp;doi=10.1007%2fs41685-019-00111-0&amp;partnerID=40&amp;md5=563ec9c22416bf9badd563612f388596</v>
      </c>
      <c r="Q87" t="s">
        <v>156</v>
      </c>
      <c r="R87" t="s">
        <v>48</v>
      </c>
      <c r="T87" t="s">
        <v>6</v>
      </c>
      <c r="U87" t="s">
        <v>620</v>
      </c>
      <c r="V87" s="36">
        <v>0</v>
      </c>
      <c r="W87" s="27">
        <v>1</v>
      </c>
      <c r="X87" s="27">
        <v>0</v>
      </c>
      <c r="Y87" s="27">
        <v>0</v>
      </c>
      <c r="Z87" s="27">
        <v>0</v>
      </c>
      <c r="AA87" s="27">
        <v>0</v>
      </c>
      <c r="AB87" s="27">
        <v>0</v>
      </c>
      <c r="AC87" s="27">
        <v>0</v>
      </c>
      <c r="AD87" s="27">
        <v>0</v>
      </c>
      <c r="AE87" s="27">
        <v>0</v>
      </c>
      <c r="AF87" s="27">
        <v>0</v>
      </c>
      <c r="AG87" s="27">
        <v>0</v>
      </c>
      <c r="AH87" s="27">
        <v>0</v>
      </c>
      <c r="AJ87">
        <f t="shared" si="1"/>
        <v>1</v>
      </c>
    </row>
    <row r="88" spans="1:36">
      <c r="A88" t="s">
        <v>621</v>
      </c>
      <c r="B88" t="s">
        <v>622</v>
      </c>
      <c r="C88" t="s">
        <v>623</v>
      </c>
      <c r="D88" t="s">
        <v>624</v>
      </c>
      <c r="E88">
        <v>2017</v>
      </c>
      <c r="F88" t="s">
        <v>625</v>
      </c>
      <c r="G88">
        <v>31</v>
      </c>
      <c r="H88">
        <v>3</v>
      </c>
      <c r="J88">
        <v>299</v>
      </c>
      <c r="K88">
        <v>323</v>
      </c>
      <c r="L88">
        <v>24</v>
      </c>
      <c r="M88">
        <v>12</v>
      </c>
      <c r="N88" t="s">
        <v>626</v>
      </c>
      <c r="O88" t="s">
        <v>627</v>
      </c>
      <c r="P88" s="22" t="str">
        <f>HYPERLINK(O88)</f>
        <v>https://www.scopus.com/inward/record.uri?eid=2-s2.0-85029652979&amp;doi=10.1111%2fasej.12125&amp;partnerID=40&amp;md5=54344be6528b2cf65f20dc8b65d4f2a2</v>
      </c>
      <c r="Q88" t="s">
        <v>156</v>
      </c>
      <c r="R88" t="s">
        <v>48</v>
      </c>
      <c r="T88" t="s">
        <v>6</v>
      </c>
      <c r="U88" t="s">
        <v>628</v>
      </c>
      <c r="V88" s="36">
        <v>1</v>
      </c>
      <c r="W88" s="27">
        <v>0</v>
      </c>
      <c r="X88" s="27">
        <v>0</v>
      </c>
      <c r="Y88" s="27">
        <v>0</v>
      </c>
      <c r="Z88" s="27">
        <v>0</v>
      </c>
      <c r="AA88" s="27">
        <v>0</v>
      </c>
      <c r="AB88" s="27">
        <v>0</v>
      </c>
      <c r="AC88" s="27">
        <v>0</v>
      </c>
      <c r="AD88" s="27">
        <v>0</v>
      </c>
      <c r="AE88" s="27">
        <v>0</v>
      </c>
      <c r="AF88" s="27">
        <v>0</v>
      </c>
      <c r="AG88" s="27">
        <v>0</v>
      </c>
      <c r="AH88" s="27">
        <v>0</v>
      </c>
      <c r="AJ88">
        <f t="shared" si="1"/>
        <v>1</v>
      </c>
    </row>
    <row r="89" spans="1:36">
      <c r="A89" t="s">
        <v>629</v>
      </c>
      <c r="B89" t="s">
        <v>630</v>
      </c>
      <c r="C89" t="s">
        <v>631</v>
      </c>
      <c r="D89" t="s">
        <v>632</v>
      </c>
      <c r="E89">
        <v>2013</v>
      </c>
      <c r="F89" t="s">
        <v>633</v>
      </c>
      <c r="G89">
        <v>9783642391682</v>
      </c>
      <c r="J89">
        <v>439</v>
      </c>
      <c r="K89">
        <v>458</v>
      </c>
      <c r="L89">
        <v>19</v>
      </c>
      <c r="M89">
        <v>13</v>
      </c>
      <c r="N89" t="s">
        <v>634</v>
      </c>
      <c r="O89" t="s">
        <v>635</v>
      </c>
      <c r="P89" s="22" t="str">
        <f>HYPERLINK(O89)</f>
        <v>https://www.scopus.com/inward/record.uri?eid=2-s2.0-84930424705&amp;doi=10.1007%2f978-3-642-39244-3_18&amp;partnerID=40&amp;md5=4ae65f6f35818fc3b41155328ccfdf1f</v>
      </c>
      <c r="Q89" t="s">
        <v>216</v>
      </c>
      <c r="R89" t="s">
        <v>48</v>
      </c>
      <c r="T89" t="s">
        <v>6</v>
      </c>
      <c r="U89" t="s">
        <v>636</v>
      </c>
      <c r="V89" s="36">
        <v>0</v>
      </c>
      <c r="W89" s="27">
        <v>0</v>
      </c>
      <c r="X89" s="27">
        <v>0</v>
      </c>
      <c r="Y89" s="27">
        <v>0</v>
      </c>
      <c r="Z89" s="27">
        <v>0</v>
      </c>
      <c r="AA89" s="27">
        <v>0</v>
      </c>
      <c r="AB89" s="27">
        <v>0</v>
      </c>
      <c r="AC89" s="27">
        <v>0</v>
      </c>
      <c r="AD89" s="27">
        <v>0</v>
      </c>
      <c r="AE89" s="27">
        <v>0</v>
      </c>
      <c r="AF89" s="27">
        <v>0</v>
      </c>
      <c r="AG89" s="27">
        <v>0</v>
      </c>
      <c r="AH89" s="27">
        <v>1</v>
      </c>
      <c r="AJ89">
        <f t="shared" si="1"/>
        <v>1</v>
      </c>
    </row>
    <row r="90" spans="1:36">
      <c r="A90" t="s">
        <v>637</v>
      </c>
      <c r="B90" t="s">
        <v>638</v>
      </c>
      <c r="C90" t="s">
        <v>639</v>
      </c>
      <c r="D90" t="s">
        <v>640</v>
      </c>
      <c r="E90">
        <v>2021</v>
      </c>
      <c r="F90" t="s">
        <v>641</v>
      </c>
      <c r="G90">
        <v>12</v>
      </c>
      <c r="H90">
        <v>8</v>
      </c>
      <c r="I90">
        <v>993</v>
      </c>
      <c r="M90">
        <v>0</v>
      </c>
      <c r="N90" t="s">
        <v>642</v>
      </c>
      <c r="O90" t="s">
        <v>643</v>
      </c>
      <c r="P90" s="22" t="str">
        <f>HYPERLINK(O90)</f>
        <v>https://www.scopus.com/inward/record.uri?eid=2-s2.0-85112452432&amp;doi=10.3390%2fatmos12080993&amp;partnerID=40&amp;md5=8018d5c6b4462bbeb9e25768ffeb6939</v>
      </c>
      <c r="Q90" t="s">
        <v>156</v>
      </c>
      <c r="R90" t="s">
        <v>48</v>
      </c>
      <c r="S90" t="s">
        <v>225</v>
      </c>
      <c r="T90" t="s">
        <v>6</v>
      </c>
      <c r="U90" t="s">
        <v>644</v>
      </c>
      <c r="V90" s="36">
        <v>0</v>
      </c>
      <c r="W90" s="27">
        <v>0</v>
      </c>
      <c r="X90" s="27">
        <v>0</v>
      </c>
      <c r="Y90" s="27">
        <v>0</v>
      </c>
      <c r="Z90" s="27">
        <v>0</v>
      </c>
      <c r="AA90" s="27">
        <v>0</v>
      </c>
      <c r="AB90" s="27">
        <v>0</v>
      </c>
      <c r="AC90" s="27">
        <v>0</v>
      </c>
      <c r="AD90" s="27">
        <v>0</v>
      </c>
      <c r="AE90" s="27">
        <v>0</v>
      </c>
      <c r="AF90" s="27">
        <v>0</v>
      </c>
      <c r="AG90" s="27">
        <v>0</v>
      </c>
      <c r="AH90" s="27">
        <v>1</v>
      </c>
      <c r="AJ90">
        <f t="shared" si="1"/>
        <v>1</v>
      </c>
    </row>
    <row r="91" spans="1:36">
      <c r="A91" t="s">
        <v>645</v>
      </c>
      <c r="B91" t="s">
        <v>646</v>
      </c>
      <c r="C91" t="s">
        <v>647</v>
      </c>
      <c r="D91" t="s">
        <v>648</v>
      </c>
      <c r="E91">
        <v>2015</v>
      </c>
      <c r="F91" t="s">
        <v>649</v>
      </c>
      <c r="J91">
        <v>96</v>
      </c>
      <c r="K91">
        <v>101</v>
      </c>
      <c r="L91">
        <v>5</v>
      </c>
      <c r="M91">
        <v>11</v>
      </c>
      <c r="O91" t="s">
        <v>650</v>
      </c>
      <c r="P91" s="22" t="str">
        <f>HYPERLINK(O91)</f>
        <v>https://www.scopus.com/inward/record.uri?eid=2-s2.0-84973550325&amp;partnerID=40&amp;md5=67110c75f4ec8c3fd2a1d688ae14be1c</v>
      </c>
      <c r="Q91" t="s">
        <v>62</v>
      </c>
      <c r="R91" t="s">
        <v>48</v>
      </c>
      <c r="T91" t="s">
        <v>6</v>
      </c>
      <c r="U91" t="s">
        <v>651</v>
      </c>
      <c r="V91" s="36">
        <v>0</v>
      </c>
      <c r="W91" s="27">
        <v>0</v>
      </c>
      <c r="X91" s="27">
        <v>0</v>
      </c>
      <c r="Y91" s="27">
        <v>0</v>
      </c>
      <c r="Z91" s="27">
        <v>0</v>
      </c>
      <c r="AA91" s="27">
        <v>0</v>
      </c>
      <c r="AB91" s="27">
        <v>0</v>
      </c>
      <c r="AC91" s="27">
        <v>0</v>
      </c>
      <c r="AD91" s="27">
        <v>0</v>
      </c>
      <c r="AE91" s="27">
        <v>0</v>
      </c>
      <c r="AF91" s="27">
        <v>0</v>
      </c>
      <c r="AG91" s="27">
        <v>0</v>
      </c>
      <c r="AH91" s="27">
        <v>1</v>
      </c>
      <c r="AJ91">
        <f t="shared" si="1"/>
        <v>1</v>
      </c>
    </row>
    <row r="92" spans="1:36">
      <c r="A92" t="s">
        <v>652</v>
      </c>
      <c r="B92" t="s">
        <v>653</v>
      </c>
      <c r="C92" t="s">
        <v>654</v>
      </c>
      <c r="D92" t="s">
        <v>655</v>
      </c>
      <c r="E92">
        <v>2002</v>
      </c>
      <c r="F92" t="s">
        <v>656</v>
      </c>
      <c r="G92">
        <v>73</v>
      </c>
      <c r="H92">
        <v>6</v>
      </c>
      <c r="J92">
        <v>601</v>
      </c>
      <c r="K92">
        <v>606</v>
      </c>
      <c r="L92">
        <v>5</v>
      </c>
      <c r="M92">
        <v>22</v>
      </c>
      <c r="O92" t="s">
        <v>657</v>
      </c>
      <c r="P92" s="22" t="str">
        <f>HYPERLINK(O92)</f>
        <v>https://www.scopus.com/inward/record.uri?eid=2-s2.0-0036000355&amp;partnerID=40&amp;md5=7766d346206fd10db99d699b85a83654</v>
      </c>
      <c r="Q92" t="s">
        <v>156</v>
      </c>
      <c r="R92" t="s">
        <v>48</v>
      </c>
      <c r="T92" t="s">
        <v>6</v>
      </c>
      <c r="U92" t="s">
        <v>658</v>
      </c>
      <c r="V92" s="36">
        <v>0</v>
      </c>
      <c r="W92" s="27">
        <v>1</v>
      </c>
      <c r="X92" s="27">
        <v>0</v>
      </c>
      <c r="Y92" s="27">
        <v>0</v>
      </c>
      <c r="Z92" s="27">
        <v>0</v>
      </c>
      <c r="AA92" s="27">
        <v>0</v>
      </c>
      <c r="AB92" s="27">
        <v>0</v>
      </c>
      <c r="AC92" s="27">
        <v>0</v>
      </c>
      <c r="AD92" s="27">
        <v>0</v>
      </c>
      <c r="AE92" s="27">
        <v>0</v>
      </c>
      <c r="AF92" s="27">
        <v>0</v>
      </c>
      <c r="AG92" s="27">
        <v>0</v>
      </c>
      <c r="AH92" s="27">
        <v>0</v>
      </c>
      <c r="AJ92">
        <f t="shared" si="1"/>
        <v>1</v>
      </c>
    </row>
    <row r="93" spans="1:36">
      <c r="A93" t="s">
        <v>659</v>
      </c>
      <c r="B93" t="s">
        <v>660</v>
      </c>
      <c r="C93" t="s">
        <v>661</v>
      </c>
      <c r="D93" t="s">
        <v>662</v>
      </c>
      <c r="E93">
        <v>2005</v>
      </c>
      <c r="F93" t="s">
        <v>656</v>
      </c>
      <c r="G93">
        <v>76</v>
      </c>
      <c r="H93">
        <v>9</v>
      </c>
      <c r="J93">
        <v>877</v>
      </c>
      <c r="K93">
        <v>895</v>
      </c>
      <c r="L93">
        <v>18</v>
      </c>
      <c r="M93">
        <v>54</v>
      </c>
      <c r="O93" t="s">
        <v>663</v>
      </c>
      <c r="P93" s="22" t="str">
        <f>HYPERLINK(O93)</f>
        <v>https://www.scopus.com/inward/record.uri?eid=2-s2.0-24644501157&amp;partnerID=40&amp;md5=4ce51aa5ea44b1d64f5088b7d5e9cdc9</v>
      </c>
      <c r="Q93" t="s">
        <v>184</v>
      </c>
      <c r="R93" t="s">
        <v>48</v>
      </c>
      <c r="T93" t="s">
        <v>6</v>
      </c>
      <c r="U93" t="s">
        <v>664</v>
      </c>
      <c r="V93" s="36">
        <v>0</v>
      </c>
      <c r="W93" s="27">
        <v>1</v>
      </c>
      <c r="X93" s="27">
        <v>0</v>
      </c>
      <c r="Y93" s="27">
        <v>0</v>
      </c>
      <c r="Z93" s="27">
        <v>0</v>
      </c>
      <c r="AA93" s="27">
        <v>0</v>
      </c>
      <c r="AB93" s="27">
        <v>0</v>
      </c>
      <c r="AC93" s="27">
        <v>0</v>
      </c>
      <c r="AD93" s="27">
        <v>0</v>
      </c>
      <c r="AE93" s="27">
        <v>0</v>
      </c>
      <c r="AF93" s="27">
        <v>0</v>
      </c>
      <c r="AG93" s="27">
        <v>0</v>
      </c>
      <c r="AH93" s="27">
        <v>0</v>
      </c>
      <c r="AJ93">
        <f t="shared" si="1"/>
        <v>1</v>
      </c>
    </row>
    <row r="94" spans="1:36">
      <c r="A94" t="s">
        <v>665</v>
      </c>
      <c r="B94" t="s">
        <v>666</v>
      </c>
      <c r="C94">
        <v>7003269585</v>
      </c>
      <c r="D94" t="s">
        <v>667</v>
      </c>
      <c r="E94">
        <v>2005</v>
      </c>
      <c r="F94" t="s">
        <v>656</v>
      </c>
      <c r="G94">
        <v>76</v>
      </c>
      <c r="H94" t="s">
        <v>668</v>
      </c>
      <c r="J94" t="s">
        <v>669</v>
      </c>
      <c r="K94" t="s">
        <v>670</v>
      </c>
      <c r="L94">
        <v>7</v>
      </c>
      <c r="M94">
        <v>12</v>
      </c>
      <c r="O94" t="s">
        <v>671</v>
      </c>
      <c r="P94" s="22" t="str">
        <f>HYPERLINK(O94)</f>
        <v>https://www.scopus.com/inward/record.uri?eid=2-s2.0-20144376584&amp;partnerID=40&amp;md5=ad4b72a06d31b732101209a24b1560f9</v>
      </c>
      <c r="Q94" t="s">
        <v>62</v>
      </c>
      <c r="R94" t="s">
        <v>48</v>
      </c>
      <c r="T94" t="s">
        <v>6</v>
      </c>
      <c r="U94" t="s">
        <v>672</v>
      </c>
      <c r="V94" s="36">
        <v>0</v>
      </c>
      <c r="W94" s="27">
        <v>1</v>
      </c>
      <c r="X94" s="27">
        <v>0</v>
      </c>
      <c r="Y94" s="27">
        <v>0</v>
      </c>
      <c r="Z94" s="27">
        <v>0</v>
      </c>
      <c r="AA94" s="27">
        <v>0</v>
      </c>
      <c r="AB94" s="27">
        <v>0</v>
      </c>
      <c r="AC94" s="27">
        <v>0</v>
      </c>
      <c r="AD94" s="27">
        <v>0</v>
      </c>
      <c r="AE94" s="27">
        <v>0</v>
      </c>
      <c r="AF94" s="27">
        <v>0</v>
      </c>
      <c r="AG94" s="27">
        <v>0</v>
      </c>
      <c r="AH94" s="27">
        <v>0</v>
      </c>
      <c r="AJ94">
        <f t="shared" si="1"/>
        <v>1</v>
      </c>
    </row>
    <row r="95" spans="1:36">
      <c r="A95" t="s">
        <v>673</v>
      </c>
      <c r="B95" t="s">
        <v>674</v>
      </c>
      <c r="C95">
        <v>23973685200</v>
      </c>
      <c r="D95" t="s">
        <v>675</v>
      </c>
      <c r="E95">
        <v>2011</v>
      </c>
      <c r="F95" t="s">
        <v>676</v>
      </c>
      <c r="G95">
        <v>173</v>
      </c>
      <c r="H95">
        <v>26</v>
      </c>
      <c r="J95">
        <v>65</v>
      </c>
      <c r="M95">
        <v>0</v>
      </c>
      <c r="O95" t="s">
        <v>677</v>
      </c>
      <c r="P95" s="22" t="str">
        <f>HYPERLINK(O95)</f>
        <v>https://www.scopus.com/inward/record.uri?eid=2-s2.0-84903403527&amp;partnerID=40&amp;md5=c3158762e57fd0038d23d0c79839e0c4</v>
      </c>
      <c r="Q95" t="s">
        <v>156</v>
      </c>
      <c r="R95" t="s">
        <v>48</v>
      </c>
      <c r="T95" t="s">
        <v>6</v>
      </c>
      <c r="U95" t="s">
        <v>678</v>
      </c>
      <c r="V95" s="36">
        <v>0</v>
      </c>
      <c r="W95" s="27">
        <v>1</v>
      </c>
      <c r="X95" s="27">
        <v>0</v>
      </c>
      <c r="Y95" s="27">
        <v>0</v>
      </c>
      <c r="Z95" s="27">
        <v>0</v>
      </c>
      <c r="AA95" s="27">
        <v>0</v>
      </c>
      <c r="AB95" s="27">
        <v>0</v>
      </c>
      <c r="AC95" s="27">
        <v>0</v>
      </c>
      <c r="AD95" s="27">
        <v>0</v>
      </c>
      <c r="AE95" s="27">
        <v>0</v>
      </c>
      <c r="AF95" s="27">
        <v>0</v>
      </c>
      <c r="AG95" s="27">
        <v>0</v>
      </c>
      <c r="AH95" s="27">
        <v>0</v>
      </c>
      <c r="AJ95">
        <f t="shared" si="1"/>
        <v>1</v>
      </c>
    </row>
    <row r="96" spans="1:36">
      <c r="A96" t="s">
        <v>679</v>
      </c>
      <c r="B96" t="s">
        <v>680</v>
      </c>
      <c r="C96" t="s">
        <v>681</v>
      </c>
      <c r="D96" t="s">
        <v>682</v>
      </c>
      <c r="E96">
        <v>2019</v>
      </c>
      <c r="F96" t="s">
        <v>683</v>
      </c>
      <c r="G96">
        <v>18</v>
      </c>
      <c r="H96">
        <v>1</v>
      </c>
      <c r="J96">
        <v>73</v>
      </c>
      <c r="K96">
        <v>77</v>
      </c>
      <c r="L96">
        <v>4</v>
      </c>
      <c r="M96">
        <v>2</v>
      </c>
      <c r="N96" t="s">
        <v>684</v>
      </c>
      <c r="O96" t="s">
        <v>685</v>
      </c>
      <c r="P96" s="22" t="str">
        <f>HYPERLINK(O96)</f>
        <v>https://www.scopus.com/inward/record.uri?eid=2-s2.0-85060243710&amp;doi=10.3329%2fbjms.v18i1.39552&amp;partnerID=40&amp;md5=39cd724e0638b83b946cccdebad9e3fb</v>
      </c>
      <c r="Q96" t="s">
        <v>156</v>
      </c>
      <c r="R96" t="s">
        <v>48</v>
      </c>
      <c r="S96" t="s">
        <v>185</v>
      </c>
      <c r="T96" t="s">
        <v>6</v>
      </c>
      <c r="U96" t="s">
        <v>686</v>
      </c>
      <c r="V96" s="36">
        <v>0</v>
      </c>
      <c r="W96" s="27">
        <v>0</v>
      </c>
      <c r="X96" s="27">
        <v>0</v>
      </c>
      <c r="Y96" s="27">
        <v>0</v>
      </c>
      <c r="Z96" s="27">
        <v>0</v>
      </c>
      <c r="AA96" s="27">
        <v>0</v>
      </c>
      <c r="AB96" s="27">
        <v>0</v>
      </c>
      <c r="AC96" s="27">
        <v>0</v>
      </c>
      <c r="AD96" s="27">
        <v>0</v>
      </c>
      <c r="AE96" s="27">
        <v>0</v>
      </c>
      <c r="AF96" s="27">
        <v>0</v>
      </c>
      <c r="AG96" s="27">
        <v>0</v>
      </c>
      <c r="AH96" s="27">
        <v>1</v>
      </c>
      <c r="AJ96">
        <f t="shared" si="1"/>
        <v>1</v>
      </c>
    </row>
    <row r="97" spans="1:36">
      <c r="A97" t="s">
        <v>687</v>
      </c>
      <c r="B97" t="s">
        <v>688</v>
      </c>
      <c r="C97" t="s">
        <v>689</v>
      </c>
      <c r="D97" t="s">
        <v>690</v>
      </c>
      <c r="E97">
        <v>2024</v>
      </c>
      <c r="F97" t="s">
        <v>691</v>
      </c>
      <c r="G97">
        <v>8</v>
      </c>
      <c r="I97" t="s">
        <v>692</v>
      </c>
      <c r="M97">
        <v>0</v>
      </c>
      <c r="N97" t="s">
        <v>693</v>
      </c>
      <c r="O97" t="s">
        <v>694</v>
      </c>
      <c r="P97" s="22" t="str">
        <f>HYPERLINK(O97)</f>
        <v>https://www.scopus.com/inward/record.uri?eid=2-s2.0-85213991479&amp;doi=10.1136%2fbmjgh-2023-014431&amp;partnerID=40&amp;md5=9a25c6ed0680f3c3830d65ca9cfd74ae</v>
      </c>
      <c r="Q97" t="s">
        <v>184</v>
      </c>
      <c r="R97" t="s">
        <v>48</v>
      </c>
      <c r="S97" t="s">
        <v>185</v>
      </c>
      <c r="T97" t="s">
        <v>6</v>
      </c>
      <c r="U97" t="s">
        <v>695</v>
      </c>
      <c r="V97" s="36">
        <v>0</v>
      </c>
      <c r="W97" s="27">
        <v>0</v>
      </c>
      <c r="X97" s="27">
        <v>0</v>
      </c>
      <c r="Y97" s="27">
        <v>0</v>
      </c>
      <c r="Z97" s="27">
        <v>0</v>
      </c>
      <c r="AA97" s="27">
        <v>0</v>
      </c>
      <c r="AB97" s="27">
        <v>0</v>
      </c>
      <c r="AC97" s="27">
        <v>0</v>
      </c>
      <c r="AD97" s="27">
        <v>0</v>
      </c>
      <c r="AE97" s="27">
        <v>0</v>
      </c>
      <c r="AF97" s="27">
        <v>0</v>
      </c>
      <c r="AG97" s="27">
        <v>0</v>
      </c>
      <c r="AH97" s="27">
        <v>1</v>
      </c>
      <c r="AJ97">
        <f t="shared" si="1"/>
        <v>1</v>
      </c>
    </row>
    <row r="98" spans="1:36">
      <c r="A98" t="s">
        <v>696</v>
      </c>
      <c r="B98" t="s">
        <v>697</v>
      </c>
      <c r="C98" t="s">
        <v>698</v>
      </c>
      <c r="D98" t="s">
        <v>699</v>
      </c>
      <c r="E98">
        <v>2024</v>
      </c>
      <c r="F98" t="s">
        <v>700</v>
      </c>
      <c r="G98">
        <v>14</v>
      </c>
      <c r="H98">
        <v>7</v>
      </c>
      <c r="I98">
        <v>2144</v>
      </c>
      <c r="M98">
        <v>0</v>
      </c>
      <c r="N98" t="s">
        <v>701</v>
      </c>
      <c r="O98" t="s">
        <v>702</v>
      </c>
      <c r="P98" s="22" t="str">
        <f>HYPERLINK(O98)</f>
        <v>https://www.scopus.com/inward/record.uri?eid=2-s2.0-85199581668&amp;doi=10.3390%2fbuildings14072144&amp;partnerID=40&amp;md5=11537b024196a2e0a6327b348310a0c4</v>
      </c>
      <c r="Q98" t="s">
        <v>156</v>
      </c>
      <c r="R98" t="s">
        <v>48</v>
      </c>
      <c r="S98" t="s">
        <v>185</v>
      </c>
      <c r="T98" t="s">
        <v>6</v>
      </c>
      <c r="U98" t="s">
        <v>703</v>
      </c>
      <c r="V98" s="36">
        <v>0</v>
      </c>
      <c r="W98" s="27">
        <v>1</v>
      </c>
      <c r="X98" s="27">
        <v>0</v>
      </c>
      <c r="Y98" s="27">
        <v>0</v>
      </c>
      <c r="Z98" s="27">
        <v>0</v>
      </c>
      <c r="AA98" s="27">
        <v>0</v>
      </c>
      <c r="AB98" s="27">
        <v>0</v>
      </c>
      <c r="AC98" s="27">
        <v>0</v>
      </c>
      <c r="AD98" s="27">
        <v>0</v>
      </c>
      <c r="AE98" s="27">
        <v>0</v>
      </c>
      <c r="AF98" s="27">
        <v>0</v>
      </c>
      <c r="AG98" s="27">
        <v>0</v>
      </c>
      <c r="AH98" s="27">
        <v>0</v>
      </c>
      <c r="AJ98">
        <f t="shared" si="1"/>
        <v>1</v>
      </c>
    </row>
    <row r="99" spans="1:36">
      <c r="A99" t="s">
        <v>704</v>
      </c>
      <c r="B99" t="s">
        <v>705</v>
      </c>
      <c r="C99" t="s">
        <v>706</v>
      </c>
      <c r="D99" t="s">
        <v>707</v>
      </c>
      <c r="E99">
        <v>2022</v>
      </c>
      <c r="F99" t="s">
        <v>708</v>
      </c>
      <c r="G99">
        <v>6</v>
      </c>
      <c r="H99">
        <v>1</v>
      </c>
      <c r="I99">
        <v>24</v>
      </c>
      <c r="M99">
        <v>15</v>
      </c>
      <c r="N99" t="s">
        <v>709</v>
      </c>
      <c r="O99" t="s">
        <v>710</v>
      </c>
      <c r="P99" s="22" t="str">
        <f>HYPERLINK(O99)</f>
        <v>https://www.scopus.com/inward/record.uri?eid=2-s2.0-85139749268&amp;doi=10.1186%2fs43238-022-00073-x&amp;partnerID=40&amp;md5=caf47064851d1d7332bb2cc07e0ebd89</v>
      </c>
      <c r="Q99" t="s">
        <v>156</v>
      </c>
      <c r="R99" t="s">
        <v>48</v>
      </c>
      <c r="S99" t="s">
        <v>185</v>
      </c>
      <c r="T99" t="s">
        <v>6</v>
      </c>
      <c r="U99" t="s">
        <v>711</v>
      </c>
      <c r="V99" s="36">
        <v>0</v>
      </c>
      <c r="W99" s="27">
        <v>1</v>
      </c>
      <c r="X99" s="27">
        <v>0</v>
      </c>
      <c r="Y99" s="27">
        <v>0</v>
      </c>
      <c r="Z99" s="27">
        <v>0</v>
      </c>
      <c r="AA99" s="27">
        <v>0</v>
      </c>
      <c r="AB99" s="27">
        <v>0</v>
      </c>
      <c r="AC99" s="27">
        <v>0</v>
      </c>
      <c r="AD99" s="27">
        <v>0</v>
      </c>
      <c r="AE99" s="27">
        <v>0</v>
      </c>
      <c r="AF99" s="27">
        <v>0</v>
      </c>
      <c r="AG99" s="27">
        <v>0</v>
      </c>
      <c r="AH99" s="27">
        <v>0</v>
      </c>
      <c r="AJ99">
        <f t="shared" si="1"/>
        <v>1</v>
      </c>
    </row>
    <row r="100" spans="1:36">
      <c r="A100" t="s">
        <v>712</v>
      </c>
      <c r="B100" t="s">
        <v>713</v>
      </c>
      <c r="C100" t="s">
        <v>714</v>
      </c>
      <c r="D100" t="s">
        <v>715</v>
      </c>
      <c r="E100">
        <v>1998</v>
      </c>
      <c r="F100" t="s">
        <v>716</v>
      </c>
      <c r="G100">
        <v>59</v>
      </c>
      <c r="H100">
        <v>5</v>
      </c>
      <c r="J100">
        <v>345</v>
      </c>
      <c r="K100">
        <v>355</v>
      </c>
      <c r="L100">
        <v>10</v>
      </c>
      <c r="M100">
        <v>130</v>
      </c>
      <c r="N100" t="s">
        <v>717</v>
      </c>
      <c r="O100" t="s">
        <v>718</v>
      </c>
      <c r="P100" s="22" t="str">
        <f>HYPERLINK(O100)</f>
        <v>https://www.scopus.com/inward/record.uri?eid=2-s2.0-0031817430&amp;doi=10.1007%2fs004450050196&amp;partnerID=40&amp;md5=8ee3e44fe6c5530423ccae59ff45fc8d</v>
      </c>
      <c r="Q100" t="s">
        <v>156</v>
      </c>
      <c r="R100" t="s">
        <v>48</v>
      </c>
      <c r="T100" t="s">
        <v>6</v>
      </c>
      <c r="U100" t="s">
        <v>719</v>
      </c>
      <c r="V100" s="36">
        <v>0</v>
      </c>
      <c r="W100" s="27">
        <v>1</v>
      </c>
      <c r="X100" s="27">
        <v>0</v>
      </c>
      <c r="Y100" s="27">
        <v>0</v>
      </c>
      <c r="Z100" s="27">
        <v>0</v>
      </c>
      <c r="AA100" s="27">
        <v>0</v>
      </c>
      <c r="AB100" s="27">
        <v>0</v>
      </c>
      <c r="AC100" s="27">
        <v>0</v>
      </c>
      <c r="AD100" s="27">
        <v>0</v>
      </c>
      <c r="AE100" s="27">
        <v>0</v>
      </c>
      <c r="AF100" s="27">
        <v>0</v>
      </c>
      <c r="AG100" s="27">
        <v>0</v>
      </c>
      <c r="AH100" s="27">
        <v>0</v>
      </c>
      <c r="AJ100">
        <f t="shared" si="1"/>
        <v>1</v>
      </c>
    </row>
    <row r="101" spans="1:36">
      <c r="A101" t="s">
        <v>720</v>
      </c>
      <c r="B101" t="s">
        <v>721</v>
      </c>
      <c r="C101">
        <v>8963689700</v>
      </c>
      <c r="D101" t="s">
        <v>722</v>
      </c>
      <c r="E101">
        <v>2002</v>
      </c>
      <c r="F101" t="s">
        <v>723</v>
      </c>
      <c r="G101">
        <v>46</v>
      </c>
      <c r="H101">
        <v>4</v>
      </c>
      <c r="J101">
        <v>310</v>
      </c>
      <c r="K101">
        <v>324</v>
      </c>
      <c r="L101">
        <v>14</v>
      </c>
      <c r="M101">
        <v>31</v>
      </c>
      <c r="N101" t="s">
        <v>724</v>
      </c>
      <c r="O101" t="s">
        <v>725</v>
      </c>
      <c r="P101" s="22" t="str">
        <f>HYPERLINK(O101)</f>
        <v>https://www.scopus.com/inward/record.uri?eid=2-s2.0-0038346081&amp;doi=10.1111%2fj.1541-0064.2002.tb00753.x&amp;partnerID=40&amp;md5=f4b3e32bebe5db342ad296cda0f53a50</v>
      </c>
      <c r="Q101" t="s">
        <v>156</v>
      </c>
      <c r="R101" t="s">
        <v>48</v>
      </c>
      <c r="T101" t="s">
        <v>6</v>
      </c>
      <c r="U101" t="s">
        <v>726</v>
      </c>
      <c r="V101" s="36">
        <v>0</v>
      </c>
      <c r="W101" s="27">
        <v>0</v>
      </c>
      <c r="X101" s="27">
        <v>0</v>
      </c>
      <c r="Y101" s="27">
        <v>0</v>
      </c>
      <c r="Z101" s="27">
        <v>1</v>
      </c>
      <c r="AA101" s="27">
        <v>0</v>
      </c>
      <c r="AB101" s="27">
        <v>0</v>
      </c>
      <c r="AC101" s="27">
        <v>0</v>
      </c>
      <c r="AD101" s="27">
        <v>0</v>
      </c>
      <c r="AE101" s="27">
        <v>0</v>
      </c>
      <c r="AF101" s="27">
        <v>0</v>
      </c>
      <c r="AG101" s="27">
        <v>0</v>
      </c>
      <c r="AH101" s="27">
        <v>0</v>
      </c>
      <c r="AJ101">
        <f t="shared" si="1"/>
        <v>1</v>
      </c>
    </row>
    <row r="102" spans="1:36">
      <c r="A102" t="s">
        <v>727</v>
      </c>
      <c r="B102" t="s">
        <v>728</v>
      </c>
      <c r="C102" t="s">
        <v>729</v>
      </c>
      <c r="D102" t="s">
        <v>730</v>
      </c>
      <c r="E102">
        <v>2024</v>
      </c>
      <c r="F102" t="s">
        <v>731</v>
      </c>
      <c r="G102">
        <v>17</v>
      </c>
      <c r="I102">
        <v>101229</v>
      </c>
      <c r="M102">
        <v>0</v>
      </c>
      <c r="N102" t="s">
        <v>732</v>
      </c>
      <c r="O102" t="s">
        <v>733</v>
      </c>
      <c r="P102" s="22" t="str">
        <f>HYPERLINK(O102)</f>
        <v>https://www.scopus.com/inward/record.uri?eid=2-s2.0-85194483501&amp;doi=10.1016%2fj.cstp.2024.101229&amp;partnerID=40&amp;md5=434adc9157276a59eeac867b78643c56</v>
      </c>
      <c r="Q102" t="s">
        <v>156</v>
      </c>
      <c r="R102" t="s">
        <v>48</v>
      </c>
      <c r="S102" t="s">
        <v>172</v>
      </c>
      <c r="T102" t="s">
        <v>6</v>
      </c>
      <c r="U102" t="s">
        <v>734</v>
      </c>
      <c r="V102" s="36">
        <v>0</v>
      </c>
      <c r="W102" s="27">
        <v>1</v>
      </c>
      <c r="X102" s="27">
        <v>0</v>
      </c>
      <c r="Y102" s="27">
        <v>0</v>
      </c>
      <c r="Z102" s="27">
        <v>0</v>
      </c>
      <c r="AA102" s="27">
        <v>0</v>
      </c>
      <c r="AB102" s="27">
        <v>0</v>
      </c>
      <c r="AC102" s="27">
        <v>0</v>
      </c>
      <c r="AD102" s="27">
        <v>0</v>
      </c>
      <c r="AE102" s="27">
        <v>0</v>
      </c>
      <c r="AF102" s="27">
        <v>0</v>
      </c>
      <c r="AG102" s="27">
        <v>0</v>
      </c>
      <c r="AH102" s="27">
        <v>0</v>
      </c>
      <c r="AJ102">
        <f t="shared" si="1"/>
        <v>1</v>
      </c>
    </row>
    <row r="103" spans="1:36">
      <c r="A103" t="s">
        <v>735</v>
      </c>
      <c r="B103" t="s">
        <v>736</v>
      </c>
      <c r="C103" t="s">
        <v>737</v>
      </c>
      <c r="D103" t="s">
        <v>738</v>
      </c>
      <c r="E103">
        <v>2010</v>
      </c>
      <c r="F103" t="s">
        <v>739</v>
      </c>
      <c r="J103">
        <v>129</v>
      </c>
      <c r="K103">
        <v>137</v>
      </c>
      <c r="L103">
        <v>8</v>
      </c>
      <c r="M103">
        <v>3</v>
      </c>
      <c r="O103" t="s">
        <v>740</v>
      </c>
      <c r="P103" s="22" t="str">
        <f>HYPERLINK(O103)</f>
        <v>https://www.scopus.com/inward/record.uri?eid=2-s2.0-84964789103&amp;partnerID=40&amp;md5=b70522056f4981dd257ab2b6ccefc472</v>
      </c>
      <c r="Q103" t="s">
        <v>62</v>
      </c>
      <c r="R103" t="s">
        <v>48</v>
      </c>
      <c r="T103" t="s">
        <v>6</v>
      </c>
      <c r="U103" t="s">
        <v>741</v>
      </c>
      <c r="V103" s="36">
        <v>0</v>
      </c>
      <c r="W103" s="27">
        <v>0</v>
      </c>
      <c r="X103" s="27">
        <v>0</v>
      </c>
      <c r="Y103" s="27">
        <v>0</v>
      </c>
      <c r="Z103" s="27">
        <v>0</v>
      </c>
      <c r="AA103" s="27">
        <v>0</v>
      </c>
      <c r="AB103" s="27">
        <v>0</v>
      </c>
      <c r="AC103" s="27">
        <v>0</v>
      </c>
      <c r="AD103" s="27">
        <v>0</v>
      </c>
      <c r="AE103" s="27">
        <v>0</v>
      </c>
      <c r="AF103" s="27">
        <v>0</v>
      </c>
      <c r="AG103" s="27">
        <v>0</v>
      </c>
      <c r="AH103" s="27">
        <v>1</v>
      </c>
      <c r="AJ103">
        <f t="shared" si="1"/>
        <v>1</v>
      </c>
    </row>
    <row r="104" spans="1:36">
      <c r="A104" t="s">
        <v>742</v>
      </c>
      <c r="B104" t="s">
        <v>743</v>
      </c>
      <c r="C104" t="s">
        <v>744</v>
      </c>
      <c r="D104" t="s">
        <v>745</v>
      </c>
      <c r="E104">
        <v>2020</v>
      </c>
      <c r="F104" t="s">
        <v>746</v>
      </c>
      <c r="G104">
        <v>30</v>
      </c>
      <c r="H104">
        <v>5</v>
      </c>
      <c r="J104">
        <v>839</v>
      </c>
      <c r="K104">
        <v>854</v>
      </c>
      <c r="L104">
        <v>15</v>
      </c>
      <c r="M104">
        <v>12</v>
      </c>
      <c r="N104" t="s">
        <v>747</v>
      </c>
      <c r="O104" t="s">
        <v>748</v>
      </c>
      <c r="P104" s="22" t="str">
        <f>HYPERLINK(O104)</f>
        <v>https://www.scopus.com/inward/record.uri?eid=2-s2.0-85087477686&amp;doi=10.1007%2fs11769-020-1144-x&amp;partnerID=40&amp;md5=ff9e0a3b8283e8939815dad83a0c1feb</v>
      </c>
      <c r="Q104" t="s">
        <v>156</v>
      </c>
      <c r="R104" t="s">
        <v>48</v>
      </c>
      <c r="S104" t="s">
        <v>172</v>
      </c>
      <c r="T104" t="s">
        <v>6</v>
      </c>
      <c r="U104" t="s">
        <v>749</v>
      </c>
      <c r="V104" s="36">
        <v>0</v>
      </c>
      <c r="W104" s="27">
        <v>1</v>
      </c>
      <c r="X104" s="27">
        <v>0</v>
      </c>
      <c r="Y104" s="27">
        <v>0</v>
      </c>
      <c r="Z104" s="27">
        <v>0</v>
      </c>
      <c r="AA104" s="27">
        <v>0</v>
      </c>
      <c r="AB104" s="27">
        <v>0</v>
      </c>
      <c r="AC104" s="27">
        <v>0</v>
      </c>
      <c r="AD104" s="27">
        <v>0</v>
      </c>
      <c r="AE104" s="27">
        <v>0</v>
      </c>
      <c r="AF104" s="27">
        <v>0</v>
      </c>
      <c r="AG104" s="27">
        <v>0</v>
      </c>
      <c r="AH104" s="27">
        <v>0</v>
      </c>
      <c r="AJ104">
        <f t="shared" si="1"/>
        <v>1</v>
      </c>
    </row>
    <row r="105" spans="1:36">
      <c r="A105" t="s">
        <v>750</v>
      </c>
      <c r="B105" t="s">
        <v>751</v>
      </c>
      <c r="C105" t="s">
        <v>752</v>
      </c>
      <c r="D105" t="s">
        <v>753</v>
      </c>
      <c r="E105">
        <v>2022</v>
      </c>
      <c r="F105" t="s">
        <v>746</v>
      </c>
      <c r="G105">
        <v>32</v>
      </c>
      <c r="H105">
        <v>5</v>
      </c>
      <c r="J105">
        <v>896</v>
      </c>
      <c r="K105">
        <v>914</v>
      </c>
      <c r="L105">
        <v>18</v>
      </c>
      <c r="M105">
        <v>17</v>
      </c>
      <c r="N105" t="s">
        <v>754</v>
      </c>
      <c r="O105" t="s">
        <v>755</v>
      </c>
      <c r="P105" s="22" t="str">
        <f>HYPERLINK(O105)</f>
        <v>https://www.scopus.com/inward/record.uri?eid=2-s2.0-85137990568&amp;doi=10.1007%2fs11769-022-1307-z&amp;partnerID=40&amp;md5=bb91df55ffaea39b11587ab2b2efaa18</v>
      </c>
      <c r="Q105" t="s">
        <v>156</v>
      </c>
      <c r="R105" t="s">
        <v>48</v>
      </c>
      <c r="S105" t="s">
        <v>467</v>
      </c>
      <c r="T105" t="s">
        <v>6</v>
      </c>
      <c r="U105" t="s">
        <v>756</v>
      </c>
      <c r="V105" s="36">
        <v>0</v>
      </c>
      <c r="W105" s="27">
        <v>1</v>
      </c>
      <c r="X105" s="27">
        <v>0</v>
      </c>
      <c r="Y105" s="27">
        <v>0</v>
      </c>
      <c r="Z105" s="27">
        <v>0</v>
      </c>
      <c r="AA105" s="27">
        <v>0</v>
      </c>
      <c r="AB105" s="27">
        <v>0</v>
      </c>
      <c r="AC105" s="27">
        <v>0</v>
      </c>
      <c r="AD105" s="27">
        <v>0</v>
      </c>
      <c r="AE105" s="27">
        <v>0</v>
      </c>
      <c r="AF105" s="27">
        <v>0</v>
      </c>
      <c r="AG105" s="27">
        <v>0</v>
      </c>
      <c r="AH105" s="27">
        <v>0</v>
      </c>
      <c r="AJ105">
        <f t="shared" si="1"/>
        <v>1</v>
      </c>
    </row>
    <row r="106" spans="1:36">
      <c r="A106" t="s">
        <v>757</v>
      </c>
      <c r="B106" t="s">
        <v>758</v>
      </c>
      <c r="C106" t="s">
        <v>759</v>
      </c>
      <c r="D106" t="s">
        <v>760</v>
      </c>
      <c r="E106">
        <v>2007</v>
      </c>
      <c r="F106" t="s">
        <v>746</v>
      </c>
      <c r="G106">
        <v>17</v>
      </c>
      <c r="H106">
        <v>3</v>
      </c>
      <c r="J106">
        <v>280</v>
      </c>
      <c r="K106">
        <v>287</v>
      </c>
      <c r="L106">
        <v>7</v>
      </c>
      <c r="M106">
        <v>4</v>
      </c>
      <c r="N106" t="s">
        <v>761</v>
      </c>
      <c r="O106" t="s">
        <v>762</v>
      </c>
      <c r="P106" s="22" t="str">
        <f>HYPERLINK(O106)</f>
        <v>https://www.scopus.com/inward/record.uri?eid=2-s2.0-34848925458&amp;doi=10.1007%2fs11769-007-0280-x&amp;partnerID=40&amp;md5=cd1d5ac4d7cb171c4bd06586dcb1e017</v>
      </c>
      <c r="Q106" t="s">
        <v>156</v>
      </c>
      <c r="R106" t="s">
        <v>48</v>
      </c>
      <c r="S106" t="s">
        <v>172</v>
      </c>
      <c r="T106" t="s">
        <v>6</v>
      </c>
      <c r="U106" t="s">
        <v>763</v>
      </c>
      <c r="V106" s="36">
        <v>0</v>
      </c>
      <c r="W106" s="27">
        <v>1</v>
      </c>
      <c r="X106" s="27">
        <v>0</v>
      </c>
      <c r="Y106" s="27">
        <v>0</v>
      </c>
      <c r="Z106" s="27">
        <v>0</v>
      </c>
      <c r="AA106" s="27">
        <v>0</v>
      </c>
      <c r="AB106" s="27">
        <v>0</v>
      </c>
      <c r="AC106" s="27">
        <v>0</v>
      </c>
      <c r="AD106" s="27">
        <v>0</v>
      </c>
      <c r="AE106" s="27">
        <v>0</v>
      </c>
      <c r="AF106" s="27">
        <v>0</v>
      </c>
      <c r="AG106" s="27">
        <v>0</v>
      </c>
      <c r="AH106" s="27">
        <v>0</v>
      </c>
      <c r="AJ106">
        <f t="shared" si="1"/>
        <v>1</v>
      </c>
    </row>
    <row r="107" spans="1:36">
      <c r="A107" t="s">
        <v>764</v>
      </c>
      <c r="B107" t="s">
        <v>765</v>
      </c>
      <c r="C107" t="s">
        <v>766</v>
      </c>
      <c r="D107" t="s">
        <v>767</v>
      </c>
      <c r="E107">
        <v>2024</v>
      </c>
      <c r="F107" t="s">
        <v>768</v>
      </c>
      <c r="G107">
        <v>22</v>
      </c>
      <c r="H107">
        <v>1</v>
      </c>
      <c r="J107">
        <v>34</v>
      </c>
      <c r="K107">
        <v>47</v>
      </c>
      <c r="L107">
        <v>13</v>
      </c>
      <c r="M107">
        <v>2</v>
      </c>
      <c r="N107" t="s">
        <v>769</v>
      </c>
      <c r="O107" t="s">
        <v>770</v>
      </c>
      <c r="P107" s="22" t="str">
        <f>HYPERLINK(O107)</f>
        <v>https://www.scopus.com/inward/record.uri?eid=2-s2.0-85189790762&amp;doi=10.1016%2fj.cjpre.2024.03.004&amp;partnerID=40&amp;md5=0925eb690885c391d6d6386a92dc796b</v>
      </c>
      <c r="Q107" t="s">
        <v>156</v>
      </c>
      <c r="R107" t="s">
        <v>48</v>
      </c>
      <c r="T107" t="s">
        <v>6</v>
      </c>
      <c r="U107" t="s">
        <v>771</v>
      </c>
      <c r="V107" s="36">
        <v>0</v>
      </c>
      <c r="W107" s="27">
        <v>0</v>
      </c>
      <c r="X107" s="27">
        <v>0</v>
      </c>
      <c r="Y107" s="27">
        <v>0</v>
      </c>
      <c r="Z107" s="27">
        <v>0</v>
      </c>
      <c r="AA107" s="27">
        <v>0</v>
      </c>
      <c r="AB107" s="27">
        <v>0</v>
      </c>
      <c r="AC107" s="27">
        <v>0</v>
      </c>
      <c r="AD107" s="27">
        <v>0</v>
      </c>
      <c r="AE107" s="27">
        <v>0</v>
      </c>
      <c r="AF107" s="27">
        <v>0</v>
      </c>
      <c r="AG107" s="27">
        <v>0</v>
      </c>
      <c r="AH107" s="27">
        <v>1</v>
      </c>
      <c r="AJ107">
        <f t="shared" si="1"/>
        <v>1</v>
      </c>
    </row>
    <row r="108" spans="1:36">
      <c r="A108" t="s">
        <v>772</v>
      </c>
      <c r="B108" t="s">
        <v>773</v>
      </c>
      <c r="C108" t="s">
        <v>774</v>
      </c>
      <c r="D108" t="s">
        <v>775</v>
      </c>
      <c r="E108">
        <v>2012</v>
      </c>
      <c r="F108" t="s">
        <v>776</v>
      </c>
      <c r="J108">
        <v>1387</v>
      </c>
      <c r="K108">
        <v>1398</v>
      </c>
      <c r="L108">
        <v>11</v>
      </c>
      <c r="M108">
        <v>0</v>
      </c>
      <c r="N108" t="s">
        <v>777</v>
      </c>
      <c r="O108" t="s">
        <v>778</v>
      </c>
      <c r="P108" s="22" t="str">
        <f>HYPERLINK(O108)</f>
        <v>https://www.scopus.com/inward/record.uri?eid=2-s2.0-84873860539&amp;doi=10.1061%2f9780784412442.142&amp;partnerID=40&amp;md5=d9b2f2227f3aad875daedbc1ce2c0bc7</v>
      </c>
      <c r="Q108" t="s">
        <v>62</v>
      </c>
      <c r="R108" t="s">
        <v>48</v>
      </c>
      <c r="T108" t="s">
        <v>6</v>
      </c>
      <c r="U108" t="s">
        <v>779</v>
      </c>
      <c r="V108" s="36">
        <v>0</v>
      </c>
      <c r="W108" s="27">
        <v>0</v>
      </c>
      <c r="X108" s="27">
        <v>0</v>
      </c>
      <c r="Y108" s="27">
        <v>0</v>
      </c>
      <c r="Z108" s="27">
        <v>0</v>
      </c>
      <c r="AA108" s="27">
        <v>0</v>
      </c>
      <c r="AB108" s="27">
        <v>0</v>
      </c>
      <c r="AC108" s="27">
        <v>0</v>
      </c>
      <c r="AD108" s="27">
        <v>0</v>
      </c>
      <c r="AE108" s="27">
        <v>0</v>
      </c>
      <c r="AF108" s="27">
        <v>0</v>
      </c>
      <c r="AG108" s="27">
        <v>0</v>
      </c>
      <c r="AH108" s="27">
        <v>1</v>
      </c>
      <c r="AJ108">
        <f t="shared" si="1"/>
        <v>1</v>
      </c>
    </row>
    <row r="109" spans="1:36">
      <c r="A109" t="s">
        <v>780</v>
      </c>
      <c r="B109" t="s">
        <v>781</v>
      </c>
      <c r="C109" t="s">
        <v>782</v>
      </c>
      <c r="D109" t="s">
        <v>783</v>
      </c>
      <c r="E109">
        <v>2023</v>
      </c>
      <c r="F109" t="s">
        <v>784</v>
      </c>
      <c r="J109">
        <v>2584</v>
      </c>
      <c r="K109">
        <v>2594</v>
      </c>
      <c r="L109">
        <v>10</v>
      </c>
      <c r="M109">
        <v>0</v>
      </c>
      <c r="N109" t="s">
        <v>785</v>
      </c>
      <c r="O109" t="s">
        <v>786</v>
      </c>
      <c r="P109" s="22" t="str">
        <f>HYPERLINK(O109)</f>
        <v>https://www.scopus.com/inward/record.uri?eid=2-s2.0-85174017475&amp;doi=10.1061%2f9780784484869.245&amp;partnerID=40&amp;md5=e99f652debf3bea236783aeac9363b7d</v>
      </c>
      <c r="Q109" t="s">
        <v>62</v>
      </c>
      <c r="R109" t="s">
        <v>48</v>
      </c>
      <c r="T109" t="s">
        <v>6</v>
      </c>
      <c r="U109" t="s">
        <v>787</v>
      </c>
      <c r="V109" s="36">
        <v>0</v>
      </c>
      <c r="W109" s="27">
        <v>0</v>
      </c>
      <c r="X109" s="27">
        <v>0</v>
      </c>
      <c r="Y109" s="27">
        <v>0</v>
      </c>
      <c r="Z109" s="27">
        <v>0</v>
      </c>
      <c r="AA109" s="27">
        <v>0</v>
      </c>
      <c r="AB109" s="27">
        <v>0</v>
      </c>
      <c r="AC109" s="27">
        <v>0</v>
      </c>
      <c r="AD109" s="27">
        <v>0</v>
      </c>
      <c r="AE109" s="27">
        <v>0</v>
      </c>
      <c r="AF109" s="27">
        <v>1</v>
      </c>
      <c r="AG109" s="27">
        <v>0</v>
      </c>
      <c r="AH109" s="27">
        <v>0</v>
      </c>
      <c r="AJ109">
        <f t="shared" si="1"/>
        <v>1</v>
      </c>
    </row>
    <row r="110" spans="1:36">
      <c r="A110" t="s">
        <v>788</v>
      </c>
      <c r="B110" t="s">
        <v>789</v>
      </c>
      <c r="C110" t="s">
        <v>790</v>
      </c>
      <c r="D110" t="s">
        <v>791</v>
      </c>
      <c r="E110">
        <v>2025</v>
      </c>
      <c r="F110" t="s">
        <v>792</v>
      </c>
      <c r="G110">
        <v>158</v>
      </c>
      <c r="I110">
        <v>105620</v>
      </c>
      <c r="M110">
        <v>0</v>
      </c>
      <c r="N110" t="s">
        <v>793</v>
      </c>
      <c r="O110" s="22" t="s">
        <v>794</v>
      </c>
      <c r="P110" s="22" t="str">
        <f>HYPERLINK(O110)</f>
        <v>https://www.scopus.com/inward/record.uri?eid=2-s2.0-85211028671&amp;doi=10.1016%2fj.cities.2024.105620&amp;partnerID=40&amp;md5=4dfcc67e80c303cb50f4f99dd2f5f49f</v>
      </c>
      <c r="Q110" t="s">
        <v>156</v>
      </c>
      <c r="R110" t="s">
        <v>48</v>
      </c>
      <c r="S110" t="s">
        <v>172</v>
      </c>
      <c r="T110" t="s">
        <v>6</v>
      </c>
      <c r="U110" t="s">
        <v>795</v>
      </c>
      <c r="V110" s="36">
        <v>0</v>
      </c>
      <c r="W110" s="27">
        <v>0</v>
      </c>
      <c r="X110" s="27">
        <v>0</v>
      </c>
      <c r="Y110" s="27">
        <v>0</v>
      </c>
      <c r="Z110" s="27">
        <v>0</v>
      </c>
      <c r="AA110" s="27">
        <v>0</v>
      </c>
      <c r="AB110" s="27">
        <v>0</v>
      </c>
      <c r="AC110" s="27">
        <v>0</v>
      </c>
      <c r="AD110" s="27">
        <v>0</v>
      </c>
      <c r="AE110" s="27">
        <v>0</v>
      </c>
      <c r="AF110" s="27">
        <v>0</v>
      </c>
      <c r="AG110" s="27">
        <v>0</v>
      </c>
      <c r="AH110" s="27">
        <v>1</v>
      </c>
      <c r="AJ110">
        <f t="shared" si="1"/>
        <v>1</v>
      </c>
    </row>
    <row r="111" spans="1:36">
      <c r="A111" t="s">
        <v>796</v>
      </c>
      <c r="B111" t="s">
        <v>797</v>
      </c>
      <c r="C111">
        <v>58826219500</v>
      </c>
      <c r="D111" t="s">
        <v>798</v>
      </c>
      <c r="E111">
        <v>2019</v>
      </c>
      <c r="F111" t="s">
        <v>799</v>
      </c>
      <c r="G111">
        <v>31</v>
      </c>
      <c r="H111">
        <v>2</v>
      </c>
      <c r="J111">
        <v>164</v>
      </c>
      <c r="K111">
        <v>187</v>
      </c>
      <c r="L111">
        <v>23</v>
      </c>
      <c r="M111">
        <v>5</v>
      </c>
      <c r="N111" t="s">
        <v>800</v>
      </c>
      <c r="O111" t="s">
        <v>801</v>
      </c>
      <c r="P111" s="22" t="str">
        <f>HYPERLINK(O111)</f>
        <v>https://www.scopus.com/inward/record.uri?eid=2-s2.0-85068068781&amp;doi=10.1111%2fciso.12211&amp;partnerID=40&amp;md5=33ad395879586af8ebec7c7974cfa00f</v>
      </c>
      <c r="Q111" t="s">
        <v>156</v>
      </c>
      <c r="R111" t="s">
        <v>48</v>
      </c>
      <c r="T111" t="s">
        <v>6</v>
      </c>
      <c r="U111" t="s">
        <v>802</v>
      </c>
      <c r="V111" s="36">
        <v>0</v>
      </c>
      <c r="W111" s="27">
        <v>0</v>
      </c>
      <c r="X111" s="27">
        <v>0</v>
      </c>
      <c r="Y111" s="27">
        <v>0</v>
      </c>
      <c r="Z111" s="27">
        <v>0</v>
      </c>
      <c r="AA111" s="27">
        <v>0</v>
      </c>
      <c r="AB111" s="27">
        <v>0</v>
      </c>
      <c r="AC111" s="27">
        <v>0</v>
      </c>
      <c r="AD111" s="27">
        <v>0</v>
      </c>
      <c r="AE111" s="27">
        <v>0</v>
      </c>
      <c r="AF111" s="27">
        <v>0</v>
      </c>
      <c r="AG111" s="27">
        <v>0</v>
      </c>
      <c r="AH111" s="27">
        <v>1</v>
      </c>
      <c r="AJ111">
        <f t="shared" si="1"/>
        <v>1</v>
      </c>
    </row>
    <row r="112" spans="1:36">
      <c r="A112" t="s">
        <v>803</v>
      </c>
      <c r="B112" t="s">
        <v>804</v>
      </c>
      <c r="C112">
        <v>6603364439</v>
      </c>
      <c r="D112" t="s">
        <v>805</v>
      </c>
      <c r="E112">
        <v>1986</v>
      </c>
      <c r="F112" t="s">
        <v>806</v>
      </c>
      <c r="J112">
        <v>37</v>
      </c>
      <c r="K112">
        <v>38</v>
      </c>
      <c r="L112">
        <v>1</v>
      </c>
      <c r="M112">
        <v>0</v>
      </c>
      <c r="O112" t="s">
        <v>807</v>
      </c>
      <c r="P112" s="22" t="str">
        <f>HYPERLINK(O112)</f>
        <v>https://www.scopus.com/inward/record.uri?eid=2-s2.0-0022811154&amp;partnerID=40&amp;md5=89322fdf6bd43142ac637dfa908531e9</v>
      </c>
      <c r="Q112" t="s">
        <v>156</v>
      </c>
      <c r="R112" t="s">
        <v>48</v>
      </c>
      <c r="T112" t="s">
        <v>6</v>
      </c>
      <c r="U112" t="s">
        <v>808</v>
      </c>
      <c r="V112" s="36">
        <v>0</v>
      </c>
      <c r="W112" s="27">
        <v>0</v>
      </c>
      <c r="X112" s="27">
        <v>0</v>
      </c>
      <c r="Y112" s="27">
        <v>0</v>
      </c>
      <c r="Z112" s="27">
        <v>0</v>
      </c>
      <c r="AA112" s="27">
        <v>0</v>
      </c>
      <c r="AB112" s="27">
        <v>0</v>
      </c>
      <c r="AC112" s="27">
        <v>0</v>
      </c>
      <c r="AD112" s="27">
        <v>0</v>
      </c>
      <c r="AE112" s="27">
        <v>0</v>
      </c>
      <c r="AF112" s="27">
        <v>1</v>
      </c>
      <c r="AG112" s="27">
        <v>0</v>
      </c>
      <c r="AH112" s="27">
        <v>0</v>
      </c>
      <c r="AJ112">
        <f t="shared" si="1"/>
        <v>1</v>
      </c>
    </row>
    <row r="113" spans="1:36">
      <c r="A113" t="s">
        <v>809</v>
      </c>
      <c r="B113" t="s">
        <v>810</v>
      </c>
      <c r="C113" t="s">
        <v>811</v>
      </c>
      <c r="D113" t="s">
        <v>812</v>
      </c>
      <c r="E113">
        <v>2023</v>
      </c>
      <c r="F113" t="s">
        <v>813</v>
      </c>
      <c r="G113">
        <v>11</v>
      </c>
      <c r="H113">
        <v>2</v>
      </c>
      <c r="I113">
        <v>2250230</v>
      </c>
      <c r="M113">
        <v>1</v>
      </c>
      <c r="N113" t="s">
        <v>814</v>
      </c>
      <c r="O113" t="s">
        <v>815</v>
      </c>
      <c r="P113" s="22" t="str">
        <f>HYPERLINK(O113)</f>
        <v>https://www.scopus.com/inward/record.uri?eid=2-s2.0-85171387282&amp;doi=10.1080%2f23322039.2023.2250230&amp;partnerID=40&amp;md5=60d0d86717109dde4d95be3d89f57575</v>
      </c>
      <c r="Q113" t="s">
        <v>156</v>
      </c>
      <c r="R113" t="s">
        <v>48</v>
      </c>
      <c r="S113" t="s">
        <v>185</v>
      </c>
      <c r="T113" t="s">
        <v>6</v>
      </c>
      <c r="U113" t="s">
        <v>816</v>
      </c>
      <c r="V113" s="36">
        <v>1</v>
      </c>
      <c r="W113" s="27">
        <v>0</v>
      </c>
      <c r="X113" s="27">
        <v>0</v>
      </c>
      <c r="Y113" s="27">
        <v>0</v>
      </c>
      <c r="Z113" s="27">
        <v>0</v>
      </c>
      <c r="AA113" s="27">
        <v>0</v>
      </c>
      <c r="AB113" s="27">
        <v>0</v>
      </c>
      <c r="AC113" s="27">
        <v>0</v>
      </c>
      <c r="AD113" s="27">
        <v>0</v>
      </c>
      <c r="AE113" s="27">
        <v>0</v>
      </c>
      <c r="AF113" s="27">
        <v>0</v>
      </c>
      <c r="AG113" s="27">
        <v>0</v>
      </c>
      <c r="AH113" s="27">
        <v>0</v>
      </c>
      <c r="AJ113">
        <f t="shared" si="1"/>
        <v>1</v>
      </c>
    </row>
    <row r="114" spans="1:36">
      <c r="A114" t="s">
        <v>817</v>
      </c>
      <c r="B114" t="s">
        <v>818</v>
      </c>
      <c r="C114">
        <v>57213001949</v>
      </c>
      <c r="D114" t="s">
        <v>819</v>
      </c>
      <c r="E114">
        <v>2023</v>
      </c>
      <c r="F114" t="s">
        <v>820</v>
      </c>
      <c r="G114">
        <v>9</v>
      </c>
      <c r="H114">
        <v>2</v>
      </c>
      <c r="I114">
        <v>2285244</v>
      </c>
      <c r="M114">
        <v>3</v>
      </c>
      <c r="N114" t="s">
        <v>821</v>
      </c>
      <c r="O114" t="s">
        <v>822</v>
      </c>
      <c r="P114" s="22" t="str">
        <f>HYPERLINK(O114)</f>
        <v>https://www.scopus.com/inward/record.uri?eid=2-s2.0-85178040929&amp;doi=10.1080%2f23311886.2023.2285244&amp;partnerID=40&amp;md5=c54a7016dc8e972d42e89bd63f724121</v>
      </c>
      <c r="Q114" t="s">
        <v>156</v>
      </c>
      <c r="R114" t="s">
        <v>48</v>
      </c>
      <c r="S114" t="s">
        <v>185</v>
      </c>
      <c r="T114" t="s">
        <v>6</v>
      </c>
      <c r="U114" t="s">
        <v>823</v>
      </c>
      <c r="V114" s="36">
        <v>0</v>
      </c>
      <c r="W114" s="27">
        <v>0</v>
      </c>
      <c r="X114" s="27">
        <v>0</v>
      </c>
      <c r="Y114" s="27">
        <v>0</v>
      </c>
      <c r="Z114" s="27">
        <v>0</v>
      </c>
      <c r="AA114" s="27">
        <v>0</v>
      </c>
      <c r="AB114" s="27">
        <v>1</v>
      </c>
      <c r="AC114" s="27">
        <v>0</v>
      </c>
      <c r="AD114" s="27">
        <v>0</v>
      </c>
      <c r="AE114" s="27">
        <v>0</v>
      </c>
      <c r="AF114" s="27">
        <v>0</v>
      </c>
      <c r="AG114" s="27">
        <v>0</v>
      </c>
      <c r="AH114" s="27">
        <v>0</v>
      </c>
      <c r="AJ114">
        <f t="shared" si="1"/>
        <v>1</v>
      </c>
    </row>
    <row r="115" spans="1:36">
      <c r="A115" t="s">
        <v>824</v>
      </c>
      <c r="B115" t="s">
        <v>825</v>
      </c>
      <c r="C115" t="s">
        <v>826</v>
      </c>
      <c r="D115" t="s">
        <v>827</v>
      </c>
      <c r="E115">
        <v>2007</v>
      </c>
      <c r="F115" t="s">
        <v>828</v>
      </c>
      <c r="G115">
        <v>2</v>
      </c>
      <c r="J115">
        <v>1291</v>
      </c>
      <c r="K115">
        <v>1301</v>
      </c>
      <c r="L115">
        <v>10</v>
      </c>
      <c r="M115">
        <v>1</v>
      </c>
      <c r="O115" t="s">
        <v>829</v>
      </c>
      <c r="P115" s="22" t="str">
        <f>HYPERLINK(O115)</f>
        <v>https://www.scopus.com/inward/record.uri?eid=2-s2.0-36749046299&amp;partnerID=40&amp;md5=446ddecc9057e59f36693d05ef988b50</v>
      </c>
      <c r="Q115" t="s">
        <v>62</v>
      </c>
      <c r="R115" t="s">
        <v>48</v>
      </c>
      <c r="T115" t="s">
        <v>6</v>
      </c>
      <c r="U115" t="s">
        <v>830</v>
      </c>
      <c r="V115" s="36">
        <v>0</v>
      </c>
      <c r="W115" s="27">
        <v>0</v>
      </c>
      <c r="X115" s="27">
        <v>0</v>
      </c>
      <c r="Y115" s="27">
        <v>0</v>
      </c>
      <c r="Z115" s="27">
        <v>0</v>
      </c>
      <c r="AA115" s="27">
        <v>0</v>
      </c>
      <c r="AB115" s="27">
        <v>0</v>
      </c>
      <c r="AC115" s="27">
        <v>0</v>
      </c>
      <c r="AD115" s="27">
        <v>0</v>
      </c>
      <c r="AE115" s="27">
        <v>0</v>
      </c>
      <c r="AF115" s="27">
        <v>0</v>
      </c>
      <c r="AG115" s="27">
        <v>0</v>
      </c>
      <c r="AH115" s="27">
        <v>1</v>
      </c>
      <c r="AJ115">
        <f t="shared" si="1"/>
        <v>1</v>
      </c>
    </row>
    <row r="116" spans="1:36">
      <c r="A116" t="s">
        <v>831</v>
      </c>
      <c r="B116" t="s">
        <v>832</v>
      </c>
      <c r="C116">
        <v>15830888000</v>
      </c>
      <c r="D116" t="s">
        <v>833</v>
      </c>
      <c r="E116">
        <v>2006</v>
      </c>
      <c r="F116" t="s">
        <v>834</v>
      </c>
      <c r="G116">
        <v>2</v>
      </c>
      <c r="J116">
        <v>1417</v>
      </c>
      <c r="K116">
        <v>1438</v>
      </c>
      <c r="L116">
        <v>21</v>
      </c>
      <c r="M116">
        <v>0</v>
      </c>
      <c r="N116" t="s">
        <v>835</v>
      </c>
      <c r="O116" t="s">
        <v>836</v>
      </c>
      <c r="P116" s="22" t="str">
        <f>HYPERLINK(O116)</f>
        <v>https://www.scopus.com/inward/record.uri?eid=2-s2.0-33846553787&amp;doi=10.2514%2f6.2006-7320&amp;partnerID=40&amp;md5=c35d6582dbca2c629a99b96a3919bbe3</v>
      </c>
      <c r="Q116" t="s">
        <v>62</v>
      </c>
      <c r="R116" t="s">
        <v>48</v>
      </c>
      <c r="T116" t="s">
        <v>6</v>
      </c>
      <c r="U116" t="s">
        <v>837</v>
      </c>
      <c r="V116" s="36">
        <v>0</v>
      </c>
      <c r="W116" s="27">
        <v>0</v>
      </c>
      <c r="X116" s="27">
        <v>0</v>
      </c>
      <c r="Y116" s="27">
        <v>0</v>
      </c>
      <c r="Z116" s="27">
        <v>0</v>
      </c>
      <c r="AA116" s="27">
        <v>0</v>
      </c>
      <c r="AB116" s="27">
        <v>0</v>
      </c>
      <c r="AC116" s="27">
        <v>0</v>
      </c>
      <c r="AD116" s="27">
        <v>0</v>
      </c>
      <c r="AE116" s="27">
        <v>0</v>
      </c>
      <c r="AF116" s="27">
        <v>0</v>
      </c>
      <c r="AG116" s="27">
        <v>0</v>
      </c>
      <c r="AH116" s="27">
        <v>1</v>
      </c>
      <c r="AJ116">
        <f t="shared" si="1"/>
        <v>1</v>
      </c>
    </row>
    <row r="117" spans="1:36">
      <c r="A117" t="s">
        <v>838</v>
      </c>
      <c r="B117" t="s">
        <v>839</v>
      </c>
      <c r="C117">
        <v>15832842300</v>
      </c>
      <c r="D117" t="s">
        <v>840</v>
      </c>
      <c r="E117">
        <v>2006</v>
      </c>
      <c r="F117" t="s">
        <v>834</v>
      </c>
      <c r="G117">
        <v>4</v>
      </c>
      <c r="J117">
        <v>2579</v>
      </c>
      <c r="K117">
        <v>2585</v>
      </c>
      <c r="L117">
        <v>6</v>
      </c>
      <c r="M117">
        <v>0</v>
      </c>
      <c r="N117" t="s">
        <v>841</v>
      </c>
      <c r="O117" t="s">
        <v>842</v>
      </c>
      <c r="P117" s="22" t="str">
        <f>HYPERLINK(O117)</f>
        <v>https://www.scopus.com/inward/record.uri?eid=2-s2.0-33846524410&amp;doi=10.2514%2f6.2006-7476&amp;partnerID=40&amp;md5=9450ad64d1b7b16357935f3a9aefe8f3</v>
      </c>
      <c r="Q117" t="s">
        <v>62</v>
      </c>
      <c r="R117" t="s">
        <v>48</v>
      </c>
      <c r="T117" t="s">
        <v>6</v>
      </c>
      <c r="U117" t="s">
        <v>843</v>
      </c>
      <c r="V117" s="36">
        <v>0</v>
      </c>
      <c r="W117" s="27">
        <v>0</v>
      </c>
      <c r="X117" s="27">
        <v>0</v>
      </c>
      <c r="Y117" s="27">
        <v>0</v>
      </c>
      <c r="Z117" s="27">
        <v>0</v>
      </c>
      <c r="AA117" s="27">
        <v>0</v>
      </c>
      <c r="AB117" s="27">
        <v>0</v>
      </c>
      <c r="AC117" s="27">
        <v>0</v>
      </c>
      <c r="AD117" s="27">
        <v>0</v>
      </c>
      <c r="AE117" s="27">
        <v>0</v>
      </c>
      <c r="AF117" s="27">
        <v>0</v>
      </c>
      <c r="AG117" s="27">
        <v>0</v>
      </c>
      <c r="AH117" s="27">
        <v>1</v>
      </c>
      <c r="AJ117">
        <f t="shared" si="1"/>
        <v>1</v>
      </c>
    </row>
    <row r="118" spans="1:36">
      <c r="A118" t="s">
        <v>844</v>
      </c>
      <c r="B118" t="s">
        <v>845</v>
      </c>
      <c r="C118" t="s">
        <v>846</v>
      </c>
      <c r="D118" t="s">
        <v>847</v>
      </c>
      <c r="E118">
        <v>2022</v>
      </c>
      <c r="F118" t="s">
        <v>848</v>
      </c>
      <c r="G118">
        <v>2022</v>
      </c>
      <c r="I118">
        <v>9559170</v>
      </c>
      <c r="M118">
        <v>1</v>
      </c>
      <c r="N118" t="s">
        <v>849</v>
      </c>
      <c r="O118" t="s">
        <v>850</v>
      </c>
      <c r="P118" s="22" t="str">
        <f>HYPERLINK(O118)</f>
        <v>https://www.scopus.com/inward/record.uri?eid=2-s2.0-85126405232&amp;doi=10.1155%2f2022%2f9559170&amp;partnerID=40&amp;md5=937a1ff25660bd35bc7c1b51e5571557</v>
      </c>
      <c r="Q118" t="s">
        <v>156</v>
      </c>
      <c r="R118" t="s">
        <v>48</v>
      </c>
      <c r="S118" t="s">
        <v>225</v>
      </c>
      <c r="T118" t="s">
        <v>6</v>
      </c>
      <c r="U118" t="s">
        <v>851</v>
      </c>
      <c r="V118" s="36">
        <v>0</v>
      </c>
      <c r="W118" s="27">
        <v>1</v>
      </c>
      <c r="X118" s="27">
        <v>0</v>
      </c>
      <c r="Y118" s="27">
        <v>0</v>
      </c>
      <c r="Z118" s="27">
        <v>0</v>
      </c>
      <c r="AA118" s="27">
        <v>0</v>
      </c>
      <c r="AB118" s="27">
        <v>0</v>
      </c>
      <c r="AC118" s="27">
        <v>0</v>
      </c>
      <c r="AD118" s="27">
        <v>0</v>
      </c>
      <c r="AE118" s="27">
        <v>0</v>
      </c>
      <c r="AF118" s="27">
        <v>0</v>
      </c>
      <c r="AG118" s="27">
        <v>0</v>
      </c>
      <c r="AH118" s="27">
        <v>0</v>
      </c>
      <c r="AJ118">
        <f t="shared" si="1"/>
        <v>1</v>
      </c>
    </row>
    <row r="119" spans="1:36">
      <c r="A119" t="s">
        <v>852</v>
      </c>
      <c r="B119" t="s">
        <v>853</v>
      </c>
      <c r="C119" t="s">
        <v>854</v>
      </c>
      <c r="D119" t="s">
        <v>855</v>
      </c>
      <c r="E119">
        <v>2024</v>
      </c>
      <c r="F119" t="s">
        <v>856</v>
      </c>
      <c r="G119">
        <v>4</v>
      </c>
      <c r="H119">
        <v>1</v>
      </c>
      <c r="I119">
        <v>42</v>
      </c>
      <c r="M119">
        <v>0</v>
      </c>
      <c r="N119" t="s">
        <v>857</v>
      </c>
      <c r="O119" t="s">
        <v>858</v>
      </c>
      <c r="P119" s="22" t="str">
        <f>HYPERLINK(O119)</f>
        <v>https://www.scopus.com/inward/record.uri?eid=2-s2.0-85211376867&amp;doi=10.1007%2fs43762-024-00150-0&amp;partnerID=40&amp;md5=feff7be0491991c07ead6009537bdb74</v>
      </c>
      <c r="Q119" t="s">
        <v>156</v>
      </c>
      <c r="R119" t="s">
        <v>48</v>
      </c>
      <c r="S119" t="s">
        <v>185</v>
      </c>
      <c r="T119" t="s">
        <v>6</v>
      </c>
      <c r="U119" t="s">
        <v>859</v>
      </c>
      <c r="V119" s="36">
        <v>0</v>
      </c>
      <c r="W119" s="27">
        <v>1</v>
      </c>
      <c r="X119" s="27">
        <v>0</v>
      </c>
      <c r="Y119" s="27">
        <v>0</v>
      </c>
      <c r="Z119" s="27">
        <v>0</v>
      </c>
      <c r="AA119" s="27">
        <v>0</v>
      </c>
      <c r="AB119" s="27">
        <v>0</v>
      </c>
      <c r="AC119" s="27">
        <v>0</v>
      </c>
      <c r="AD119" s="27">
        <v>0</v>
      </c>
      <c r="AE119" s="27">
        <v>0</v>
      </c>
      <c r="AF119" s="27">
        <v>0</v>
      </c>
      <c r="AG119" s="27">
        <v>0</v>
      </c>
      <c r="AH119" s="27">
        <v>0</v>
      </c>
      <c r="AJ119">
        <f t="shared" si="1"/>
        <v>1</v>
      </c>
    </row>
    <row r="120" spans="1:36">
      <c r="A120" t="s">
        <v>860</v>
      </c>
      <c r="B120" t="s">
        <v>861</v>
      </c>
      <c r="C120" t="s">
        <v>862</v>
      </c>
      <c r="D120" t="s">
        <v>863</v>
      </c>
      <c r="E120">
        <v>2023</v>
      </c>
      <c r="F120" t="s">
        <v>864</v>
      </c>
      <c r="G120">
        <v>18</v>
      </c>
      <c r="H120">
        <v>1</v>
      </c>
      <c r="J120">
        <v>97</v>
      </c>
      <c r="K120">
        <v>109</v>
      </c>
      <c r="L120">
        <v>12</v>
      </c>
      <c r="M120">
        <v>4</v>
      </c>
      <c r="N120" t="s">
        <v>865</v>
      </c>
      <c r="O120" t="s">
        <v>866</v>
      </c>
      <c r="P120" s="22" t="str">
        <f>HYPERLINK(O120)</f>
        <v>https://www.scopus.com/inward/record.uri?eid=2-s2.0-85147231059&amp;doi=10.1108%2fCBTH-12-2021-0288&amp;partnerID=40&amp;md5=4048050dfc855fa91b52ed2413aef8b1</v>
      </c>
      <c r="Q120" t="s">
        <v>156</v>
      </c>
      <c r="R120" t="s">
        <v>48</v>
      </c>
      <c r="S120" t="s">
        <v>164</v>
      </c>
      <c r="T120" t="s">
        <v>6</v>
      </c>
      <c r="U120" t="s">
        <v>867</v>
      </c>
      <c r="V120" s="36">
        <v>1</v>
      </c>
      <c r="W120" s="27">
        <v>0</v>
      </c>
      <c r="X120" s="27">
        <v>0</v>
      </c>
      <c r="Y120" s="27">
        <v>0</v>
      </c>
      <c r="Z120" s="27">
        <v>0</v>
      </c>
      <c r="AA120" s="27">
        <v>0</v>
      </c>
      <c r="AB120" s="27">
        <v>0</v>
      </c>
      <c r="AC120" s="27">
        <v>0</v>
      </c>
      <c r="AD120" s="27">
        <v>0</v>
      </c>
      <c r="AE120" s="27">
        <v>0</v>
      </c>
      <c r="AF120" s="27">
        <v>0</v>
      </c>
      <c r="AG120" s="27">
        <v>0</v>
      </c>
      <c r="AH120" s="27">
        <v>0</v>
      </c>
      <c r="AJ120">
        <f t="shared" si="1"/>
        <v>1</v>
      </c>
    </row>
    <row r="121" spans="1:36">
      <c r="A121" t="s">
        <v>868</v>
      </c>
      <c r="B121" t="s">
        <v>869</v>
      </c>
      <c r="C121" t="s">
        <v>870</v>
      </c>
      <c r="D121" t="s">
        <v>871</v>
      </c>
      <c r="E121">
        <v>2014</v>
      </c>
      <c r="F121" t="s">
        <v>872</v>
      </c>
      <c r="G121">
        <v>14</v>
      </c>
      <c r="H121">
        <v>4</v>
      </c>
      <c r="J121">
        <v>394</v>
      </c>
      <c r="K121">
        <v>406</v>
      </c>
      <c r="L121">
        <v>12</v>
      </c>
      <c r="M121">
        <v>28</v>
      </c>
      <c r="N121" t="s">
        <v>873</v>
      </c>
      <c r="O121" t="s">
        <v>874</v>
      </c>
      <c r="P121" s="22" t="str">
        <f>HYPERLINK(O121)</f>
        <v>https://www.scopus.com/inward/record.uri?eid=2-s2.0-84903694283&amp;doi=10.2174%2f1568009614666140407113633&amp;partnerID=40&amp;md5=976ab9316bd769d40b0aa2c6c9e4c15a</v>
      </c>
      <c r="Q121" t="s">
        <v>184</v>
      </c>
      <c r="R121" t="s">
        <v>48</v>
      </c>
      <c r="T121" t="s">
        <v>6</v>
      </c>
      <c r="U121" t="s">
        <v>875</v>
      </c>
      <c r="V121" s="36">
        <v>0</v>
      </c>
      <c r="W121" s="27">
        <v>0</v>
      </c>
      <c r="X121" s="27">
        <v>0</v>
      </c>
      <c r="Y121" s="27">
        <v>0</v>
      </c>
      <c r="Z121" s="27">
        <v>0</v>
      </c>
      <c r="AA121" s="27">
        <v>0</v>
      </c>
      <c r="AB121" s="27">
        <v>0</v>
      </c>
      <c r="AC121" s="27">
        <v>0</v>
      </c>
      <c r="AD121" s="27">
        <v>0</v>
      </c>
      <c r="AE121" s="27">
        <v>0</v>
      </c>
      <c r="AF121" s="27">
        <v>0</v>
      </c>
      <c r="AG121" s="27">
        <v>0</v>
      </c>
      <c r="AH121" s="27">
        <v>1</v>
      </c>
      <c r="AJ121">
        <f t="shared" si="1"/>
        <v>1</v>
      </c>
    </row>
    <row r="122" spans="1:36">
      <c r="A122" t="s">
        <v>876</v>
      </c>
      <c r="B122" t="s">
        <v>877</v>
      </c>
      <c r="C122" t="s">
        <v>878</v>
      </c>
      <c r="D122" t="s">
        <v>879</v>
      </c>
      <c r="E122">
        <v>2014</v>
      </c>
      <c r="F122" t="s">
        <v>880</v>
      </c>
      <c r="J122">
        <v>111</v>
      </c>
      <c r="K122">
        <v>126</v>
      </c>
      <c r="L122">
        <v>15</v>
      </c>
      <c r="M122">
        <v>0</v>
      </c>
      <c r="O122" t="s">
        <v>881</v>
      </c>
      <c r="P122" s="22" t="str">
        <f>HYPERLINK(O122)</f>
        <v>https://www.scopus.com/inward/record.uri?eid=2-s2.0-84957379082&amp;partnerID=40&amp;md5=d4e646e1172cf7caa80e36e15d5e6474</v>
      </c>
      <c r="Q122" t="s">
        <v>216</v>
      </c>
      <c r="R122" t="s">
        <v>48</v>
      </c>
      <c r="T122" t="s">
        <v>6</v>
      </c>
      <c r="U122" t="s">
        <v>882</v>
      </c>
      <c r="V122" s="36">
        <v>0</v>
      </c>
      <c r="W122" s="27">
        <v>0</v>
      </c>
      <c r="X122" s="27">
        <v>0</v>
      </c>
      <c r="Y122" s="27">
        <v>0</v>
      </c>
      <c r="Z122" s="27">
        <v>0</v>
      </c>
      <c r="AA122" s="27">
        <v>0</v>
      </c>
      <c r="AB122" s="27">
        <v>0</v>
      </c>
      <c r="AC122" s="27">
        <v>0</v>
      </c>
      <c r="AD122" s="27">
        <v>0</v>
      </c>
      <c r="AE122" s="27">
        <v>0</v>
      </c>
      <c r="AF122" s="27">
        <v>1</v>
      </c>
      <c r="AG122" s="27">
        <v>0</v>
      </c>
      <c r="AH122" s="27">
        <v>0</v>
      </c>
      <c r="AJ122">
        <f t="shared" si="1"/>
        <v>1</v>
      </c>
    </row>
    <row r="123" spans="1:36">
      <c r="A123" t="s">
        <v>883</v>
      </c>
      <c r="B123" t="s">
        <v>884</v>
      </c>
      <c r="C123" t="s">
        <v>885</v>
      </c>
      <c r="D123" t="s">
        <v>886</v>
      </c>
      <c r="E123">
        <v>2024</v>
      </c>
      <c r="F123" t="s">
        <v>887</v>
      </c>
      <c r="G123">
        <v>27</v>
      </c>
      <c r="H123">
        <v>9</v>
      </c>
      <c r="J123">
        <v>1477</v>
      </c>
      <c r="K123">
        <v>1495</v>
      </c>
      <c r="L123">
        <v>18</v>
      </c>
      <c r="M123">
        <v>2</v>
      </c>
      <c r="N123" t="s">
        <v>888</v>
      </c>
      <c r="O123" t="s">
        <v>889</v>
      </c>
      <c r="P123" s="22" t="str">
        <f>HYPERLINK(O123)</f>
        <v>https://www.scopus.com/inward/record.uri?eid=2-s2.0-85159672260&amp;doi=10.1080%2f13683500.2023.2213880&amp;partnerID=40&amp;md5=0b55efceb3d6e65f86bed5545d7e977c</v>
      </c>
      <c r="Q123" t="s">
        <v>156</v>
      </c>
      <c r="R123" t="s">
        <v>48</v>
      </c>
      <c r="T123" t="s">
        <v>6</v>
      </c>
      <c r="U123" t="s">
        <v>890</v>
      </c>
      <c r="V123" s="36">
        <v>0</v>
      </c>
      <c r="W123" s="27">
        <v>0</v>
      </c>
      <c r="X123" s="27">
        <v>0</v>
      </c>
      <c r="Y123" s="27">
        <v>0</v>
      </c>
      <c r="Z123" s="27">
        <v>0</v>
      </c>
      <c r="AA123" s="27">
        <v>0</v>
      </c>
      <c r="AB123" s="27">
        <v>1</v>
      </c>
      <c r="AC123" s="27">
        <v>0</v>
      </c>
      <c r="AD123" s="27">
        <v>0</v>
      </c>
      <c r="AE123" s="27">
        <v>0</v>
      </c>
      <c r="AF123" s="27">
        <v>0</v>
      </c>
      <c r="AG123" s="27">
        <v>0</v>
      </c>
      <c r="AH123" s="27">
        <v>0</v>
      </c>
      <c r="AJ123">
        <f t="shared" si="1"/>
        <v>1</v>
      </c>
    </row>
    <row r="124" spans="1:36">
      <c r="A124" t="s">
        <v>891</v>
      </c>
      <c r="B124" t="s">
        <v>892</v>
      </c>
      <c r="C124" t="s">
        <v>893</v>
      </c>
      <c r="D124" t="s">
        <v>894</v>
      </c>
      <c r="E124">
        <v>2020</v>
      </c>
      <c r="F124" t="s">
        <v>887</v>
      </c>
      <c r="G124">
        <v>23</v>
      </c>
      <c r="H124">
        <v>10</v>
      </c>
      <c r="J124">
        <v>1181</v>
      </c>
      <c r="K124">
        <v>1185</v>
      </c>
      <c r="L124">
        <v>4</v>
      </c>
      <c r="M124">
        <v>10</v>
      </c>
      <c r="N124" t="s">
        <v>895</v>
      </c>
      <c r="O124" t="s">
        <v>896</v>
      </c>
      <c r="P124" s="22" t="str">
        <f>HYPERLINK(O124)</f>
        <v>https://www.scopus.com/inward/record.uri?eid=2-s2.0-85063123880&amp;doi=10.1080%2f13683500.2019.1590322&amp;partnerID=40&amp;md5=c48498693ccb7de954fb1cfdcaa54787</v>
      </c>
      <c r="Q124" t="s">
        <v>897</v>
      </c>
      <c r="R124" t="s">
        <v>48</v>
      </c>
      <c r="S124" t="s">
        <v>164</v>
      </c>
      <c r="T124" t="s">
        <v>6</v>
      </c>
      <c r="U124" t="s">
        <v>898</v>
      </c>
      <c r="V124" s="36">
        <v>1</v>
      </c>
      <c r="W124" s="27">
        <v>0</v>
      </c>
      <c r="X124" s="27">
        <v>0</v>
      </c>
      <c r="Y124" s="27">
        <v>0</v>
      </c>
      <c r="Z124" s="27">
        <v>0</v>
      </c>
      <c r="AA124" s="27">
        <v>0</v>
      </c>
      <c r="AB124" s="27">
        <v>0</v>
      </c>
      <c r="AC124" s="27">
        <v>0</v>
      </c>
      <c r="AD124" s="27">
        <v>0</v>
      </c>
      <c r="AE124" s="27">
        <v>0</v>
      </c>
      <c r="AF124" s="27">
        <v>0</v>
      </c>
      <c r="AG124" s="27">
        <v>0</v>
      </c>
      <c r="AH124" s="27">
        <v>0</v>
      </c>
      <c r="AJ124">
        <f t="shared" si="1"/>
        <v>1</v>
      </c>
    </row>
    <row r="125" spans="1:36">
      <c r="A125" t="s">
        <v>899</v>
      </c>
      <c r="B125" t="s">
        <v>900</v>
      </c>
      <c r="C125" t="s">
        <v>901</v>
      </c>
      <c r="D125" t="s">
        <v>902</v>
      </c>
      <c r="E125">
        <v>2021</v>
      </c>
      <c r="F125" t="s">
        <v>887</v>
      </c>
      <c r="G125">
        <v>24</v>
      </c>
      <c r="H125">
        <v>17</v>
      </c>
      <c r="J125">
        <v>2445</v>
      </c>
      <c r="K125">
        <v>2457</v>
      </c>
      <c r="L125">
        <v>12</v>
      </c>
      <c r="M125">
        <v>5</v>
      </c>
      <c r="N125" t="s">
        <v>903</v>
      </c>
      <c r="O125" t="s">
        <v>904</v>
      </c>
      <c r="P125" s="22" t="str">
        <f>HYPERLINK(O125)</f>
        <v>https://www.scopus.com/inward/record.uri?eid=2-s2.0-85094922555&amp;doi=10.1080%2f13683500.2020.1835841&amp;partnerID=40&amp;md5=abc8b457bd0cbf553ccb2f1197a6073c</v>
      </c>
      <c r="Q125" t="s">
        <v>156</v>
      </c>
      <c r="R125" t="s">
        <v>48</v>
      </c>
      <c r="T125" t="s">
        <v>6</v>
      </c>
      <c r="U125" t="s">
        <v>905</v>
      </c>
      <c r="V125" s="36">
        <v>1</v>
      </c>
      <c r="W125" s="27">
        <v>0</v>
      </c>
      <c r="X125" s="27">
        <v>0</v>
      </c>
      <c r="Y125" s="27">
        <v>0</v>
      </c>
      <c r="Z125" s="27">
        <v>0</v>
      </c>
      <c r="AA125" s="27">
        <v>0</v>
      </c>
      <c r="AB125" s="27">
        <v>0</v>
      </c>
      <c r="AC125" s="27">
        <v>0</v>
      </c>
      <c r="AD125" s="27">
        <v>0</v>
      </c>
      <c r="AE125" s="27">
        <v>0</v>
      </c>
      <c r="AF125" s="27">
        <v>0</v>
      </c>
      <c r="AG125" s="27">
        <v>0</v>
      </c>
      <c r="AH125" s="27">
        <v>0</v>
      </c>
      <c r="AJ125">
        <f t="shared" si="1"/>
        <v>1</v>
      </c>
    </row>
    <row r="126" spans="1:36">
      <c r="A126" t="s">
        <v>906</v>
      </c>
      <c r="B126" t="s">
        <v>907</v>
      </c>
      <c r="C126">
        <v>55797274000</v>
      </c>
      <c r="D126" t="s">
        <v>908</v>
      </c>
      <c r="E126">
        <v>2021</v>
      </c>
      <c r="F126" t="s">
        <v>887</v>
      </c>
      <c r="G126">
        <v>24</v>
      </c>
      <c r="H126">
        <v>14</v>
      </c>
      <c r="J126">
        <v>1930</v>
      </c>
      <c r="K126">
        <v>1934</v>
      </c>
      <c r="L126">
        <v>4</v>
      </c>
      <c r="M126">
        <v>10</v>
      </c>
      <c r="N126" t="s">
        <v>909</v>
      </c>
      <c r="O126" t="s">
        <v>910</v>
      </c>
      <c r="P126" s="22" t="str">
        <f>HYPERLINK(O126)</f>
        <v>https://www.scopus.com/inward/record.uri?eid=2-s2.0-85089444141&amp;doi=10.1080%2f13683500.2020.1803222&amp;partnerID=40&amp;md5=47fd126b1d7eb4fc8344b8ca5c94646f</v>
      </c>
      <c r="Q126" t="s">
        <v>425</v>
      </c>
      <c r="R126" t="s">
        <v>48</v>
      </c>
      <c r="S126" t="s">
        <v>164</v>
      </c>
      <c r="T126" t="s">
        <v>6</v>
      </c>
      <c r="U126" t="s">
        <v>911</v>
      </c>
      <c r="V126" s="36">
        <v>1</v>
      </c>
      <c r="W126" s="27">
        <v>0</v>
      </c>
      <c r="X126" s="27">
        <v>0</v>
      </c>
      <c r="Y126" s="27">
        <v>0</v>
      </c>
      <c r="Z126" s="27">
        <v>0</v>
      </c>
      <c r="AA126" s="27">
        <v>0</v>
      </c>
      <c r="AB126" s="27">
        <v>0</v>
      </c>
      <c r="AC126" s="27">
        <v>0</v>
      </c>
      <c r="AD126" s="27">
        <v>0</v>
      </c>
      <c r="AE126" s="27">
        <v>0</v>
      </c>
      <c r="AF126" s="27">
        <v>0</v>
      </c>
      <c r="AG126" s="27">
        <v>0</v>
      </c>
      <c r="AH126" s="27">
        <v>0</v>
      </c>
      <c r="AJ126">
        <f t="shared" si="1"/>
        <v>1</v>
      </c>
    </row>
    <row r="127" spans="1:36">
      <c r="A127" t="s">
        <v>912</v>
      </c>
      <c r="B127" t="s">
        <v>913</v>
      </c>
      <c r="C127" t="s">
        <v>914</v>
      </c>
      <c r="D127" t="s">
        <v>915</v>
      </c>
      <c r="E127">
        <v>2024</v>
      </c>
      <c r="F127" t="s">
        <v>887</v>
      </c>
      <c r="G127">
        <v>27</v>
      </c>
      <c r="H127">
        <v>24</v>
      </c>
      <c r="J127">
        <v>4561</v>
      </c>
      <c r="K127">
        <v>4578</v>
      </c>
      <c r="L127">
        <v>17</v>
      </c>
      <c r="M127">
        <v>3</v>
      </c>
      <c r="N127" t="s">
        <v>916</v>
      </c>
      <c r="O127" t="s">
        <v>917</v>
      </c>
      <c r="P127" s="22" t="str">
        <f>HYPERLINK(O127)</f>
        <v>https://www.scopus.com/inward/record.uri?eid=2-s2.0-85180230799&amp;doi=10.1080%2f13683500.2023.2294486&amp;partnerID=40&amp;md5=71dbc56a200d6c1af19a97c467edabc0</v>
      </c>
      <c r="Q127" t="s">
        <v>156</v>
      </c>
      <c r="R127" t="s">
        <v>48</v>
      </c>
      <c r="T127" t="s">
        <v>6</v>
      </c>
      <c r="U127" t="s">
        <v>918</v>
      </c>
      <c r="V127" s="36">
        <v>0</v>
      </c>
      <c r="W127" s="27">
        <v>0</v>
      </c>
      <c r="X127" s="27">
        <v>0</v>
      </c>
      <c r="Y127" s="27">
        <v>0</v>
      </c>
      <c r="Z127" s="27">
        <v>1</v>
      </c>
      <c r="AA127" s="27">
        <v>0</v>
      </c>
      <c r="AB127" s="27">
        <v>0</v>
      </c>
      <c r="AC127" s="27">
        <v>0</v>
      </c>
      <c r="AD127" s="27">
        <v>0</v>
      </c>
      <c r="AE127" s="27">
        <v>0</v>
      </c>
      <c r="AF127" s="27">
        <v>0</v>
      </c>
      <c r="AG127" s="27">
        <v>0</v>
      </c>
      <c r="AH127" s="27">
        <v>0</v>
      </c>
      <c r="AJ127">
        <f t="shared" si="1"/>
        <v>1</v>
      </c>
    </row>
    <row r="128" spans="1:36">
      <c r="A128" t="s">
        <v>919</v>
      </c>
      <c r="B128" t="s">
        <v>920</v>
      </c>
      <c r="C128" t="s">
        <v>921</v>
      </c>
      <c r="D128" t="s">
        <v>922</v>
      </c>
      <c r="E128">
        <v>2020</v>
      </c>
      <c r="F128" t="s">
        <v>887</v>
      </c>
      <c r="G128">
        <v>23</v>
      </c>
      <c r="H128">
        <v>6</v>
      </c>
      <c r="J128">
        <v>666</v>
      </c>
      <c r="K128">
        <v>678</v>
      </c>
      <c r="L128">
        <v>12</v>
      </c>
      <c r="M128">
        <v>32</v>
      </c>
      <c r="N128" t="s">
        <v>923</v>
      </c>
      <c r="O128" t="s">
        <v>924</v>
      </c>
      <c r="P128" s="22" t="str">
        <f>HYPERLINK(O128)</f>
        <v>https://www.scopus.com/inward/record.uri?eid=2-s2.0-85057556267&amp;doi=10.1080%2f13683500.2018.1544612&amp;partnerID=40&amp;md5=16a7cd9c9c66befdcbeb0a0b42fcc1f4</v>
      </c>
      <c r="Q128" t="s">
        <v>156</v>
      </c>
      <c r="R128" t="s">
        <v>48</v>
      </c>
      <c r="T128" t="s">
        <v>6</v>
      </c>
      <c r="U128" t="s">
        <v>925</v>
      </c>
      <c r="V128" s="36">
        <v>1</v>
      </c>
      <c r="W128" s="27">
        <v>0</v>
      </c>
      <c r="X128" s="27">
        <v>0</v>
      </c>
      <c r="Y128" s="27">
        <v>0</v>
      </c>
      <c r="Z128" s="27">
        <v>0</v>
      </c>
      <c r="AA128" s="27">
        <v>0</v>
      </c>
      <c r="AB128" s="27">
        <v>0</v>
      </c>
      <c r="AC128" s="27">
        <v>0</v>
      </c>
      <c r="AD128" s="27">
        <v>0</v>
      </c>
      <c r="AE128" s="27">
        <v>0</v>
      </c>
      <c r="AF128" s="27">
        <v>0</v>
      </c>
      <c r="AG128" s="27">
        <v>0</v>
      </c>
      <c r="AH128" s="27">
        <v>0</v>
      </c>
      <c r="AJ128">
        <f t="shared" si="1"/>
        <v>1</v>
      </c>
    </row>
    <row r="129" spans="1:36">
      <c r="A129" t="s">
        <v>926</v>
      </c>
      <c r="B129" t="s">
        <v>927</v>
      </c>
      <c r="C129" t="s">
        <v>928</v>
      </c>
      <c r="D129" t="s">
        <v>929</v>
      </c>
      <c r="E129">
        <v>2017</v>
      </c>
      <c r="F129" t="s">
        <v>887</v>
      </c>
      <c r="G129">
        <v>20</v>
      </c>
      <c r="H129">
        <v>8</v>
      </c>
      <c r="J129">
        <v>787</v>
      </c>
      <c r="K129">
        <v>800</v>
      </c>
      <c r="L129">
        <v>13</v>
      </c>
      <c r="M129">
        <v>82</v>
      </c>
      <c r="N129" t="s">
        <v>930</v>
      </c>
      <c r="O129" t="s">
        <v>931</v>
      </c>
      <c r="P129" s="22" t="str">
        <f>HYPERLINK(O129)</f>
        <v>https://www.scopus.com/inward/record.uri?eid=2-s2.0-85017517863&amp;doi=10.1080%2f13683500.2016.1170772&amp;partnerID=40&amp;md5=dafd0c5d3c3f8e580d3bc538d9af6727</v>
      </c>
      <c r="Q129" t="s">
        <v>897</v>
      </c>
      <c r="R129" t="s">
        <v>48</v>
      </c>
      <c r="T129" t="s">
        <v>6</v>
      </c>
      <c r="U129" t="s">
        <v>932</v>
      </c>
      <c r="V129" s="36">
        <v>0</v>
      </c>
      <c r="W129" s="27">
        <v>0</v>
      </c>
      <c r="X129" s="27">
        <v>0</v>
      </c>
      <c r="Y129" s="27">
        <v>0</v>
      </c>
      <c r="Z129" s="27">
        <v>1</v>
      </c>
      <c r="AA129" s="27">
        <v>0</v>
      </c>
      <c r="AB129" s="27">
        <v>0</v>
      </c>
      <c r="AC129" s="27">
        <v>0</v>
      </c>
      <c r="AD129" s="27">
        <v>0</v>
      </c>
      <c r="AE129" s="27">
        <v>0</v>
      </c>
      <c r="AF129" s="27">
        <v>0</v>
      </c>
      <c r="AG129" s="27">
        <v>0</v>
      </c>
      <c r="AH129" s="27">
        <v>0</v>
      </c>
      <c r="AJ129">
        <f t="shared" si="1"/>
        <v>1</v>
      </c>
    </row>
    <row r="130" spans="1:36">
      <c r="A130" t="s">
        <v>933</v>
      </c>
      <c r="B130" t="s">
        <v>934</v>
      </c>
      <c r="C130" t="s">
        <v>935</v>
      </c>
      <c r="D130" t="s">
        <v>936</v>
      </c>
      <c r="E130">
        <v>2022</v>
      </c>
      <c r="F130" t="s">
        <v>887</v>
      </c>
      <c r="G130">
        <v>25</v>
      </c>
      <c r="H130">
        <v>16</v>
      </c>
      <c r="J130">
        <v>2595</v>
      </c>
      <c r="K130">
        <v>2614</v>
      </c>
      <c r="L130">
        <v>19</v>
      </c>
      <c r="M130">
        <v>3</v>
      </c>
      <c r="N130" t="s">
        <v>937</v>
      </c>
      <c r="O130" t="s">
        <v>938</v>
      </c>
      <c r="P130" s="22" t="str">
        <f>HYPERLINK(O130)</f>
        <v>https://www.scopus.com/inward/record.uri?eid=2-s2.0-85115352718&amp;doi=10.1080%2f13683500.2021.1978949&amp;partnerID=40&amp;md5=9c3f34d800a6efab2154f616e339df89</v>
      </c>
      <c r="Q130" t="s">
        <v>156</v>
      </c>
      <c r="R130" t="s">
        <v>48</v>
      </c>
      <c r="T130" t="s">
        <v>6</v>
      </c>
      <c r="U130" t="s">
        <v>939</v>
      </c>
      <c r="V130" s="36">
        <v>0</v>
      </c>
      <c r="W130" s="27">
        <v>0</v>
      </c>
      <c r="X130" s="27">
        <v>0</v>
      </c>
      <c r="Y130" s="27">
        <v>0</v>
      </c>
      <c r="Z130" s="27">
        <v>0</v>
      </c>
      <c r="AA130" s="27">
        <v>0</v>
      </c>
      <c r="AB130" s="27">
        <v>0</v>
      </c>
      <c r="AC130" s="27">
        <v>0</v>
      </c>
      <c r="AD130" s="27">
        <v>0</v>
      </c>
      <c r="AE130" s="27">
        <v>0</v>
      </c>
      <c r="AF130" s="27">
        <v>0</v>
      </c>
      <c r="AG130" s="27">
        <v>0</v>
      </c>
      <c r="AH130" s="27">
        <v>0</v>
      </c>
      <c r="AJ130">
        <f t="shared" ref="AJ130:AJ193" si="2">SUM(V130:AH130)</f>
        <v>0</v>
      </c>
    </row>
    <row r="131" spans="1:36">
      <c r="A131" t="s">
        <v>940</v>
      </c>
      <c r="B131" t="s">
        <v>941</v>
      </c>
      <c r="C131" t="s">
        <v>942</v>
      </c>
      <c r="D131" t="s">
        <v>943</v>
      </c>
      <c r="E131">
        <v>2023</v>
      </c>
      <c r="F131" t="s">
        <v>887</v>
      </c>
      <c r="G131">
        <v>26</v>
      </c>
      <c r="H131">
        <v>22</v>
      </c>
      <c r="J131">
        <v>3734</v>
      </c>
      <c r="K131">
        <v>3750</v>
      </c>
      <c r="L131">
        <v>16</v>
      </c>
      <c r="M131">
        <v>3</v>
      </c>
      <c r="N131" t="s">
        <v>944</v>
      </c>
      <c r="O131" t="s">
        <v>945</v>
      </c>
      <c r="P131" s="22" t="str">
        <f>HYPERLINK(O131)</f>
        <v>https://www.scopus.com/inward/record.uri?eid=2-s2.0-85144265186&amp;doi=10.1080%2f13683500.2022.2151419&amp;partnerID=40&amp;md5=c95de19d9db9824b2a1662677c691449</v>
      </c>
      <c r="Q131" t="s">
        <v>156</v>
      </c>
      <c r="R131" t="s">
        <v>48</v>
      </c>
      <c r="T131" t="s">
        <v>6</v>
      </c>
      <c r="U131" t="s">
        <v>946</v>
      </c>
      <c r="V131" s="36">
        <v>1</v>
      </c>
      <c r="W131" s="27">
        <v>0</v>
      </c>
      <c r="X131" s="27">
        <v>0</v>
      </c>
      <c r="Y131" s="27">
        <v>0</v>
      </c>
      <c r="Z131" s="27">
        <v>0</v>
      </c>
      <c r="AA131" s="27">
        <v>0</v>
      </c>
      <c r="AB131" s="27">
        <v>0</v>
      </c>
      <c r="AC131" s="27">
        <v>0</v>
      </c>
      <c r="AD131" s="27">
        <v>0</v>
      </c>
      <c r="AE131" s="27">
        <v>0</v>
      </c>
      <c r="AF131" s="27">
        <v>0</v>
      </c>
      <c r="AG131" s="27">
        <v>0</v>
      </c>
      <c r="AH131" s="27">
        <v>0</v>
      </c>
      <c r="AJ131">
        <f t="shared" si="2"/>
        <v>1</v>
      </c>
    </row>
    <row r="132" spans="1:36">
      <c r="A132" t="s">
        <v>947</v>
      </c>
      <c r="B132" t="s">
        <v>948</v>
      </c>
      <c r="C132" t="s">
        <v>949</v>
      </c>
      <c r="D132" t="s">
        <v>950</v>
      </c>
      <c r="E132">
        <v>2021</v>
      </c>
      <c r="F132" t="s">
        <v>887</v>
      </c>
      <c r="G132">
        <v>24</v>
      </c>
      <c r="H132">
        <v>3</v>
      </c>
      <c r="J132">
        <v>385</v>
      </c>
      <c r="K132">
        <v>402</v>
      </c>
      <c r="L132">
        <v>17</v>
      </c>
      <c r="M132">
        <v>23</v>
      </c>
      <c r="N132" t="s">
        <v>951</v>
      </c>
      <c r="O132" t="s">
        <v>952</v>
      </c>
      <c r="P132" s="22" t="str">
        <f>HYPERLINK(O132)</f>
        <v>https://www.scopus.com/inward/record.uri?eid=2-s2.0-85081287466&amp;doi=10.1080%2f13683500.2020.1734547&amp;partnerID=40&amp;md5=a516a965103921a596713ac9dfd62840</v>
      </c>
      <c r="Q132" t="s">
        <v>156</v>
      </c>
      <c r="R132" t="s">
        <v>48</v>
      </c>
      <c r="T132" t="s">
        <v>6</v>
      </c>
      <c r="U132" t="s">
        <v>953</v>
      </c>
      <c r="V132" s="36">
        <v>1</v>
      </c>
      <c r="W132" s="27">
        <v>0</v>
      </c>
      <c r="X132" s="27">
        <v>0</v>
      </c>
      <c r="Y132" s="27">
        <v>0</v>
      </c>
      <c r="Z132" s="27">
        <v>0</v>
      </c>
      <c r="AA132" s="27">
        <v>0</v>
      </c>
      <c r="AB132" s="27">
        <v>0</v>
      </c>
      <c r="AC132" s="27">
        <v>0</v>
      </c>
      <c r="AD132" s="27">
        <v>0</v>
      </c>
      <c r="AE132" s="27">
        <v>0</v>
      </c>
      <c r="AF132" s="27">
        <v>0</v>
      </c>
      <c r="AG132" s="27">
        <v>0</v>
      </c>
      <c r="AH132" s="27">
        <v>1</v>
      </c>
      <c r="AJ132">
        <f t="shared" si="2"/>
        <v>2</v>
      </c>
    </row>
    <row r="133" spans="1:36">
      <c r="A133" t="s">
        <v>954</v>
      </c>
      <c r="B133" t="s">
        <v>955</v>
      </c>
      <c r="C133" t="s">
        <v>956</v>
      </c>
      <c r="D133" t="s">
        <v>957</v>
      </c>
      <c r="E133">
        <v>2016</v>
      </c>
      <c r="F133" t="s">
        <v>887</v>
      </c>
      <c r="G133">
        <v>19</v>
      </c>
      <c r="H133">
        <v>11</v>
      </c>
      <c r="J133">
        <v>1077</v>
      </c>
      <c r="K133">
        <v>1083</v>
      </c>
      <c r="L133">
        <v>6</v>
      </c>
      <c r="M133">
        <v>64</v>
      </c>
      <c r="N133" t="s">
        <v>958</v>
      </c>
      <c r="O133" t="s">
        <v>959</v>
      </c>
      <c r="P133" s="22" t="str">
        <f>HYPERLINK(O133)</f>
        <v>https://www.scopus.com/inward/record.uri?eid=2-s2.0-84930405355&amp;doi=10.1080%2f13683500.2015.1051518&amp;partnerID=40&amp;md5=e80ed98b5a6b853a87e73f80fef6f413</v>
      </c>
      <c r="Q133" t="s">
        <v>425</v>
      </c>
      <c r="R133" t="s">
        <v>48</v>
      </c>
      <c r="T133" t="s">
        <v>6</v>
      </c>
      <c r="U133" t="s">
        <v>960</v>
      </c>
      <c r="V133" s="36">
        <v>1</v>
      </c>
      <c r="W133" s="27">
        <v>0</v>
      </c>
      <c r="X133" s="27">
        <v>0</v>
      </c>
      <c r="Y133" s="27">
        <v>0</v>
      </c>
      <c r="Z133" s="27">
        <v>0</v>
      </c>
      <c r="AA133" s="27">
        <v>0</v>
      </c>
      <c r="AB133" s="27">
        <v>0</v>
      </c>
      <c r="AC133" s="27">
        <v>0</v>
      </c>
      <c r="AD133" s="27">
        <v>0</v>
      </c>
      <c r="AE133" s="27">
        <v>0</v>
      </c>
      <c r="AF133" s="27">
        <v>0</v>
      </c>
      <c r="AG133" s="27">
        <v>0</v>
      </c>
      <c r="AH133" s="27">
        <v>0</v>
      </c>
      <c r="AJ133">
        <f t="shared" si="2"/>
        <v>1</v>
      </c>
    </row>
    <row r="134" spans="1:36">
      <c r="A134" t="s">
        <v>961</v>
      </c>
      <c r="B134" t="s">
        <v>962</v>
      </c>
      <c r="C134">
        <v>24370809800</v>
      </c>
      <c r="D134" t="s">
        <v>963</v>
      </c>
      <c r="E134">
        <v>2000</v>
      </c>
      <c r="F134" t="s">
        <v>887</v>
      </c>
      <c r="G134">
        <v>3</v>
      </c>
      <c r="H134">
        <v>3</v>
      </c>
      <c r="J134">
        <v>226</v>
      </c>
      <c r="K134">
        <v>245</v>
      </c>
      <c r="L134">
        <v>19</v>
      </c>
      <c r="M134">
        <v>22</v>
      </c>
      <c r="N134" t="s">
        <v>964</v>
      </c>
      <c r="O134" t="s">
        <v>965</v>
      </c>
      <c r="P134" s="22" t="str">
        <f>HYPERLINK(O134)</f>
        <v>https://www.scopus.com/inward/record.uri?eid=2-s2.0-0034492895&amp;doi=10.1080%2f13683500008667874&amp;partnerID=40&amp;md5=d88ba239437d048bd99b7278338b9166</v>
      </c>
      <c r="Q134" t="s">
        <v>156</v>
      </c>
      <c r="R134" t="s">
        <v>48</v>
      </c>
      <c r="T134" t="s">
        <v>6</v>
      </c>
      <c r="U134" t="s">
        <v>966</v>
      </c>
      <c r="V134" s="36">
        <v>0</v>
      </c>
      <c r="W134" s="27">
        <v>1</v>
      </c>
      <c r="X134" s="27">
        <v>0</v>
      </c>
      <c r="Y134" s="27">
        <v>0</v>
      </c>
      <c r="Z134" s="27">
        <v>0</v>
      </c>
      <c r="AA134" s="27">
        <v>0</v>
      </c>
      <c r="AB134" s="27">
        <v>0</v>
      </c>
      <c r="AC134" s="27">
        <v>0</v>
      </c>
      <c r="AD134" s="27">
        <v>0</v>
      </c>
      <c r="AE134" s="27">
        <v>0</v>
      </c>
      <c r="AF134" s="27">
        <v>0</v>
      </c>
      <c r="AG134" s="27">
        <v>0</v>
      </c>
      <c r="AH134" s="27">
        <v>0</v>
      </c>
      <c r="AJ134">
        <f t="shared" si="2"/>
        <v>1</v>
      </c>
    </row>
    <row r="135" spans="1:36">
      <c r="A135" t="s">
        <v>967</v>
      </c>
      <c r="B135" t="s">
        <v>968</v>
      </c>
      <c r="C135" t="s">
        <v>969</v>
      </c>
      <c r="D135" t="s">
        <v>970</v>
      </c>
      <c r="E135">
        <v>2024</v>
      </c>
      <c r="F135" t="s">
        <v>887</v>
      </c>
      <c r="M135">
        <v>3</v>
      </c>
      <c r="N135" t="s">
        <v>971</v>
      </c>
      <c r="O135" t="s">
        <v>972</v>
      </c>
      <c r="P135" s="22" t="str">
        <f>HYPERLINK(O135)</f>
        <v>https://www.scopus.com/inward/record.uri?eid=2-s2.0-85189625690&amp;doi=10.1080%2f13683500.2024.2334830&amp;partnerID=40&amp;md5=acd79e89eae0ecb728fe7adce808dc51</v>
      </c>
      <c r="Q135" t="s">
        <v>156</v>
      </c>
      <c r="R135" t="s">
        <v>973</v>
      </c>
      <c r="T135" t="s">
        <v>6</v>
      </c>
      <c r="U135" t="s">
        <v>974</v>
      </c>
      <c r="V135" s="36">
        <v>0</v>
      </c>
      <c r="W135" s="27">
        <v>1</v>
      </c>
      <c r="X135" s="27">
        <v>0</v>
      </c>
      <c r="Y135" s="27">
        <v>0</v>
      </c>
      <c r="Z135" s="27">
        <v>0</v>
      </c>
      <c r="AA135" s="27">
        <v>0</v>
      </c>
      <c r="AB135" s="27">
        <v>0</v>
      </c>
      <c r="AC135" s="27">
        <v>0</v>
      </c>
      <c r="AD135" s="27">
        <v>0</v>
      </c>
      <c r="AE135" s="27">
        <v>0</v>
      </c>
      <c r="AF135" s="27">
        <v>0</v>
      </c>
      <c r="AG135" s="27">
        <v>0</v>
      </c>
      <c r="AH135" s="27">
        <v>0</v>
      </c>
      <c r="AJ135">
        <f t="shared" si="2"/>
        <v>1</v>
      </c>
    </row>
    <row r="136" spans="1:36">
      <c r="A136" t="s">
        <v>975</v>
      </c>
      <c r="B136" t="s">
        <v>976</v>
      </c>
      <c r="C136" t="s">
        <v>977</v>
      </c>
      <c r="D136" t="s">
        <v>978</v>
      </c>
      <c r="E136">
        <v>2019</v>
      </c>
      <c r="F136" t="s">
        <v>887</v>
      </c>
      <c r="G136">
        <v>22</v>
      </c>
      <c r="H136">
        <v>8</v>
      </c>
      <c r="J136">
        <v>967</v>
      </c>
      <c r="K136">
        <v>981</v>
      </c>
      <c r="L136">
        <v>14</v>
      </c>
      <c r="M136">
        <v>43</v>
      </c>
      <c r="N136" t="s">
        <v>979</v>
      </c>
      <c r="O136" t="s">
        <v>980</v>
      </c>
      <c r="P136" s="22" t="str">
        <f>HYPERLINK(O136)</f>
        <v>https://www.scopus.com/inward/record.uri?eid=2-s2.0-85023160232&amp;doi=10.1080%2f13683500.2017.1345870&amp;partnerID=40&amp;md5=23f867b9971330be4e0409042c006251</v>
      </c>
      <c r="Q136" t="s">
        <v>156</v>
      </c>
      <c r="R136" t="s">
        <v>48</v>
      </c>
      <c r="T136" t="s">
        <v>6</v>
      </c>
      <c r="U136" t="s">
        <v>981</v>
      </c>
      <c r="V136" s="36">
        <v>1</v>
      </c>
      <c r="W136" s="27">
        <v>0</v>
      </c>
      <c r="X136" s="27">
        <v>0</v>
      </c>
      <c r="Y136" s="27">
        <v>0</v>
      </c>
      <c r="Z136" s="27">
        <v>0</v>
      </c>
      <c r="AA136" s="27">
        <v>0</v>
      </c>
      <c r="AB136" s="27">
        <v>0</v>
      </c>
      <c r="AC136" s="27">
        <v>0</v>
      </c>
      <c r="AD136" s="27">
        <v>0</v>
      </c>
      <c r="AE136" s="27">
        <v>0</v>
      </c>
      <c r="AF136" s="27">
        <v>0</v>
      </c>
      <c r="AG136" s="27">
        <v>0</v>
      </c>
      <c r="AH136" s="27">
        <v>0</v>
      </c>
      <c r="AJ136">
        <f t="shared" si="2"/>
        <v>1</v>
      </c>
    </row>
    <row r="137" spans="1:36">
      <c r="A137" t="s">
        <v>982</v>
      </c>
      <c r="B137" t="s">
        <v>983</v>
      </c>
      <c r="C137" t="s">
        <v>984</v>
      </c>
      <c r="D137" t="s">
        <v>985</v>
      </c>
      <c r="E137">
        <v>2022</v>
      </c>
      <c r="F137" t="s">
        <v>986</v>
      </c>
      <c r="G137">
        <v>8</v>
      </c>
      <c r="H137">
        <v>1</v>
      </c>
      <c r="M137">
        <v>7</v>
      </c>
      <c r="N137" t="s">
        <v>987</v>
      </c>
      <c r="O137" t="s">
        <v>988</v>
      </c>
      <c r="P137" s="22" t="str">
        <f>HYPERLINK(O137)</f>
        <v>https://www.scopus.com/inward/record.uri?eid=2-s2.0-85123470158&amp;doi=10.1007%2fs40778-022-00207-y&amp;partnerID=40&amp;md5=6e8b8781a4e9863a2a0803426cc8897c</v>
      </c>
      <c r="Q137" t="s">
        <v>184</v>
      </c>
      <c r="R137" t="s">
        <v>48</v>
      </c>
      <c r="S137" t="s">
        <v>172</v>
      </c>
      <c r="T137" t="s">
        <v>6</v>
      </c>
      <c r="U137" t="s">
        <v>989</v>
      </c>
      <c r="V137" s="36">
        <v>0</v>
      </c>
      <c r="W137" s="27">
        <v>0</v>
      </c>
      <c r="X137" s="27">
        <v>0</v>
      </c>
      <c r="Y137" s="27">
        <v>0</v>
      </c>
      <c r="Z137" s="27">
        <v>0</v>
      </c>
      <c r="AA137" s="27">
        <v>0</v>
      </c>
      <c r="AB137" s="27">
        <v>0</v>
      </c>
      <c r="AC137" s="27">
        <v>0</v>
      </c>
      <c r="AD137" s="27">
        <v>0</v>
      </c>
      <c r="AE137" s="27">
        <v>0</v>
      </c>
      <c r="AF137" s="27">
        <v>0</v>
      </c>
      <c r="AG137" s="27">
        <v>0</v>
      </c>
      <c r="AH137" s="27">
        <v>1</v>
      </c>
      <c r="AJ137">
        <f t="shared" si="2"/>
        <v>1</v>
      </c>
    </row>
    <row r="138" spans="1:36">
      <c r="A138" t="s">
        <v>990</v>
      </c>
      <c r="B138" t="s">
        <v>991</v>
      </c>
      <c r="C138">
        <v>14014229800</v>
      </c>
      <c r="D138" t="s">
        <v>992</v>
      </c>
      <c r="E138">
        <v>2008</v>
      </c>
      <c r="F138" t="s">
        <v>993</v>
      </c>
      <c r="G138">
        <v>19</v>
      </c>
      <c r="H138">
        <v>2</v>
      </c>
      <c r="J138">
        <v>169</v>
      </c>
      <c r="K138">
        <v>188</v>
      </c>
      <c r="L138">
        <v>19</v>
      </c>
      <c r="M138">
        <v>114</v>
      </c>
      <c r="N138" t="s">
        <v>994</v>
      </c>
      <c r="O138" t="s">
        <v>995</v>
      </c>
      <c r="P138" s="22" t="str">
        <f>HYPERLINK(O138)</f>
        <v>https://www.scopus.com/inward/record.uri?eid=2-s2.0-39049101634&amp;doi=10.1080%2f10242690701453917&amp;partnerID=40&amp;md5=2b7804413b728827148264b9dc935586</v>
      </c>
      <c r="Q138" t="s">
        <v>156</v>
      </c>
      <c r="R138" t="s">
        <v>48</v>
      </c>
      <c r="T138" t="s">
        <v>6</v>
      </c>
      <c r="U138" t="s">
        <v>996</v>
      </c>
      <c r="V138" s="36">
        <v>1</v>
      </c>
      <c r="W138" s="27">
        <v>0</v>
      </c>
      <c r="X138" s="27">
        <v>0</v>
      </c>
      <c r="Y138" s="27">
        <v>0</v>
      </c>
      <c r="Z138" s="27">
        <v>0</v>
      </c>
      <c r="AA138" s="27">
        <v>0</v>
      </c>
      <c r="AB138" s="27">
        <v>0</v>
      </c>
      <c r="AC138" s="27">
        <v>0</v>
      </c>
      <c r="AD138" s="27">
        <v>0</v>
      </c>
      <c r="AE138" s="27">
        <v>0</v>
      </c>
      <c r="AF138" s="27">
        <v>0</v>
      </c>
      <c r="AG138" s="27">
        <v>0</v>
      </c>
      <c r="AH138" s="27">
        <v>0</v>
      </c>
      <c r="AJ138">
        <f t="shared" si="2"/>
        <v>1</v>
      </c>
    </row>
    <row r="139" spans="1:36">
      <c r="A139" t="s">
        <v>997</v>
      </c>
      <c r="B139" t="s">
        <v>998</v>
      </c>
      <c r="C139" t="s">
        <v>999</v>
      </c>
      <c r="D139" t="s">
        <v>1000</v>
      </c>
      <c r="E139">
        <v>2016</v>
      </c>
      <c r="F139" t="s">
        <v>993</v>
      </c>
      <c r="G139">
        <v>27</v>
      </c>
      <c r="H139">
        <v>6</v>
      </c>
      <c r="J139">
        <v>854</v>
      </c>
      <c r="K139">
        <v>870</v>
      </c>
      <c r="L139">
        <v>16</v>
      </c>
      <c r="M139">
        <v>17</v>
      </c>
      <c r="N139" t="s">
        <v>1001</v>
      </c>
      <c r="O139" t="s">
        <v>1002</v>
      </c>
      <c r="P139" s="22" t="str">
        <f>HYPERLINK(O139)</f>
        <v>https://www.scopus.com/inward/record.uri?eid=2-s2.0-84961308475&amp;doi=10.1080%2f10242694.2015.1025485&amp;partnerID=40&amp;md5=dc7ef7ef6691538e821b143a6dadc587</v>
      </c>
      <c r="Q139" t="s">
        <v>156</v>
      </c>
      <c r="R139" t="s">
        <v>48</v>
      </c>
      <c r="T139" t="s">
        <v>6</v>
      </c>
      <c r="U139" t="s">
        <v>1003</v>
      </c>
      <c r="V139" s="36">
        <v>1</v>
      </c>
      <c r="W139" s="27">
        <v>0</v>
      </c>
      <c r="X139" s="27">
        <v>0</v>
      </c>
      <c r="Y139" s="27">
        <v>0</v>
      </c>
      <c r="Z139" s="27">
        <v>0</v>
      </c>
      <c r="AA139" s="27">
        <v>0</v>
      </c>
      <c r="AB139" s="27">
        <v>0</v>
      </c>
      <c r="AC139" s="27">
        <v>0</v>
      </c>
      <c r="AD139" s="27">
        <v>0</v>
      </c>
      <c r="AE139" s="27">
        <v>0</v>
      </c>
      <c r="AF139" s="27">
        <v>0</v>
      </c>
      <c r="AG139" s="27">
        <v>0</v>
      </c>
      <c r="AH139" s="27">
        <v>0</v>
      </c>
      <c r="AJ139">
        <f t="shared" si="2"/>
        <v>1</v>
      </c>
    </row>
    <row r="140" spans="1:36">
      <c r="A140" t="s">
        <v>1004</v>
      </c>
      <c r="B140" t="s">
        <v>1005</v>
      </c>
      <c r="C140" t="s">
        <v>1006</v>
      </c>
      <c r="D140" t="s">
        <v>1007</v>
      </c>
      <c r="E140">
        <v>2013</v>
      </c>
      <c r="F140" t="s">
        <v>1008</v>
      </c>
      <c r="G140">
        <v>30</v>
      </c>
      <c r="H140">
        <v>3</v>
      </c>
      <c r="J140">
        <v>347</v>
      </c>
      <c r="K140">
        <v>366</v>
      </c>
      <c r="L140">
        <v>19</v>
      </c>
      <c r="M140">
        <v>29</v>
      </c>
      <c r="N140" t="s">
        <v>1009</v>
      </c>
      <c r="O140" t="s">
        <v>1010</v>
      </c>
      <c r="P140" s="22" t="str">
        <f>HYPERLINK(O140)</f>
        <v>https://www.scopus.com/inward/record.uri?eid=2-s2.0-84883461281&amp;doi=10.1080%2f0376835X.2013.817302&amp;partnerID=40&amp;md5=da5ecedb4c4d91797f827147015d13fb</v>
      </c>
      <c r="Q140" t="s">
        <v>156</v>
      </c>
      <c r="R140" t="s">
        <v>48</v>
      </c>
      <c r="S140" t="s">
        <v>436</v>
      </c>
      <c r="T140" t="s">
        <v>6</v>
      </c>
      <c r="U140" t="s">
        <v>1011</v>
      </c>
      <c r="V140" s="36">
        <v>1</v>
      </c>
      <c r="W140" s="27">
        <v>0</v>
      </c>
      <c r="X140" s="27">
        <v>0</v>
      </c>
      <c r="Y140" s="27">
        <v>0</v>
      </c>
      <c r="Z140" s="27">
        <v>0</v>
      </c>
      <c r="AA140" s="27">
        <v>0</v>
      </c>
      <c r="AB140" s="27">
        <v>0</v>
      </c>
      <c r="AC140" s="27">
        <v>0</v>
      </c>
      <c r="AD140" s="27">
        <v>0</v>
      </c>
      <c r="AE140" s="27">
        <v>0</v>
      </c>
      <c r="AF140" s="27">
        <v>0</v>
      </c>
      <c r="AG140" s="27">
        <v>0</v>
      </c>
      <c r="AH140" s="27">
        <v>0</v>
      </c>
      <c r="AJ140">
        <f t="shared" si="2"/>
        <v>1</v>
      </c>
    </row>
    <row r="141" spans="1:36">
      <c r="A141" t="s">
        <v>1012</v>
      </c>
      <c r="B141" t="s">
        <v>1013</v>
      </c>
      <c r="C141" t="s">
        <v>1014</v>
      </c>
      <c r="D141" t="s">
        <v>1015</v>
      </c>
      <c r="E141">
        <v>2014</v>
      </c>
      <c r="F141" t="s">
        <v>1016</v>
      </c>
      <c r="G141">
        <v>12</v>
      </c>
      <c r="J141">
        <v>133</v>
      </c>
      <c r="K141">
        <v>154</v>
      </c>
      <c r="L141">
        <v>21</v>
      </c>
      <c r="M141">
        <v>24</v>
      </c>
      <c r="N141" t="s">
        <v>1017</v>
      </c>
      <c r="O141" t="s">
        <v>1018</v>
      </c>
      <c r="P141" s="22" t="str">
        <f>HYPERLINK(O141)</f>
        <v>https://www.scopus.com/inward/record.uri?eid=2-s2.0-84902673500&amp;doi=10.1007%2f978-88-470-5480-6_6&amp;partnerID=40&amp;md5=c0efeea6742ba920584bafa9bc9cf11f</v>
      </c>
      <c r="Q141" t="s">
        <v>156</v>
      </c>
      <c r="R141" t="s">
        <v>48</v>
      </c>
      <c r="T141" t="s">
        <v>6</v>
      </c>
      <c r="U141" t="s">
        <v>1019</v>
      </c>
      <c r="V141" s="36">
        <v>0</v>
      </c>
      <c r="W141" s="27">
        <v>0</v>
      </c>
      <c r="X141" s="27">
        <v>0</v>
      </c>
      <c r="Y141" s="27">
        <v>0</v>
      </c>
      <c r="Z141" s="27">
        <v>0</v>
      </c>
      <c r="AA141" s="27">
        <v>0</v>
      </c>
      <c r="AB141" s="27">
        <v>0</v>
      </c>
      <c r="AC141" s="27">
        <v>0</v>
      </c>
      <c r="AD141" s="27">
        <v>0</v>
      </c>
      <c r="AE141" s="27">
        <v>0</v>
      </c>
      <c r="AF141" s="27">
        <v>0</v>
      </c>
      <c r="AG141" s="27">
        <v>0</v>
      </c>
      <c r="AH141" s="27">
        <v>1</v>
      </c>
      <c r="AJ141">
        <f t="shared" si="2"/>
        <v>1</v>
      </c>
    </row>
    <row r="142" spans="1:36">
      <c r="A142" t="s">
        <v>1020</v>
      </c>
      <c r="B142" t="s">
        <v>1021</v>
      </c>
      <c r="C142" t="s">
        <v>1022</v>
      </c>
      <c r="D142" t="s">
        <v>1023</v>
      </c>
      <c r="E142">
        <v>2015</v>
      </c>
      <c r="F142" t="s">
        <v>1024</v>
      </c>
      <c r="J142">
        <v>125</v>
      </c>
      <c r="K142">
        <v>129</v>
      </c>
      <c r="L142">
        <v>4</v>
      </c>
      <c r="M142">
        <v>0</v>
      </c>
      <c r="N142" t="s">
        <v>1025</v>
      </c>
      <c r="O142" t="s">
        <v>1026</v>
      </c>
      <c r="P142" s="22" t="str">
        <f>HYPERLINK(O142)</f>
        <v>https://www.scopus.com/inward/record.uri?eid=2-s2.0-85125705500&amp;doi=10.1007%2f978-3-319-17323-8_31&amp;partnerID=40&amp;md5=7f214d5e31d3cce3aa1e377eb1e0e627</v>
      </c>
      <c r="Q142" t="s">
        <v>216</v>
      </c>
      <c r="R142" t="s">
        <v>48</v>
      </c>
      <c r="T142" t="s">
        <v>6</v>
      </c>
      <c r="U142" t="s">
        <v>1027</v>
      </c>
      <c r="V142" s="36">
        <v>0</v>
      </c>
      <c r="W142" s="27">
        <v>1</v>
      </c>
      <c r="X142" s="27">
        <v>0</v>
      </c>
      <c r="Y142" s="27">
        <v>0</v>
      </c>
      <c r="Z142" s="27">
        <v>0</v>
      </c>
      <c r="AA142" s="27">
        <v>0</v>
      </c>
      <c r="AB142" s="27">
        <v>0</v>
      </c>
      <c r="AC142" s="27">
        <v>0</v>
      </c>
      <c r="AD142" s="27">
        <v>0</v>
      </c>
      <c r="AE142" s="27">
        <v>0</v>
      </c>
      <c r="AF142" s="27">
        <v>0</v>
      </c>
      <c r="AG142" s="27">
        <v>0</v>
      </c>
      <c r="AH142" s="27">
        <v>0</v>
      </c>
      <c r="AJ142">
        <f t="shared" si="2"/>
        <v>1</v>
      </c>
    </row>
    <row r="143" spans="1:36">
      <c r="A143" t="s">
        <v>1028</v>
      </c>
      <c r="B143" t="s">
        <v>1029</v>
      </c>
      <c r="C143" t="s">
        <v>1030</v>
      </c>
      <c r="D143" t="s">
        <v>1031</v>
      </c>
      <c r="E143">
        <v>2022</v>
      </c>
      <c r="F143" t="s">
        <v>1032</v>
      </c>
      <c r="G143">
        <v>19</v>
      </c>
      <c r="H143">
        <v>2</v>
      </c>
      <c r="J143">
        <v>237</v>
      </c>
      <c r="K143">
        <v>260</v>
      </c>
      <c r="L143">
        <v>23</v>
      </c>
      <c r="M143">
        <v>2</v>
      </c>
      <c r="O143" t="s">
        <v>1033</v>
      </c>
      <c r="P143" s="22" t="str">
        <f>HYPERLINK(O143)</f>
        <v>https://www.scopus.com/inward/record.uri?eid=2-s2.0-85151560286&amp;partnerID=40&amp;md5=9741977365924cebf2e9961284495367</v>
      </c>
      <c r="Q143" t="s">
        <v>156</v>
      </c>
      <c r="R143" t="s">
        <v>48</v>
      </c>
      <c r="T143" t="s">
        <v>6</v>
      </c>
      <c r="U143" t="s">
        <v>1034</v>
      </c>
      <c r="V143" s="36">
        <v>0</v>
      </c>
      <c r="W143" s="27">
        <v>0</v>
      </c>
      <c r="X143" s="27">
        <v>0</v>
      </c>
      <c r="Y143" s="27">
        <v>0</v>
      </c>
      <c r="Z143" s="27">
        <v>0</v>
      </c>
      <c r="AA143" s="27">
        <v>0</v>
      </c>
      <c r="AB143" s="27">
        <v>0</v>
      </c>
      <c r="AC143" s="27">
        <v>0</v>
      </c>
      <c r="AD143" s="27">
        <v>0</v>
      </c>
      <c r="AE143" s="27">
        <v>0</v>
      </c>
      <c r="AF143" s="27">
        <v>1</v>
      </c>
      <c r="AG143" s="27">
        <v>0</v>
      </c>
      <c r="AH143" s="27">
        <v>0</v>
      </c>
      <c r="AJ143">
        <f t="shared" si="2"/>
        <v>1</v>
      </c>
    </row>
    <row r="144" spans="1:36">
      <c r="A144" t="s">
        <v>1035</v>
      </c>
      <c r="B144" t="s">
        <v>1036</v>
      </c>
      <c r="C144" t="s">
        <v>1037</v>
      </c>
      <c r="D144" t="s">
        <v>1038</v>
      </c>
      <c r="E144">
        <v>2021</v>
      </c>
      <c r="F144" t="s">
        <v>1039</v>
      </c>
      <c r="G144">
        <v>251</v>
      </c>
      <c r="I144">
        <v>1109</v>
      </c>
      <c r="M144">
        <v>0</v>
      </c>
      <c r="N144" t="s">
        <v>1040</v>
      </c>
      <c r="O144" t="s">
        <v>1041</v>
      </c>
      <c r="P144" s="22" t="str">
        <f>HYPERLINK(O144)</f>
        <v>https://www.scopus.com/inward/record.uri?eid=2-s2.0-85104609454&amp;doi=10.1051%2fe3sconf%2f202125101109&amp;partnerID=40&amp;md5=cbfd65e91c669826d35f492a65f27634</v>
      </c>
      <c r="Q144" t="s">
        <v>62</v>
      </c>
      <c r="R144" t="s">
        <v>48</v>
      </c>
      <c r="S144" t="s">
        <v>225</v>
      </c>
      <c r="T144" t="s">
        <v>6</v>
      </c>
      <c r="U144" t="s">
        <v>1042</v>
      </c>
      <c r="V144" s="36">
        <v>0</v>
      </c>
      <c r="W144" s="27">
        <v>1</v>
      </c>
      <c r="X144" s="27">
        <v>0</v>
      </c>
      <c r="Y144" s="27">
        <v>0</v>
      </c>
      <c r="Z144" s="27">
        <v>0</v>
      </c>
      <c r="AA144" s="27">
        <v>0</v>
      </c>
      <c r="AB144" s="27">
        <v>0</v>
      </c>
      <c r="AC144" s="27">
        <v>0</v>
      </c>
      <c r="AD144" s="27">
        <v>0</v>
      </c>
      <c r="AE144" s="27">
        <v>0</v>
      </c>
      <c r="AF144" s="27">
        <v>0</v>
      </c>
      <c r="AG144" s="27">
        <v>0</v>
      </c>
      <c r="AH144" s="27">
        <v>0</v>
      </c>
      <c r="AJ144">
        <f t="shared" si="2"/>
        <v>1</v>
      </c>
    </row>
    <row r="145" spans="1:36">
      <c r="A145" t="s">
        <v>1043</v>
      </c>
      <c r="B145" t="s">
        <v>1044</v>
      </c>
      <c r="C145" t="s">
        <v>1045</v>
      </c>
      <c r="D145" t="s">
        <v>1046</v>
      </c>
      <c r="E145">
        <v>2020</v>
      </c>
      <c r="F145" t="s">
        <v>1039</v>
      </c>
      <c r="G145">
        <v>175</v>
      </c>
      <c r="I145">
        <v>10012</v>
      </c>
      <c r="M145">
        <v>0</v>
      </c>
      <c r="N145" t="s">
        <v>1047</v>
      </c>
      <c r="O145" t="s">
        <v>1048</v>
      </c>
      <c r="P145" s="22" t="str">
        <f>HYPERLINK(O145)</f>
        <v>https://www.scopus.com/inward/record.uri?eid=2-s2.0-85087858850&amp;doi=10.1051%2fe3sconf%2f202017510012&amp;partnerID=40&amp;md5=879b966215dcff19b6f69595017ba127</v>
      </c>
      <c r="Q145" t="s">
        <v>62</v>
      </c>
      <c r="R145" t="s">
        <v>48</v>
      </c>
      <c r="S145" t="s">
        <v>225</v>
      </c>
      <c r="T145" t="s">
        <v>6</v>
      </c>
      <c r="U145" t="s">
        <v>1049</v>
      </c>
      <c r="V145" s="36">
        <v>0</v>
      </c>
      <c r="W145" s="27">
        <v>1</v>
      </c>
      <c r="X145" s="27">
        <v>0</v>
      </c>
      <c r="Y145" s="27">
        <v>0</v>
      </c>
      <c r="Z145" s="27">
        <v>0</v>
      </c>
      <c r="AA145" s="27">
        <v>0</v>
      </c>
      <c r="AB145" s="27">
        <v>0</v>
      </c>
      <c r="AC145" s="27">
        <v>0</v>
      </c>
      <c r="AD145" s="27">
        <v>0</v>
      </c>
      <c r="AE145" s="27">
        <v>0</v>
      </c>
      <c r="AF145" s="27">
        <v>0</v>
      </c>
      <c r="AG145" s="27">
        <v>0</v>
      </c>
      <c r="AH145" s="27">
        <v>0</v>
      </c>
      <c r="AJ145">
        <f t="shared" si="2"/>
        <v>1</v>
      </c>
    </row>
    <row r="146" spans="1:36">
      <c r="A146" t="s">
        <v>1050</v>
      </c>
      <c r="B146" t="s">
        <v>1051</v>
      </c>
      <c r="C146" t="s">
        <v>1052</v>
      </c>
      <c r="D146" t="s">
        <v>1053</v>
      </c>
      <c r="E146">
        <v>2020</v>
      </c>
      <c r="F146" t="s">
        <v>1039</v>
      </c>
      <c r="G146">
        <v>208</v>
      </c>
      <c r="I146">
        <v>5018</v>
      </c>
      <c r="M146">
        <v>2</v>
      </c>
      <c r="N146" t="s">
        <v>1054</v>
      </c>
      <c r="O146" t="s">
        <v>1055</v>
      </c>
      <c r="P146" s="22" t="str">
        <f>HYPERLINK(O146)</f>
        <v>https://www.scopus.com/inward/record.uri?eid=2-s2.0-85097711039&amp;doi=10.1051%2fe3sconf%2f202020805018&amp;partnerID=40&amp;md5=c8ef20be47b4f833a5f220b5dd871093</v>
      </c>
      <c r="Q146" t="s">
        <v>62</v>
      </c>
      <c r="R146" t="s">
        <v>48</v>
      </c>
      <c r="S146" t="s">
        <v>225</v>
      </c>
      <c r="T146" t="s">
        <v>6</v>
      </c>
      <c r="U146" t="s">
        <v>1056</v>
      </c>
      <c r="V146" s="36">
        <v>0</v>
      </c>
      <c r="W146" s="27">
        <v>1</v>
      </c>
      <c r="X146" s="27">
        <v>0</v>
      </c>
      <c r="Y146" s="27">
        <v>0</v>
      </c>
      <c r="Z146" s="27">
        <v>0</v>
      </c>
      <c r="AA146" s="27">
        <v>0</v>
      </c>
      <c r="AB146" s="27">
        <v>0</v>
      </c>
      <c r="AC146" s="27">
        <v>0</v>
      </c>
      <c r="AD146" s="27">
        <v>0</v>
      </c>
      <c r="AE146" s="27">
        <v>0</v>
      </c>
      <c r="AF146" s="27">
        <v>0</v>
      </c>
      <c r="AG146" s="27">
        <v>0</v>
      </c>
      <c r="AH146" s="27">
        <v>0</v>
      </c>
      <c r="AJ146">
        <f t="shared" si="2"/>
        <v>1</v>
      </c>
    </row>
    <row r="147" spans="1:36">
      <c r="A147" t="s">
        <v>1057</v>
      </c>
      <c r="B147" t="s">
        <v>1058</v>
      </c>
      <c r="C147" t="s">
        <v>1059</v>
      </c>
      <c r="D147" t="s">
        <v>1060</v>
      </c>
      <c r="E147">
        <v>2021</v>
      </c>
      <c r="F147" t="s">
        <v>1061</v>
      </c>
      <c r="G147">
        <v>221</v>
      </c>
      <c r="I147">
        <v>103757</v>
      </c>
      <c r="M147">
        <v>13</v>
      </c>
      <c r="N147" t="s">
        <v>1062</v>
      </c>
      <c r="O147" t="s">
        <v>1063</v>
      </c>
      <c r="P147" s="22" t="str">
        <f>HYPERLINK(O147)</f>
        <v>https://www.scopus.com/inward/record.uri?eid=2-s2.0-85112293114&amp;doi=10.1016%2fj.earscirev.2021.103757&amp;partnerID=40&amp;md5=1773804c5731a49b67e4bcb41518becb</v>
      </c>
      <c r="Q147" t="s">
        <v>184</v>
      </c>
      <c r="R147" t="s">
        <v>48</v>
      </c>
      <c r="S147" t="s">
        <v>164</v>
      </c>
      <c r="T147" t="s">
        <v>6</v>
      </c>
      <c r="U147" t="s">
        <v>1064</v>
      </c>
      <c r="V147" s="36">
        <v>0</v>
      </c>
      <c r="W147" s="27">
        <v>1</v>
      </c>
      <c r="X147" s="27">
        <v>0</v>
      </c>
      <c r="Y147" s="27">
        <v>0</v>
      </c>
      <c r="Z147" s="27">
        <v>0</v>
      </c>
      <c r="AA147" s="27">
        <v>0</v>
      </c>
      <c r="AB147" s="27">
        <v>0</v>
      </c>
      <c r="AC147" s="27">
        <v>0</v>
      </c>
      <c r="AD147" s="27">
        <v>0</v>
      </c>
      <c r="AE147" s="27">
        <v>0</v>
      </c>
      <c r="AF147" s="27">
        <v>0</v>
      </c>
      <c r="AG147" s="27">
        <v>0</v>
      </c>
      <c r="AH147" s="27">
        <v>0</v>
      </c>
      <c r="AJ147">
        <f t="shared" si="2"/>
        <v>1</v>
      </c>
    </row>
    <row r="148" spans="1:36">
      <c r="A148" t="s">
        <v>1065</v>
      </c>
      <c r="B148" t="s">
        <v>1066</v>
      </c>
      <c r="C148" t="s">
        <v>1067</v>
      </c>
      <c r="D148" t="s">
        <v>1068</v>
      </c>
      <c r="E148">
        <v>2019</v>
      </c>
      <c r="F148" t="s">
        <v>1069</v>
      </c>
      <c r="G148">
        <v>156</v>
      </c>
      <c r="J148">
        <v>164</v>
      </c>
      <c r="K148">
        <v>173</v>
      </c>
      <c r="L148">
        <v>9</v>
      </c>
      <c r="M148">
        <v>18</v>
      </c>
      <c r="N148" t="s">
        <v>1070</v>
      </c>
      <c r="O148" t="s">
        <v>1071</v>
      </c>
      <c r="P148" s="22" t="str">
        <f>HYPERLINK(O148)</f>
        <v>https://www.scopus.com/inward/record.uri?eid=2-s2.0-85054002687&amp;doi=10.1016%2fj.ecolecon.2018.09.017&amp;partnerID=40&amp;md5=2d0b3ad73f8ff2487467375ef8c4434d</v>
      </c>
      <c r="Q148" t="s">
        <v>156</v>
      </c>
      <c r="R148" t="s">
        <v>48</v>
      </c>
      <c r="S148" t="s">
        <v>164</v>
      </c>
      <c r="T148" t="s">
        <v>6</v>
      </c>
      <c r="U148" t="s">
        <v>1072</v>
      </c>
      <c r="V148" s="36">
        <v>0</v>
      </c>
      <c r="W148" s="27">
        <v>0</v>
      </c>
      <c r="X148" s="27">
        <v>0</v>
      </c>
      <c r="Y148" s="27">
        <v>0</v>
      </c>
      <c r="Z148" s="27">
        <v>0</v>
      </c>
      <c r="AA148" s="27">
        <v>0</v>
      </c>
      <c r="AB148" s="27">
        <v>0</v>
      </c>
      <c r="AC148" s="27">
        <v>0</v>
      </c>
      <c r="AD148" s="27">
        <v>0</v>
      </c>
      <c r="AE148" s="27">
        <v>0</v>
      </c>
      <c r="AF148" s="27">
        <v>0</v>
      </c>
      <c r="AG148" s="27">
        <v>0</v>
      </c>
      <c r="AH148" s="27">
        <v>1</v>
      </c>
      <c r="AJ148">
        <f t="shared" si="2"/>
        <v>1</v>
      </c>
    </row>
    <row r="149" spans="1:36">
      <c r="A149" t="s">
        <v>1073</v>
      </c>
      <c r="B149" t="s">
        <v>1074</v>
      </c>
      <c r="C149" t="s">
        <v>1075</v>
      </c>
      <c r="D149" t="s">
        <v>1076</v>
      </c>
      <c r="E149">
        <v>2022</v>
      </c>
      <c r="F149" t="s">
        <v>1077</v>
      </c>
      <c r="G149">
        <v>142</v>
      </c>
      <c r="I149">
        <v>109149</v>
      </c>
      <c r="M149">
        <v>59</v>
      </c>
      <c r="N149" t="s">
        <v>1078</v>
      </c>
      <c r="O149" t="s">
        <v>1079</v>
      </c>
      <c r="P149" s="22" t="str">
        <f>HYPERLINK(O149)</f>
        <v>https://www.scopus.com/inward/record.uri?eid=2-s2.0-85135816251&amp;doi=10.1016%2fj.ecolind.2022.109149&amp;partnerID=40&amp;md5=527b26c20cce649691b8a76e1f42f846</v>
      </c>
      <c r="Q149" t="s">
        <v>156</v>
      </c>
      <c r="R149" t="s">
        <v>48</v>
      </c>
      <c r="T149" t="s">
        <v>6</v>
      </c>
      <c r="U149" t="s">
        <v>1080</v>
      </c>
      <c r="V149" s="36">
        <v>0</v>
      </c>
      <c r="W149" s="27">
        <v>1</v>
      </c>
      <c r="X149" s="27">
        <v>0</v>
      </c>
      <c r="Y149" s="27">
        <v>0</v>
      </c>
      <c r="Z149" s="27">
        <v>0</v>
      </c>
      <c r="AA149" s="27">
        <v>0</v>
      </c>
      <c r="AB149" s="27">
        <v>0</v>
      </c>
      <c r="AC149" s="27">
        <v>0</v>
      </c>
      <c r="AD149" s="27">
        <v>0</v>
      </c>
      <c r="AE149" s="27">
        <v>0</v>
      </c>
      <c r="AF149" s="27">
        <v>0</v>
      </c>
      <c r="AG149" s="27">
        <v>0</v>
      </c>
      <c r="AH149" s="27">
        <v>0</v>
      </c>
      <c r="AJ149">
        <f t="shared" si="2"/>
        <v>1</v>
      </c>
    </row>
    <row r="150" spans="1:36">
      <c r="A150" t="s">
        <v>1081</v>
      </c>
      <c r="B150" t="s">
        <v>1082</v>
      </c>
      <c r="C150" t="s">
        <v>1083</v>
      </c>
      <c r="D150" t="s">
        <v>1084</v>
      </c>
      <c r="E150">
        <v>2023</v>
      </c>
      <c r="F150" t="s">
        <v>1077</v>
      </c>
      <c r="G150">
        <v>155</v>
      </c>
      <c r="I150">
        <v>110938</v>
      </c>
      <c r="M150">
        <v>10</v>
      </c>
      <c r="N150" t="s">
        <v>1085</v>
      </c>
      <c r="O150" t="s">
        <v>1086</v>
      </c>
      <c r="P150" s="22" t="str">
        <f>HYPERLINK(O150)</f>
        <v>https://www.scopus.com/inward/record.uri?eid=2-s2.0-85171863957&amp;doi=10.1016%2fj.ecolind.2023.110938&amp;partnerID=40&amp;md5=409326c8b15c90a9c2dab0ab51cbaedf</v>
      </c>
      <c r="Q150" t="s">
        <v>156</v>
      </c>
      <c r="R150" t="s">
        <v>48</v>
      </c>
      <c r="S150" t="s">
        <v>185</v>
      </c>
      <c r="T150" t="s">
        <v>6</v>
      </c>
      <c r="U150" t="s">
        <v>1087</v>
      </c>
      <c r="V150" s="36">
        <v>0</v>
      </c>
      <c r="W150" s="27">
        <v>1</v>
      </c>
      <c r="X150" s="27">
        <v>0</v>
      </c>
      <c r="Y150" s="27">
        <v>0</v>
      </c>
      <c r="Z150" s="27">
        <v>0</v>
      </c>
      <c r="AA150" s="27">
        <v>0</v>
      </c>
      <c r="AB150" s="27">
        <v>0</v>
      </c>
      <c r="AC150" s="27">
        <v>0</v>
      </c>
      <c r="AD150" s="27">
        <v>0</v>
      </c>
      <c r="AE150" s="27">
        <v>0</v>
      </c>
      <c r="AF150" s="27">
        <v>0</v>
      </c>
      <c r="AG150" s="27">
        <v>0</v>
      </c>
      <c r="AH150" s="27">
        <v>0</v>
      </c>
      <c r="AJ150">
        <f t="shared" si="2"/>
        <v>1</v>
      </c>
    </row>
    <row r="151" spans="1:36">
      <c r="A151" t="s">
        <v>1088</v>
      </c>
      <c r="B151" t="s">
        <v>1089</v>
      </c>
      <c r="C151" t="s">
        <v>1090</v>
      </c>
      <c r="D151" t="s">
        <v>1091</v>
      </c>
      <c r="E151">
        <v>2023</v>
      </c>
      <c r="F151" t="s">
        <v>1077</v>
      </c>
      <c r="G151">
        <v>148</v>
      </c>
      <c r="I151">
        <v>110114</v>
      </c>
      <c r="M151">
        <v>11</v>
      </c>
      <c r="N151" t="s">
        <v>1092</v>
      </c>
      <c r="O151" t="s">
        <v>1093</v>
      </c>
      <c r="P151" s="22" t="str">
        <f>HYPERLINK(O151)</f>
        <v>https://www.scopus.com/inward/record.uri?eid=2-s2.0-85149743328&amp;doi=10.1016%2fj.ecolind.2023.110114&amp;partnerID=40&amp;md5=164a03e24352c14f34ca415255bb5c06</v>
      </c>
      <c r="Q151" t="s">
        <v>156</v>
      </c>
      <c r="R151" t="s">
        <v>48</v>
      </c>
      <c r="S151" t="s">
        <v>185</v>
      </c>
      <c r="T151" t="s">
        <v>6</v>
      </c>
      <c r="U151" t="s">
        <v>1094</v>
      </c>
      <c r="V151" s="36">
        <v>0</v>
      </c>
      <c r="W151" s="27">
        <v>1</v>
      </c>
      <c r="X151" s="27">
        <v>0</v>
      </c>
      <c r="Y151" s="27">
        <v>0</v>
      </c>
      <c r="Z151" s="27">
        <v>0</v>
      </c>
      <c r="AA151" s="27">
        <v>0</v>
      </c>
      <c r="AB151" s="27">
        <v>0</v>
      </c>
      <c r="AC151" s="27">
        <v>0</v>
      </c>
      <c r="AD151" s="27">
        <v>0</v>
      </c>
      <c r="AE151" s="27">
        <v>0</v>
      </c>
      <c r="AF151" s="27">
        <v>0</v>
      </c>
      <c r="AG151" s="27">
        <v>0</v>
      </c>
      <c r="AH151" s="27">
        <v>0</v>
      </c>
      <c r="AJ151">
        <f t="shared" si="2"/>
        <v>1</v>
      </c>
    </row>
    <row r="152" spans="1:36">
      <c r="A152" t="s">
        <v>1095</v>
      </c>
      <c r="B152" t="s">
        <v>1096</v>
      </c>
      <c r="C152" t="s">
        <v>1097</v>
      </c>
      <c r="D152" t="s">
        <v>1098</v>
      </c>
      <c r="E152">
        <v>2016</v>
      </c>
      <c r="F152" t="s">
        <v>1099</v>
      </c>
      <c r="G152">
        <v>339</v>
      </c>
      <c r="J152">
        <v>58</v>
      </c>
      <c r="K152">
        <v>67</v>
      </c>
      <c r="L152">
        <v>9</v>
      </c>
      <c r="M152">
        <v>28</v>
      </c>
      <c r="N152" t="s">
        <v>1100</v>
      </c>
      <c r="O152" t="s">
        <v>1101</v>
      </c>
      <c r="P152" s="22" t="str">
        <f>HYPERLINK(O152)</f>
        <v>https://www.scopus.com/inward/record.uri?eid=2-s2.0-84985930402&amp;doi=10.1016%2fj.ecolmodel.2016.08.009&amp;partnerID=40&amp;md5=16a517d4ba63fc5ad7cd128275433722</v>
      </c>
      <c r="Q152" t="s">
        <v>184</v>
      </c>
      <c r="R152" t="s">
        <v>48</v>
      </c>
      <c r="T152" t="s">
        <v>6</v>
      </c>
      <c r="U152" t="s">
        <v>1102</v>
      </c>
      <c r="V152" s="36">
        <v>0</v>
      </c>
      <c r="W152" s="27">
        <v>0</v>
      </c>
      <c r="X152" s="27">
        <v>0</v>
      </c>
      <c r="Y152" s="27">
        <v>0</v>
      </c>
      <c r="Z152" s="27">
        <v>0</v>
      </c>
      <c r="AA152" s="27">
        <v>0</v>
      </c>
      <c r="AB152" s="27">
        <v>0</v>
      </c>
      <c r="AC152" s="27">
        <v>0</v>
      </c>
      <c r="AD152" s="27">
        <v>0</v>
      </c>
      <c r="AE152" s="27">
        <v>0</v>
      </c>
      <c r="AF152" s="27">
        <v>0</v>
      </c>
      <c r="AG152" s="27">
        <v>0</v>
      </c>
      <c r="AH152" s="27">
        <v>1</v>
      </c>
      <c r="AJ152">
        <f t="shared" si="2"/>
        <v>1</v>
      </c>
    </row>
    <row r="153" spans="1:36">
      <c r="A153" t="s">
        <v>1103</v>
      </c>
      <c r="B153" t="s">
        <v>1104</v>
      </c>
      <c r="C153" t="s">
        <v>1105</v>
      </c>
      <c r="D153" t="s">
        <v>1106</v>
      </c>
      <c r="E153">
        <v>2014</v>
      </c>
      <c r="F153" t="s">
        <v>1107</v>
      </c>
      <c r="G153" s="32">
        <v>45939</v>
      </c>
      <c r="J153">
        <v>4</v>
      </c>
      <c r="K153">
        <v>7</v>
      </c>
      <c r="L153">
        <v>3</v>
      </c>
      <c r="M153">
        <v>10</v>
      </c>
      <c r="O153" t="s">
        <v>1108</v>
      </c>
      <c r="P153" s="22" t="str">
        <f>HYPERLINK(O153)</f>
        <v>https://www.scopus.com/inward/record.uri?eid=2-s2.0-84928479296&amp;partnerID=40&amp;md5=0ec0d4cbbac73a307d8a22c1a5c1ca1a</v>
      </c>
      <c r="Q153" t="s">
        <v>156</v>
      </c>
      <c r="R153" t="s">
        <v>48</v>
      </c>
      <c r="T153" t="s">
        <v>6</v>
      </c>
      <c r="U153" t="s">
        <v>1109</v>
      </c>
      <c r="V153" s="36">
        <v>0</v>
      </c>
      <c r="W153" s="27">
        <v>0</v>
      </c>
      <c r="X153" s="27">
        <v>0</v>
      </c>
      <c r="Y153" s="27">
        <v>0</v>
      </c>
      <c r="Z153" s="27">
        <v>0</v>
      </c>
      <c r="AA153" s="27">
        <v>0</v>
      </c>
      <c r="AB153" s="27">
        <v>0</v>
      </c>
      <c r="AC153" s="27">
        <v>0</v>
      </c>
      <c r="AD153" s="27">
        <v>0</v>
      </c>
      <c r="AE153" s="27">
        <v>0</v>
      </c>
      <c r="AF153" s="27">
        <v>0</v>
      </c>
      <c r="AG153" s="27">
        <v>0</v>
      </c>
      <c r="AH153" s="27">
        <v>1</v>
      </c>
      <c r="AJ153">
        <f t="shared" si="2"/>
        <v>1</v>
      </c>
    </row>
    <row r="154" spans="1:36">
      <c r="A154" t="s">
        <v>1110</v>
      </c>
      <c r="B154" t="s">
        <v>1111</v>
      </c>
      <c r="C154" t="s">
        <v>1112</v>
      </c>
      <c r="D154" t="s">
        <v>1113</v>
      </c>
      <c r="E154">
        <v>2020</v>
      </c>
      <c r="F154" t="s">
        <v>1114</v>
      </c>
      <c r="J154">
        <v>55</v>
      </c>
      <c r="K154">
        <v>76</v>
      </c>
      <c r="L154">
        <v>21</v>
      </c>
      <c r="M154">
        <v>7</v>
      </c>
      <c r="N154" t="s">
        <v>1115</v>
      </c>
      <c r="O154" t="s">
        <v>1116</v>
      </c>
      <c r="P154" s="22" t="str">
        <f>HYPERLINK(O154)</f>
        <v>https://www.scopus.com/inward/record.uri?eid=2-s2.0-85102204262&amp;doi=10.1016%2fB978-0-12-817465-4.00005-4&amp;partnerID=40&amp;md5=bae783a84b76e98a5bae793d6a7864be</v>
      </c>
      <c r="Q154" t="s">
        <v>216</v>
      </c>
      <c r="R154" t="s">
        <v>48</v>
      </c>
      <c r="T154" t="s">
        <v>6</v>
      </c>
      <c r="U154" t="s">
        <v>1117</v>
      </c>
      <c r="V154" s="36">
        <v>0</v>
      </c>
      <c r="W154" s="27">
        <v>0</v>
      </c>
      <c r="X154" s="27">
        <v>0</v>
      </c>
      <c r="Y154" s="27">
        <v>0</v>
      </c>
      <c r="Z154" s="27">
        <v>0</v>
      </c>
      <c r="AA154" s="27">
        <v>0</v>
      </c>
      <c r="AB154" s="27">
        <v>0</v>
      </c>
      <c r="AC154" s="27">
        <v>0</v>
      </c>
      <c r="AD154" s="27">
        <v>0</v>
      </c>
      <c r="AE154" s="27">
        <v>0</v>
      </c>
      <c r="AF154" s="27">
        <v>1</v>
      </c>
      <c r="AG154" s="27">
        <v>0</v>
      </c>
      <c r="AH154" s="27">
        <v>0</v>
      </c>
      <c r="AJ154">
        <f t="shared" si="2"/>
        <v>1</v>
      </c>
    </row>
    <row r="155" spans="1:36">
      <c r="A155" t="s">
        <v>1118</v>
      </c>
      <c r="B155" t="s">
        <v>1119</v>
      </c>
      <c r="C155">
        <v>7102958684</v>
      </c>
      <c r="D155" t="s">
        <v>1120</v>
      </c>
      <c r="E155">
        <v>2017</v>
      </c>
      <c r="F155" t="s">
        <v>1121</v>
      </c>
      <c r="J155">
        <v>93</v>
      </c>
      <c r="K155">
        <v>94</v>
      </c>
      <c r="L155">
        <v>1</v>
      </c>
      <c r="M155">
        <v>8</v>
      </c>
      <c r="N155" t="s">
        <v>1122</v>
      </c>
      <c r="O155" t="s">
        <v>1123</v>
      </c>
      <c r="P155" s="22" t="str">
        <f>HYPERLINK(O155)</f>
        <v>https://www.scopus.com/inward/record.uri?eid=2-s2.0-85028466262&amp;doi=10.1007%2f978-3-319-47458-8_40&amp;partnerID=40&amp;md5=c5dc919709bcb79082c6a6e2caf4ddaa</v>
      </c>
      <c r="Q155" t="s">
        <v>216</v>
      </c>
      <c r="R155" t="s">
        <v>48</v>
      </c>
      <c r="T155" t="s">
        <v>6</v>
      </c>
      <c r="U155" t="s">
        <v>1124</v>
      </c>
      <c r="V155" s="36">
        <v>0</v>
      </c>
      <c r="W155" s="27">
        <v>1</v>
      </c>
      <c r="X155" s="27">
        <v>0</v>
      </c>
      <c r="Y155" s="27">
        <v>0</v>
      </c>
      <c r="Z155" s="27">
        <v>0</v>
      </c>
      <c r="AA155" s="27">
        <v>0</v>
      </c>
      <c r="AB155" s="27">
        <v>0</v>
      </c>
      <c r="AC155" s="27">
        <v>0</v>
      </c>
      <c r="AD155" s="27">
        <v>0</v>
      </c>
      <c r="AE155" s="27">
        <v>0</v>
      </c>
      <c r="AF155" s="27">
        <v>0</v>
      </c>
      <c r="AG155" s="27">
        <v>0</v>
      </c>
      <c r="AH155" s="27">
        <v>0</v>
      </c>
      <c r="AJ155">
        <f t="shared" si="2"/>
        <v>1</v>
      </c>
    </row>
    <row r="156" spans="1:36">
      <c r="A156" t="s">
        <v>1125</v>
      </c>
      <c r="B156" t="s">
        <v>1126</v>
      </c>
      <c r="C156" t="s">
        <v>1127</v>
      </c>
      <c r="D156" t="s">
        <v>1128</v>
      </c>
      <c r="E156">
        <v>2022</v>
      </c>
      <c r="F156" t="s">
        <v>1129</v>
      </c>
      <c r="G156">
        <v>113</v>
      </c>
      <c r="I156">
        <v>105892</v>
      </c>
      <c r="M156">
        <v>13</v>
      </c>
      <c r="N156" t="s">
        <v>1130</v>
      </c>
      <c r="O156" t="s">
        <v>1131</v>
      </c>
      <c r="P156" s="22" t="str">
        <f>HYPERLINK(O156)</f>
        <v>https://www.scopus.com/inward/record.uri?eid=2-s2.0-85130714151&amp;doi=10.1016%2fj.econmod.2022.105892&amp;partnerID=40&amp;md5=3b63f4fdfa96cdf10814bf162e82d093</v>
      </c>
      <c r="Q156" t="s">
        <v>156</v>
      </c>
      <c r="R156" t="s">
        <v>48</v>
      </c>
      <c r="S156" t="s">
        <v>467</v>
      </c>
      <c r="T156" t="s">
        <v>6</v>
      </c>
      <c r="U156" t="s">
        <v>1132</v>
      </c>
      <c r="V156" s="36">
        <v>0</v>
      </c>
      <c r="W156" s="27">
        <v>0</v>
      </c>
      <c r="X156" s="27">
        <v>0</v>
      </c>
      <c r="Y156" s="27">
        <v>0</v>
      </c>
      <c r="Z156" s="27">
        <v>1</v>
      </c>
      <c r="AA156" s="27">
        <v>0</v>
      </c>
      <c r="AB156" s="27">
        <v>0</v>
      </c>
      <c r="AC156" s="27">
        <v>0</v>
      </c>
      <c r="AD156" s="27">
        <v>0</v>
      </c>
      <c r="AE156" s="27">
        <v>0</v>
      </c>
      <c r="AF156" s="27">
        <v>0</v>
      </c>
      <c r="AG156" s="27">
        <v>0</v>
      </c>
      <c r="AH156" s="27">
        <v>1</v>
      </c>
      <c r="AJ156">
        <f t="shared" si="2"/>
        <v>2</v>
      </c>
    </row>
    <row r="157" spans="1:36">
      <c r="A157" t="s">
        <v>1133</v>
      </c>
      <c r="B157" t="s">
        <v>1134</v>
      </c>
      <c r="C157" t="s">
        <v>1135</v>
      </c>
      <c r="D157" t="s">
        <v>1136</v>
      </c>
      <c r="E157">
        <v>2022</v>
      </c>
      <c r="F157" t="s">
        <v>1129</v>
      </c>
      <c r="G157">
        <v>111</v>
      </c>
      <c r="I157">
        <v>105824</v>
      </c>
      <c r="M157">
        <v>16</v>
      </c>
      <c r="N157" t="s">
        <v>1137</v>
      </c>
      <c r="O157" t="s">
        <v>1138</v>
      </c>
      <c r="P157" s="22" t="str">
        <f>HYPERLINK(O157)</f>
        <v>https://www.scopus.com/inward/record.uri?eid=2-s2.0-85126544570&amp;doi=10.1016%2fj.econmod.2022.105824&amp;partnerID=40&amp;md5=c210928f5f7c8de08e20e85cc93743f5</v>
      </c>
      <c r="Q157" t="s">
        <v>156</v>
      </c>
      <c r="R157" t="s">
        <v>48</v>
      </c>
      <c r="S157" t="s">
        <v>467</v>
      </c>
      <c r="T157" t="s">
        <v>6</v>
      </c>
      <c r="U157" t="s">
        <v>1139</v>
      </c>
      <c r="V157" s="36">
        <v>1</v>
      </c>
      <c r="W157" s="27">
        <v>0</v>
      </c>
      <c r="X157" s="27">
        <v>0</v>
      </c>
      <c r="Y157" s="27">
        <v>0</v>
      </c>
      <c r="Z157" s="27">
        <v>0</v>
      </c>
      <c r="AA157" s="27">
        <v>0</v>
      </c>
      <c r="AB157" s="27">
        <v>0</v>
      </c>
      <c r="AC157" s="27">
        <v>0</v>
      </c>
      <c r="AD157" s="27">
        <v>0</v>
      </c>
      <c r="AE157" s="27">
        <v>0</v>
      </c>
      <c r="AF157" s="27">
        <v>0</v>
      </c>
      <c r="AG157" s="27">
        <v>0</v>
      </c>
      <c r="AH157" s="27">
        <v>0</v>
      </c>
      <c r="AJ157">
        <f t="shared" si="2"/>
        <v>1</v>
      </c>
    </row>
    <row r="158" spans="1:36">
      <c r="A158" t="s">
        <v>1140</v>
      </c>
      <c r="B158" t="s">
        <v>1141</v>
      </c>
      <c r="C158" t="s">
        <v>1142</v>
      </c>
      <c r="D158" t="s">
        <v>1143</v>
      </c>
      <c r="E158">
        <v>2024</v>
      </c>
      <c r="F158" t="s">
        <v>1129</v>
      </c>
      <c r="G158">
        <v>137</v>
      </c>
      <c r="I158">
        <v>106757</v>
      </c>
      <c r="M158">
        <v>0</v>
      </c>
      <c r="N158" t="s">
        <v>1144</v>
      </c>
      <c r="O158" t="s">
        <v>1145</v>
      </c>
      <c r="P158" s="22" t="str">
        <f>HYPERLINK(O158)</f>
        <v>https://www.scopus.com/inward/record.uri?eid=2-s2.0-85193821650&amp;doi=10.1016%2fj.econmod.2024.106757&amp;partnerID=40&amp;md5=cbf51871a38b70496754560e209787bb</v>
      </c>
      <c r="Q158" t="s">
        <v>156</v>
      </c>
      <c r="R158" t="s">
        <v>48</v>
      </c>
      <c r="S158" t="s">
        <v>172</v>
      </c>
      <c r="T158" t="s">
        <v>6</v>
      </c>
      <c r="U158" t="s">
        <v>1146</v>
      </c>
      <c r="V158" s="36">
        <v>1</v>
      </c>
      <c r="W158" s="27">
        <v>0</v>
      </c>
      <c r="X158" s="27">
        <v>0</v>
      </c>
      <c r="Y158" s="27">
        <v>0</v>
      </c>
      <c r="Z158" s="27">
        <v>0</v>
      </c>
      <c r="AA158" s="27">
        <v>0</v>
      </c>
      <c r="AB158" s="27">
        <v>0</v>
      </c>
      <c r="AC158" s="27">
        <v>0</v>
      </c>
      <c r="AD158" s="27">
        <v>0</v>
      </c>
      <c r="AE158" s="27">
        <v>0</v>
      </c>
      <c r="AF158" s="27">
        <v>0</v>
      </c>
      <c r="AG158" s="27">
        <v>0</v>
      </c>
      <c r="AH158" s="27">
        <v>0</v>
      </c>
      <c r="AJ158">
        <f t="shared" si="2"/>
        <v>1</v>
      </c>
    </row>
    <row r="159" spans="1:36">
      <c r="A159" t="s">
        <v>876</v>
      </c>
      <c r="B159" t="s">
        <v>1147</v>
      </c>
      <c r="C159" t="s">
        <v>878</v>
      </c>
      <c r="D159" t="s">
        <v>1148</v>
      </c>
      <c r="E159">
        <v>2016</v>
      </c>
      <c r="F159" t="s">
        <v>1129</v>
      </c>
      <c r="G159">
        <v>52</v>
      </c>
      <c r="J159">
        <v>1026</v>
      </c>
      <c r="K159">
        <v>1033</v>
      </c>
      <c r="L159">
        <v>7</v>
      </c>
      <c r="M159">
        <v>95</v>
      </c>
      <c r="N159" t="s">
        <v>1149</v>
      </c>
      <c r="O159" t="s">
        <v>1150</v>
      </c>
      <c r="P159" s="22" t="str">
        <f>HYPERLINK(O159)</f>
        <v>https://www.scopus.com/inward/record.uri?eid=2-s2.0-84958670531&amp;doi=10.1016%2fj.econmod.2015.10.043&amp;partnerID=40&amp;md5=37a80c5b0a12a4c015fe9c6704bb6532</v>
      </c>
      <c r="Q159" t="s">
        <v>156</v>
      </c>
      <c r="R159" t="s">
        <v>48</v>
      </c>
      <c r="T159" t="s">
        <v>6</v>
      </c>
      <c r="U159" t="s">
        <v>1151</v>
      </c>
      <c r="V159" s="36">
        <v>0</v>
      </c>
      <c r="W159" s="27">
        <v>0</v>
      </c>
      <c r="X159" s="27">
        <v>0</v>
      </c>
      <c r="Y159" s="27">
        <v>0</v>
      </c>
      <c r="Z159" s="27">
        <v>0</v>
      </c>
      <c r="AA159" s="27">
        <v>0</v>
      </c>
      <c r="AB159" s="27">
        <v>0</v>
      </c>
      <c r="AC159" s="27">
        <v>0</v>
      </c>
      <c r="AD159" s="27">
        <v>0</v>
      </c>
      <c r="AE159" s="27">
        <v>0</v>
      </c>
      <c r="AF159" s="27">
        <v>0</v>
      </c>
      <c r="AG159" s="27">
        <v>0</v>
      </c>
      <c r="AH159" s="27">
        <v>0</v>
      </c>
      <c r="AJ159">
        <f t="shared" si="2"/>
        <v>0</v>
      </c>
    </row>
    <row r="160" spans="1:36">
      <c r="A160" t="s">
        <v>1152</v>
      </c>
      <c r="B160" t="s">
        <v>1153</v>
      </c>
      <c r="C160" t="s">
        <v>1154</v>
      </c>
      <c r="D160" t="s">
        <v>1155</v>
      </c>
      <c r="E160">
        <v>2022</v>
      </c>
      <c r="F160" t="s">
        <v>1156</v>
      </c>
      <c r="G160">
        <v>42</v>
      </c>
      <c r="H160">
        <v>2</v>
      </c>
      <c r="J160">
        <v>1050</v>
      </c>
      <c r="K160">
        <v>1061</v>
      </c>
      <c r="L160">
        <v>11</v>
      </c>
      <c r="M160">
        <v>0</v>
      </c>
      <c r="O160" t="s">
        <v>1157</v>
      </c>
      <c r="P160" s="22" t="str">
        <f>HYPERLINK(O160)</f>
        <v>https://www.scopus.com/inward/record.uri?eid=2-s2.0-85206488099&amp;partnerID=40&amp;md5=fb1bbdc5317c4bfa96948c55eb1a49c3</v>
      </c>
      <c r="Q160" t="s">
        <v>156</v>
      </c>
      <c r="R160" t="s">
        <v>48</v>
      </c>
      <c r="T160" t="s">
        <v>6</v>
      </c>
      <c r="U160" t="s">
        <v>1158</v>
      </c>
      <c r="V160" s="36">
        <v>0</v>
      </c>
      <c r="W160" s="27">
        <v>0</v>
      </c>
      <c r="X160" s="27">
        <v>0</v>
      </c>
      <c r="Y160" s="27">
        <v>0</v>
      </c>
      <c r="Z160" s="27">
        <v>0</v>
      </c>
      <c r="AA160" s="27">
        <v>0</v>
      </c>
      <c r="AB160" s="27">
        <v>0</v>
      </c>
      <c r="AC160" s="27">
        <v>0</v>
      </c>
      <c r="AD160" s="27">
        <v>0</v>
      </c>
      <c r="AE160" s="27">
        <v>0</v>
      </c>
      <c r="AF160" s="27">
        <v>1</v>
      </c>
      <c r="AG160" s="27">
        <v>0</v>
      </c>
      <c r="AH160" s="27">
        <v>0</v>
      </c>
      <c r="AJ160">
        <f t="shared" si="2"/>
        <v>1</v>
      </c>
    </row>
    <row r="161" spans="1:36">
      <c r="A161" t="s">
        <v>1159</v>
      </c>
      <c r="B161" t="s">
        <v>1160</v>
      </c>
      <c r="C161">
        <v>56507435000</v>
      </c>
      <c r="D161" t="s">
        <v>1161</v>
      </c>
      <c r="E161">
        <v>2016</v>
      </c>
      <c r="F161" t="s">
        <v>1156</v>
      </c>
      <c r="G161">
        <v>36</v>
      </c>
      <c r="H161">
        <v>2</v>
      </c>
      <c r="J161">
        <v>752</v>
      </c>
      <c r="K161">
        <v>759</v>
      </c>
      <c r="L161">
        <v>7</v>
      </c>
      <c r="M161">
        <v>4</v>
      </c>
      <c r="O161" t="s">
        <v>1162</v>
      </c>
      <c r="P161" s="22" t="str">
        <f>HYPERLINK(O161)</f>
        <v>https://www.scopus.com/inward/record.uri?eid=2-s2.0-84983293014&amp;partnerID=40&amp;md5=e196a7b5cbc99367335395d22ea12168</v>
      </c>
      <c r="Q161" t="s">
        <v>156</v>
      </c>
      <c r="R161" t="s">
        <v>48</v>
      </c>
      <c r="T161" t="s">
        <v>6</v>
      </c>
      <c r="U161" t="s">
        <v>1163</v>
      </c>
      <c r="V161" s="36">
        <v>0</v>
      </c>
      <c r="W161" s="27">
        <v>0</v>
      </c>
      <c r="X161" s="27">
        <v>0</v>
      </c>
      <c r="Y161" s="27">
        <v>0</v>
      </c>
      <c r="Z161" s="27">
        <v>0</v>
      </c>
      <c r="AA161" s="27">
        <v>0</v>
      </c>
      <c r="AB161" s="27">
        <v>0</v>
      </c>
      <c r="AC161" s="27">
        <v>0</v>
      </c>
      <c r="AD161" s="27">
        <v>0</v>
      </c>
      <c r="AE161" s="27">
        <v>0</v>
      </c>
      <c r="AF161" s="27">
        <v>1</v>
      </c>
      <c r="AG161" s="27">
        <v>0</v>
      </c>
      <c r="AH161" s="27">
        <v>0</v>
      </c>
      <c r="AJ161">
        <f t="shared" si="2"/>
        <v>1</v>
      </c>
    </row>
    <row r="162" spans="1:36">
      <c r="A162" t="s">
        <v>1164</v>
      </c>
      <c r="B162" t="s">
        <v>1165</v>
      </c>
      <c r="C162" t="s">
        <v>1166</v>
      </c>
      <c r="D162" t="s">
        <v>1167</v>
      </c>
      <c r="E162">
        <v>2013</v>
      </c>
      <c r="F162" t="s">
        <v>1168</v>
      </c>
      <c r="G162">
        <v>26</v>
      </c>
      <c r="H162">
        <v>1</v>
      </c>
      <c r="J162">
        <v>155</v>
      </c>
      <c r="K162">
        <v>170</v>
      </c>
      <c r="L162">
        <v>15</v>
      </c>
      <c r="M162">
        <v>3</v>
      </c>
      <c r="N162" t="s">
        <v>1169</v>
      </c>
      <c r="O162" t="s">
        <v>1170</v>
      </c>
      <c r="P162" s="22" t="str">
        <f>HYPERLINK(O162)</f>
        <v>https://www.scopus.com/inward/record.uri?eid=2-s2.0-84879001379&amp;doi=10.1080%2f1331677x.2013.11517595&amp;partnerID=40&amp;md5=a01d4e83877347b3da34f4ebac0138e4</v>
      </c>
      <c r="Q162" t="s">
        <v>156</v>
      </c>
      <c r="R162" t="s">
        <v>48</v>
      </c>
      <c r="S162" t="s">
        <v>1171</v>
      </c>
      <c r="T162" t="s">
        <v>6</v>
      </c>
      <c r="U162" t="s">
        <v>1172</v>
      </c>
      <c r="V162" s="36">
        <v>0</v>
      </c>
      <c r="W162" s="27">
        <v>0</v>
      </c>
      <c r="X162" s="27">
        <v>0</v>
      </c>
      <c r="Y162" s="27">
        <v>0</v>
      </c>
      <c r="Z162" s="27">
        <v>0</v>
      </c>
      <c r="AA162" s="27">
        <v>0</v>
      </c>
      <c r="AB162" s="27">
        <v>0</v>
      </c>
      <c r="AC162" s="27">
        <v>0</v>
      </c>
      <c r="AD162" s="27">
        <v>0</v>
      </c>
      <c r="AE162" s="27">
        <v>0</v>
      </c>
      <c r="AF162" s="27">
        <v>0</v>
      </c>
      <c r="AG162" s="27">
        <v>0</v>
      </c>
      <c r="AH162" s="27">
        <v>1</v>
      </c>
      <c r="AJ162">
        <f t="shared" si="2"/>
        <v>1</v>
      </c>
    </row>
    <row r="163" spans="1:36">
      <c r="A163" t="s">
        <v>1173</v>
      </c>
      <c r="B163" t="s">
        <v>1174</v>
      </c>
      <c r="C163">
        <v>57205437091</v>
      </c>
      <c r="D163" t="s">
        <v>1175</v>
      </c>
      <c r="E163">
        <v>2022</v>
      </c>
      <c r="F163" t="s">
        <v>1176</v>
      </c>
      <c r="G163">
        <v>2</v>
      </c>
      <c r="J163">
        <v>461</v>
      </c>
      <c r="K163">
        <v>464</v>
      </c>
      <c r="L163">
        <v>3</v>
      </c>
      <c r="M163">
        <v>0</v>
      </c>
      <c r="N163" t="s">
        <v>1177</v>
      </c>
      <c r="O163" t="s">
        <v>1178</v>
      </c>
      <c r="P163" s="22" t="str">
        <f>HYPERLINK(O163)</f>
        <v>https://www.scopus.com/inward/record.uri?eid=2-s2.0-85206916865&amp;doi=10.4337%2f9781800377486.gravity.model&amp;partnerID=40&amp;md5=b7863b3e93c7ae9936d6c63767d0ba4e</v>
      </c>
      <c r="Q163" t="s">
        <v>216</v>
      </c>
      <c r="R163" t="s">
        <v>48</v>
      </c>
      <c r="T163" t="s">
        <v>6</v>
      </c>
      <c r="U163" t="s">
        <v>1179</v>
      </c>
      <c r="V163" s="36">
        <v>0</v>
      </c>
      <c r="W163" s="27">
        <v>0</v>
      </c>
      <c r="X163" s="27">
        <v>0</v>
      </c>
      <c r="Y163" s="27">
        <v>0</v>
      </c>
      <c r="Z163" s="27">
        <v>0</v>
      </c>
      <c r="AA163" s="27">
        <v>0</v>
      </c>
      <c r="AB163" s="27">
        <v>0</v>
      </c>
      <c r="AC163" s="27">
        <v>0</v>
      </c>
      <c r="AD163" s="27">
        <v>0</v>
      </c>
      <c r="AE163" s="27">
        <v>0</v>
      </c>
      <c r="AF163" s="27">
        <v>1</v>
      </c>
      <c r="AG163" s="27">
        <v>0</v>
      </c>
      <c r="AH163" s="27">
        <v>0</v>
      </c>
      <c r="AJ163">
        <f t="shared" si="2"/>
        <v>1</v>
      </c>
    </row>
    <row r="164" spans="1:36">
      <c r="A164" t="s">
        <v>1180</v>
      </c>
      <c r="B164" t="s">
        <v>1181</v>
      </c>
      <c r="C164">
        <v>59055478600</v>
      </c>
      <c r="D164" t="s">
        <v>1182</v>
      </c>
      <c r="E164">
        <v>2008</v>
      </c>
      <c r="F164" t="s">
        <v>1183</v>
      </c>
      <c r="G164">
        <v>293</v>
      </c>
      <c r="H164">
        <v>7747</v>
      </c>
      <c r="J164">
        <v>24</v>
      </c>
      <c r="K164">
        <v>25</v>
      </c>
      <c r="L164">
        <v>1</v>
      </c>
      <c r="M164">
        <v>0</v>
      </c>
      <c r="O164" t="s">
        <v>1184</v>
      </c>
      <c r="P164" s="22" t="str">
        <f>HYPERLINK(O164)</f>
        <v>https://www.scopus.com/inward/record.uri?eid=2-s2.0-44649101886&amp;partnerID=40&amp;md5=5d0a24d3a0f39b7bb0ea7b463800266f</v>
      </c>
      <c r="Q164" t="s">
        <v>156</v>
      </c>
      <c r="R164" t="s">
        <v>48</v>
      </c>
      <c r="T164" t="s">
        <v>6</v>
      </c>
      <c r="U164" t="s">
        <v>1185</v>
      </c>
      <c r="V164" s="36">
        <v>0</v>
      </c>
      <c r="W164" s="27">
        <v>0</v>
      </c>
      <c r="X164" s="27">
        <v>0</v>
      </c>
      <c r="Y164" s="27">
        <v>0</v>
      </c>
      <c r="Z164" s="27">
        <v>0</v>
      </c>
      <c r="AA164" s="27">
        <v>0</v>
      </c>
      <c r="AB164" s="27">
        <v>0</v>
      </c>
      <c r="AC164" s="27">
        <v>0</v>
      </c>
      <c r="AD164" s="27">
        <v>0</v>
      </c>
      <c r="AE164" s="27">
        <v>0</v>
      </c>
      <c r="AF164" s="27">
        <v>0</v>
      </c>
      <c r="AG164" s="27">
        <v>0</v>
      </c>
      <c r="AH164" s="27">
        <v>1</v>
      </c>
      <c r="AJ164">
        <f t="shared" si="2"/>
        <v>1</v>
      </c>
    </row>
    <row r="165" spans="1:36">
      <c r="A165" t="s">
        <v>1186</v>
      </c>
      <c r="B165" t="s">
        <v>1187</v>
      </c>
      <c r="C165" t="s">
        <v>1188</v>
      </c>
      <c r="D165" t="s">
        <v>1189</v>
      </c>
      <c r="E165">
        <v>2020</v>
      </c>
      <c r="F165" t="s">
        <v>1190</v>
      </c>
      <c r="G165">
        <v>277</v>
      </c>
      <c r="I165">
        <v>105787</v>
      </c>
      <c r="M165">
        <v>13</v>
      </c>
      <c r="N165" t="s">
        <v>1191</v>
      </c>
      <c r="O165" t="s">
        <v>1192</v>
      </c>
      <c r="P165" s="22" t="str">
        <f>HYPERLINK(O165)</f>
        <v>https://www.scopus.com/inward/record.uri?eid=2-s2.0-85089440618&amp;doi=10.1016%2fj.enggeo.2020.105787&amp;partnerID=40&amp;md5=e8beba7938ab30e0183991a23a053470</v>
      </c>
      <c r="Q165" t="s">
        <v>156</v>
      </c>
      <c r="R165" t="s">
        <v>48</v>
      </c>
      <c r="S165" t="s">
        <v>164</v>
      </c>
      <c r="T165" t="s">
        <v>6</v>
      </c>
      <c r="U165" t="s">
        <v>1193</v>
      </c>
      <c r="V165" s="36">
        <v>0</v>
      </c>
      <c r="W165" s="27">
        <v>0</v>
      </c>
      <c r="X165" s="27">
        <v>0</v>
      </c>
      <c r="Y165" s="27">
        <v>0</v>
      </c>
      <c r="Z165" s="27">
        <v>0</v>
      </c>
      <c r="AA165" s="27">
        <v>0</v>
      </c>
      <c r="AB165" s="27">
        <v>0</v>
      </c>
      <c r="AC165" s="27">
        <v>0</v>
      </c>
      <c r="AD165" s="27">
        <v>0</v>
      </c>
      <c r="AE165" s="27">
        <v>0</v>
      </c>
      <c r="AF165" s="27">
        <v>0</v>
      </c>
      <c r="AG165" s="27">
        <v>0</v>
      </c>
      <c r="AH165" s="27">
        <v>1</v>
      </c>
      <c r="AJ165">
        <f t="shared" si="2"/>
        <v>1</v>
      </c>
    </row>
    <row r="166" spans="1:36">
      <c r="A166" t="s">
        <v>1194</v>
      </c>
      <c r="B166" t="s">
        <v>1195</v>
      </c>
      <c r="C166" t="s">
        <v>1196</v>
      </c>
      <c r="D166" t="s">
        <v>1197</v>
      </c>
      <c r="E166">
        <v>2009</v>
      </c>
      <c r="F166" t="s">
        <v>1198</v>
      </c>
      <c r="G166">
        <v>41</v>
      </c>
      <c r="H166">
        <v>11</v>
      </c>
      <c r="J166">
        <v>2778</v>
      </c>
      <c r="K166">
        <v>2797</v>
      </c>
      <c r="L166">
        <v>19</v>
      </c>
      <c r="M166">
        <v>14</v>
      </c>
      <c r="N166" t="s">
        <v>1199</v>
      </c>
      <c r="O166" t="s">
        <v>1200</v>
      </c>
      <c r="P166" s="22" t="str">
        <f>HYPERLINK(O166)</f>
        <v>https://www.scopus.com/inward/record.uri?eid=2-s2.0-70350560594&amp;doi=10.1068%2fa41240&amp;partnerID=40&amp;md5=e33f0eb2d5b8b6234d79c76ae4ae9668</v>
      </c>
      <c r="Q166" t="s">
        <v>156</v>
      </c>
      <c r="R166" t="s">
        <v>48</v>
      </c>
      <c r="T166" t="s">
        <v>6</v>
      </c>
      <c r="U166" t="s">
        <v>1201</v>
      </c>
      <c r="V166" s="36">
        <v>0</v>
      </c>
      <c r="W166" s="27">
        <v>0</v>
      </c>
      <c r="X166" s="27">
        <v>0</v>
      </c>
      <c r="Y166" s="27">
        <v>0</v>
      </c>
      <c r="Z166" s="27">
        <v>0</v>
      </c>
      <c r="AA166" s="27">
        <v>0</v>
      </c>
      <c r="AB166" s="27">
        <v>0</v>
      </c>
      <c r="AC166" s="27">
        <v>0</v>
      </c>
      <c r="AD166" s="27">
        <v>0</v>
      </c>
      <c r="AE166" s="27">
        <v>0</v>
      </c>
      <c r="AF166" s="27">
        <v>0</v>
      </c>
      <c r="AG166" s="27">
        <v>0</v>
      </c>
      <c r="AH166" s="27">
        <v>1</v>
      </c>
      <c r="AJ166">
        <f t="shared" si="2"/>
        <v>1</v>
      </c>
    </row>
    <row r="167" spans="1:36">
      <c r="A167" t="s">
        <v>1202</v>
      </c>
      <c r="B167" t="s">
        <v>1203</v>
      </c>
      <c r="C167" t="s">
        <v>1204</v>
      </c>
      <c r="D167" t="s">
        <v>1205</v>
      </c>
      <c r="E167">
        <v>2011</v>
      </c>
      <c r="F167" t="s">
        <v>1206</v>
      </c>
      <c r="G167">
        <v>38</v>
      </c>
      <c r="H167">
        <v>5</v>
      </c>
      <c r="J167">
        <v>864</v>
      </c>
      <c r="K167">
        <v>878</v>
      </c>
      <c r="L167">
        <v>14</v>
      </c>
      <c r="M167">
        <v>4</v>
      </c>
      <c r="N167" t="s">
        <v>1207</v>
      </c>
      <c r="O167" t="s">
        <v>1208</v>
      </c>
      <c r="P167" s="22" t="str">
        <f>HYPERLINK(O167)</f>
        <v>https://www.scopus.com/inward/record.uri?eid=2-s2.0-80054765879&amp;doi=10.1068%2fb36022&amp;partnerID=40&amp;md5=5f0cd8b1430879439f9568b361356f8b</v>
      </c>
      <c r="Q167" t="s">
        <v>156</v>
      </c>
      <c r="R167" t="s">
        <v>48</v>
      </c>
      <c r="T167" t="s">
        <v>6</v>
      </c>
      <c r="U167" t="s">
        <v>1209</v>
      </c>
      <c r="V167" s="36">
        <v>0</v>
      </c>
      <c r="W167" s="27">
        <v>0</v>
      </c>
      <c r="X167" s="27">
        <v>0</v>
      </c>
      <c r="Y167" s="27">
        <v>0</v>
      </c>
      <c r="Z167" s="27">
        <v>0</v>
      </c>
      <c r="AA167" s="27">
        <v>0</v>
      </c>
      <c r="AB167" s="27">
        <v>0</v>
      </c>
      <c r="AC167" s="27">
        <v>0</v>
      </c>
      <c r="AD167" s="27">
        <v>0</v>
      </c>
      <c r="AE167" s="27">
        <v>0</v>
      </c>
      <c r="AF167" s="27">
        <v>0</v>
      </c>
      <c r="AG167" s="27">
        <v>0</v>
      </c>
      <c r="AH167" s="27">
        <v>1</v>
      </c>
      <c r="AJ167">
        <f t="shared" si="2"/>
        <v>1</v>
      </c>
    </row>
    <row r="168" spans="1:36">
      <c r="A168" t="s">
        <v>1210</v>
      </c>
      <c r="B168" t="s">
        <v>1211</v>
      </c>
      <c r="C168" t="s">
        <v>1212</v>
      </c>
      <c r="D168" t="s">
        <v>1213</v>
      </c>
      <c r="E168">
        <v>2020</v>
      </c>
      <c r="F168" t="s">
        <v>1214</v>
      </c>
      <c r="G168">
        <v>47</v>
      </c>
      <c r="H168">
        <v>5</v>
      </c>
      <c r="J168">
        <v>826</v>
      </c>
      <c r="K168">
        <v>840</v>
      </c>
      <c r="L168">
        <v>14</v>
      </c>
      <c r="M168">
        <v>4</v>
      </c>
      <c r="N168" t="s">
        <v>1215</v>
      </c>
      <c r="O168" t="s">
        <v>1216</v>
      </c>
      <c r="P168" s="22" t="str">
        <f>HYPERLINK(O168)</f>
        <v>https://www.scopus.com/inward/record.uri?eid=2-s2.0-85059458918&amp;doi=10.1177%2f2399808318811666&amp;partnerID=40&amp;md5=6f908f45b62ec2c5d04e8cb7a8b5d161</v>
      </c>
      <c r="Q168" t="s">
        <v>156</v>
      </c>
      <c r="R168" t="s">
        <v>48</v>
      </c>
      <c r="S168" t="s">
        <v>436</v>
      </c>
      <c r="T168" t="s">
        <v>6</v>
      </c>
      <c r="U168" t="s">
        <v>1217</v>
      </c>
      <c r="V168" s="36">
        <v>0</v>
      </c>
      <c r="W168" s="27">
        <v>1</v>
      </c>
      <c r="X168" s="27">
        <v>0</v>
      </c>
      <c r="Y168" s="27">
        <v>0</v>
      </c>
      <c r="Z168" s="27">
        <v>0</v>
      </c>
      <c r="AA168" s="27">
        <v>0</v>
      </c>
      <c r="AB168" s="27">
        <v>0</v>
      </c>
      <c r="AC168" s="27">
        <v>0</v>
      </c>
      <c r="AD168" s="27">
        <v>0</v>
      </c>
      <c r="AE168" s="27">
        <v>0</v>
      </c>
      <c r="AF168" s="27">
        <v>0</v>
      </c>
      <c r="AG168" s="27">
        <v>0</v>
      </c>
      <c r="AH168" s="27">
        <v>0</v>
      </c>
      <c r="AJ168">
        <f t="shared" si="2"/>
        <v>1</v>
      </c>
    </row>
    <row r="169" spans="1:36">
      <c r="A169" t="s">
        <v>1218</v>
      </c>
      <c r="B169" t="s">
        <v>1219</v>
      </c>
      <c r="C169" t="s">
        <v>1220</v>
      </c>
      <c r="D169" t="s">
        <v>1221</v>
      </c>
      <c r="E169">
        <v>2023</v>
      </c>
      <c r="F169" t="s">
        <v>1222</v>
      </c>
      <c r="G169">
        <v>25</v>
      </c>
      <c r="H169">
        <v>2</v>
      </c>
      <c r="J169">
        <v>1944</v>
      </c>
      <c r="K169">
        <v>1977</v>
      </c>
      <c r="L169">
        <v>33</v>
      </c>
      <c r="M169">
        <v>20</v>
      </c>
      <c r="N169" t="s">
        <v>1223</v>
      </c>
      <c r="O169" t="s">
        <v>1224</v>
      </c>
      <c r="P169" s="22" t="str">
        <f>HYPERLINK(O169)</f>
        <v>https://www.scopus.com/inward/record.uri?eid=2-s2.0-85123307667&amp;doi=10.1007%2fs10668-022-02134-8&amp;partnerID=40&amp;md5=ed3933b063fff27358e234cc2ed0b719</v>
      </c>
      <c r="Q169" t="s">
        <v>156</v>
      </c>
      <c r="R169" t="s">
        <v>48</v>
      </c>
      <c r="S169" t="s">
        <v>172</v>
      </c>
      <c r="T169" t="s">
        <v>6</v>
      </c>
      <c r="U169" t="s">
        <v>1225</v>
      </c>
      <c r="V169" s="36">
        <v>0</v>
      </c>
      <c r="W169" s="27">
        <v>0</v>
      </c>
      <c r="X169" s="27">
        <v>0</v>
      </c>
      <c r="Y169" s="27">
        <v>0</v>
      </c>
      <c r="Z169" s="27">
        <v>0</v>
      </c>
      <c r="AA169" s="27">
        <v>0</v>
      </c>
      <c r="AB169" s="27">
        <v>0</v>
      </c>
      <c r="AC169" s="27">
        <v>0</v>
      </c>
      <c r="AD169" s="27">
        <v>0</v>
      </c>
      <c r="AE169" s="27">
        <v>0</v>
      </c>
      <c r="AF169" s="27">
        <v>0</v>
      </c>
      <c r="AG169" s="27">
        <v>0</v>
      </c>
      <c r="AH169" s="27">
        <v>0</v>
      </c>
      <c r="AJ169">
        <f t="shared" si="2"/>
        <v>0</v>
      </c>
    </row>
    <row r="170" spans="1:36">
      <c r="A170" t="s">
        <v>1226</v>
      </c>
      <c r="B170" t="s">
        <v>1227</v>
      </c>
      <c r="C170" t="s">
        <v>1228</v>
      </c>
      <c r="D170" t="s">
        <v>1229</v>
      </c>
      <c r="E170">
        <v>2022</v>
      </c>
      <c r="F170" t="s">
        <v>1222</v>
      </c>
      <c r="G170">
        <v>24</v>
      </c>
      <c r="H170">
        <v>6</v>
      </c>
      <c r="J170">
        <v>8145</v>
      </c>
      <c r="K170">
        <v>8161</v>
      </c>
      <c r="L170">
        <v>16</v>
      </c>
      <c r="M170">
        <v>5</v>
      </c>
      <c r="N170" t="s">
        <v>1230</v>
      </c>
      <c r="O170" t="s">
        <v>1231</v>
      </c>
      <c r="P170" s="22" t="str">
        <f>HYPERLINK(O170)</f>
        <v>https://www.scopus.com/inward/record.uri?eid=2-s2.0-85113837935&amp;doi=10.1007%2fs10668-021-01776-4&amp;partnerID=40&amp;md5=e92996f17e80b44ba6c12c5b9a631fa0</v>
      </c>
      <c r="Q170" t="s">
        <v>156</v>
      </c>
      <c r="R170" t="s">
        <v>48</v>
      </c>
      <c r="T170" t="s">
        <v>6</v>
      </c>
      <c r="U170" t="s">
        <v>1232</v>
      </c>
      <c r="V170" s="36">
        <v>0</v>
      </c>
      <c r="W170" s="27">
        <v>0</v>
      </c>
      <c r="X170" s="27">
        <v>0</v>
      </c>
      <c r="Y170" s="27">
        <v>0</v>
      </c>
      <c r="Z170" s="27">
        <v>1</v>
      </c>
      <c r="AA170" s="27">
        <v>0</v>
      </c>
      <c r="AB170" s="27">
        <v>0</v>
      </c>
      <c r="AC170" s="27">
        <v>0</v>
      </c>
      <c r="AD170" s="27">
        <v>0</v>
      </c>
      <c r="AE170" s="27">
        <v>0</v>
      </c>
      <c r="AF170" s="27">
        <v>0</v>
      </c>
      <c r="AG170" s="27">
        <v>0</v>
      </c>
      <c r="AH170" s="27">
        <v>1</v>
      </c>
      <c r="AJ170">
        <f t="shared" si="2"/>
        <v>2</v>
      </c>
    </row>
    <row r="171" spans="1:36">
      <c r="A171" t="s">
        <v>1233</v>
      </c>
      <c r="B171" t="s">
        <v>1234</v>
      </c>
      <c r="C171" t="s">
        <v>1235</v>
      </c>
      <c r="D171" t="s">
        <v>1236</v>
      </c>
      <c r="E171">
        <v>2023</v>
      </c>
      <c r="F171" t="s">
        <v>1222</v>
      </c>
      <c r="G171">
        <v>25</v>
      </c>
      <c r="H171">
        <v>1</v>
      </c>
      <c r="J171">
        <v>506</v>
      </c>
      <c r="K171">
        <v>527</v>
      </c>
      <c r="L171">
        <v>21</v>
      </c>
      <c r="M171">
        <v>8</v>
      </c>
      <c r="N171" t="s">
        <v>1237</v>
      </c>
      <c r="O171" t="s">
        <v>1238</v>
      </c>
      <c r="P171" s="22" t="str">
        <f>HYPERLINK(O171)</f>
        <v>https://www.scopus.com/inward/record.uri?eid=2-s2.0-85124767344&amp;doi=10.1007%2fs10668-021-02064-x&amp;partnerID=40&amp;md5=0f26557e6f9e23103d3e8198b038cfcf</v>
      </c>
      <c r="Q171" t="s">
        <v>156</v>
      </c>
      <c r="R171" t="s">
        <v>48</v>
      </c>
      <c r="T171" t="s">
        <v>6</v>
      </c>
      <c r="U171" t="s">
        <v>1239</v>
      </c>
      <c r="V171" s="36">
        <v>0</v>
      </c>
      <c r="W171" s="27">
        <v>1</v>
      </c>
      <c r="X171" s="27">
        <v>0</v>
      </c>
      <c r="Y171" s="27">
        <v>0</v>
      </c>
      <c r="Z171" s="27">
        <v>0</v>
      </c>
      <c r="AA171" s="27">
        <v>0</v>
      </c>
      <c r="AB171" s="27">
        <v>0</v>
      </c>
      <c r="AC171" s="27">
        <v>0</v>
      </c>
      <c r="AD171" s="27">
        <v>0</v>
      </c>
      <c r="AE171" s="27">
        <v>0</v>
      </c>
      <c r="AF171" s="27">
        <v>0</v>
      </c>
      <c r="AG171" s="27">
        <v>0</v>
      </c>
      <c r="AH171" s="27">
        <v>0</v>
      </c>
      <c r="AJ171">
        <f t="shared" si="2"/>
        <v>1</v>
      </c>
    </row>
    <row r="172" spans="1:36">
      <c r="A172" t="s">
        <v>1240</v>
      </c>
      <c r="B172" t="s">
        <v>1241</v>
      </c>
      <c r="C172" t="s">
        <v>1242</v>
      </c>
      <c r="D172" t="s">
        <v>1243</v>
      </c>
      <c r="E172">
        <v>2021</v>
      </c>
      <c r="F172" t="s">
        <v>1244</v>
      </c>
      <c r="G172">
        <v>80</v>
      </c>
      <c r="H172">
        <v>6</v>
      </c>
      <c r="I172">
        <v>236</v>
      </c>
      <c r="M172">
        <v>11</v>
      </c>
      <c r="N172" t="s">
        <v>1245</v>
      </c>
      <c r="O172" t="s">
        <v>1246</v>
      </c>
      <c r="P172" s="22" t="str">
        <f>HYPERLINK(O172)</f>
        <v>https://www.scopus.com/inward/record.uri?eid=2-s2.0-85102590325&amp;doi=10.1007%2fs12665-021-09545-2&amp;partnerID=40&amp;md5=798ec61eb5fb2ff0b68979e7b5da4d70</v>
      </c>
      <c r="Q172" t="s">
        <v>156</v>
      </c>
      <c r="R172" t="s">
        <v>48</v>
      </c>
      <c r="T172" t="s">
        <v>6</v>
      </c>
      <c r="U172" t="s">
        <v>1247</v>
      </c>
      <c r="V172" s="36">
        <v>0</v>
      </c>
      <c r="W172" s="27">
        <v>0</v>
      </c>
      <c r="X172" s="27">
        <v>0</v>
      </c>
      <c r="Y172" s="27">
        <v>0</v>
      </c>
      <c r="Z172" s="27">
        <v>0</v>
      </c>
      <c r="AA172" s="27">
        <v>0</v>
      </c>
      <c r="AB172" s="27">
        <v>0</v>
      </c>
      <c r="AC172" s="27">
        <v>0</v>
      </c>
      <c r="AD172" s="27">
        <v>0</v>
      </c>
      <c r="AE172" s="27">
        <v>0</v>
      </c>
      <c r="AF172" s="27">
        <v>0</v>
      </c>
      <c r="AG172" s="27">
        <v>0</v>
      </c>
      <c r="AH172" s="27">
        <v>1</v>
      </c>
      <c r="AJ172">
        <f t="shared" si="2"/>
        <v>1</v>
      </c>
    </row>
    <row r="173" spans="1:36">
      <c r="A173" t="s">
        <v>1248</v>
      </c>
      <c r="B173" t="s">
        <v>1249</v>
      </c>
      <c r="C173" t="s">
        <v>1250</v>
      </c>
      <c r="D173" t="s">
        <v>1251</v>
      </c>
      <c r="E173">
        <v>2024</v>
      </c>
      <c r="F173" t="s">
        <v>1244</v>
      </c>
      <c r="G173">
        <v>83</v>
      </c>
      <c r="H173">
        <v>21</v>
      </c>
      <c r="I173">
        <v>616</v>
      </c>
      <c r="M173">
        <v>0</v>
      </c>
      <c r="N173" t="s">
        <v>1252</v>
      </c>
      <c r="O173" t="s">
        <v>1253</v>
      </c>
      <c r="P173" s="22" t="str">
        <f>HYPERLINK(O173)</f>
        <v>https://www.scopus.com/inward/record.uri?eid=2-s2.0-85208598018&amp;doi=10.1007%2fs12665-024-11915-5&amp;partnerID=40&amp;md5=e5d9ccd93f9c593494ceca68933a97aa</v>
      </c>
      <c r="Q173" t="s">
        <v>156</v>
      </c>
      <c r="R173" t="s">
        <v>48</v>
      </c>
      <c r="S173" t="s">
        <v>172</v>
      </c>
      <c r="T173" t="s">
        <v>6</v>
      </c>
      <c r="U173" t="s">
        <v>1254</v>
      </c>
      <c r="V173" s="36">
        <v>0</v>
      </c>
      <c r="W173" s="27">
        <v>0</v>
      </c>
      <c r="X173" s="27">
        <v>0</v>
      </c>
      <c r="Y173" s="27">
        <v>0</v>
      </c>
      <c r="Z173" s="27">
        <v>0</v>
      </c>
      <c r="AA173" s="27">
        <v>0</v>
      </c>
      <c r="AB173" s="27">
        <v>0</v>
      </c>
      <c r="AC173" s="27">
        <v>0</v>
      </c>
      <c r="AD173" s="27">
        <v>0</v>
      </c>
      <c r="AE173" s="27">
        <v>0</v>
      </c>
      <c r="AF173" s="27">
        <v>0</v>
      </c>
      <c r="AG173" s="27">
        <v>0</v>
      </c>
      <c r="AH173" s="27">
        <v>1</v>
      </c>
      <c r="AJ173">
        <f t="shared" si="2"/>
        <v>1</v>
      </c>
    </row>
    <row r="174" spans="1:36">
      <c r="A174" t="s">
        <v>1255</v>
      </c>
      <c r="B174" t="s">
        <v>1256</v>
      </c>
      <c r="C174" t="s">
        <v>1257</v>
      </c>
      <c r="D174" t="s">
        <v>1258</v>
      </c>
      <c r="E174">
        <v>2023</v>
      </c>
      <c r="F174" t="s">
        <v>1259</v>
      </c>
      <c r="G174">
        <v>5</v>
      </c>
      <c r="H174">
        <v>9</v>
      </c>
      <c r="I174">
        <v>95001</v>
      </c>
      <c r="M174">
        <v>3</v>
      </c>
      <c r="N174" t="s">
        <v>1260</v>
      </c>
      <c r="O174" t="s">
        <v>1261</v>
      </c>
      <c r="P174" s="22" t="str">
        <f>HYPERLINK(O174)</f>
        <v>https://www.scopus.com/inward/record.uri?eid=2-s2.0-85171154512&amp;doi=10.1088%2f2515-7620%2facf3d4&amp;partnerID=40&amp;md5=0542c746e9f163af2c9bd43e79a6f093</v>
      </c>
      <c r="Q174" t="s">
        <v>156</v>
      </c>
      <c r="R174" t="s">
        <v>48</v>
      </c>
      <c r="S174" t="s">
        <v>185</v>
      </c>
      <c r="T174" t="s">
        <v>6</v>
      </c>
      <c r="U174" t="s">
        <v>1262</v>
      </c>
      <c r="V174" s="36">
        <v>0</v>
      </c>
      <c r="W174" s="27">
        <v>1</v>
      </c>
      <c r="X174" s="27">
        <v>0</v>
      </c>
      <c r="Y174" s="27">
        <v>0</v>
      </c>
      <c r="Z174" s="27">
        <v>0</v>
      </c>
      <c r="AA174" s="27">
        <v>0</v>
      </c>
      <c r="AB174" s="27">
        <v>0</v>
      </c>
      <c r="AC174" s="27">
        <v>0</v>
      </c>
      <c r="AD174" s="27">
        <v>0</v>
      </c>
      <c r="AE174" s="27">
        <v>0</v>
      </c>
      <c r="AF174" s="27">
        <v>0</v>
      </c>
      <c r="AG174" s="27">
        <v>0</v>
      </c>
      <c r="AH174" s="27">
        <v>0</v>
      </c>
      <c r="AJ174">
        <f t="shared" si="2"/>
        <v>1</v>
      </c>
    </row>
    <row r="175" spans="1:36">
      <c r="A175" t="s">
        <v>1263</v>
      </c>
      <c r="B175" t="s">
        <v>1264</v>
      </c>
      <c r="C175" t="s">
        <v>1265</v>
      </c>
      <c r="D175" t="s">
        <v>1266</v>
      </c>
      <c r="E175">
        <v>2013</v>
      </c>
      <c r="F175" t="s">
        <v>1267</v>
      </c>
      <c r="J175">
        <v>341</v>
      </c>
      <c r="K175">
        <v>379</v>
      </c>
      <c r="L175">
        <v>38</v>
      </c>
      <c r="M175">
        <v>0</v>
      </c>
      <c r="N175" t="s">
        <v>1268</v>
      </c>
      <c r="O175" t="s">
        <v>1269</v>
      </c>
      <c r="P175" s="22" t="str">
        <f>HYPERLINK(O175)</f>
        <v>https://www.scopus.com/inward/record.uri?eid=2-s2.0-85108432643&amp;doi=10.1007%2f978-3-642-34085-7_22&amp;partnerID=40&amp;md5=da5d9faf09506b427beea10950c390d0</v>
      </c>
      <c r="Q175" t="s">
        <v>216</v>
      </c>
      <c r="R175" t="s">
        <v>48</v>
      </c>
      <c r="T175" t="s">
        <v>6</v>
      </c>
      <c r="U175" t="s">
        <v>1270</v>
      </c>
      <c r="V175" s="36">
        <v>0</v>
      </c>
      <c r="W175" s="27">
        <v>0</v>
      </c>
      <c r="X175" s="27">
        <v>0</v>
      </c>
      <c r="Y175" s="27">
        <v>0</v>
      </c>
      <c r="Z175" s="27">
        <v>0</v>
      </c>
      <c r="AA175" s="27">
        <v>0</v>
      </c>
      <c r="AB175" s="27">
        <v>0</v>
      </c>
      <c r="AC175" s="27">
        <v>0</v>
      </c>
      <c r="AD175" s="27">
        <v>0</v>
      </c>
      <c r="AE175" s="27">
        <v>0</v>
      </c>
      <c r="AF175" s="27">
        <v>0</v>
      </c>
      <c r="AG175" s="27">
        <v>0</v>
      </c>
      <c r="AH175" s="27">
        <v>1</v>
      </c>
      <c r="AJ175">
        <f t="shared" si="2"/>
        <v>1</v>
      </c>
    </row>
    <row r="176" spans="1:36">
      <c r="A176" t="s">
        <v>1271</v>
      </c>
      <c r="B176" t="s">
        <v>1272</v>
      </c>
      <c r="C176" t="s">
        <v>1273</v>
      </c>
      <c r="D176" t="s">
        <v>1274</v>
      </c>
      <c r="E176">
        <v>2022</v>
      </c>
      <c r="F176" t="s">
        <v>1275</v>
      </c>
      <c r="G176">
        <v>29</v>
      </c>
      <c r="H176">
        <v>55</v>
      </c>
      <c r="J176">
        <v>83437</v>
      </c>
      <c r="K176">
        <v>83451</v>
      </c>
      <c r="L176">
        <v>14</v>
      </c>
      <c r="M176">
        <v>21</v>
      </c>
      <c r="N176" t="s">
        <v>1276</v>
      </c>
      <c r="O176" t="s">
        <v>1277</v>
      </c>
      <c r="P176" s="22" t="str">
        <f>HYPERLINK(O176)</f>
        <v>https://www.scopus.com/inward/record.uri?eid=2-s2.0-85133235457&amp;doi=10.1007%2fs11356-022-21511-4&amp;partnerID=40&amp;md5=c0ba79adc74020a143e4e0b1c0ff2c2a</v>
      </c>
      <c r="Q176" t="s">
        <v>156</v>
      </c>
      <c r="R176" t="s">
        <v>48</v>
      </c>
      <c r="T176" t="s">
        <v>6</v>
      </c>
      <c r="U176" t="s">
        <v>1278</v>
      </c>
      <c r="V176" s="36">
        <v>0</v>
      </c>
      <c r="W176" s="27">
        <v>0</v>
      </c>
      <c r="X176" s="27">
        <v>0</v>
      </c>
      <c r="Y176" s="27">
        <v>0</v>
      </c>
      <c r="Z176" s="27">
        <v>0</v>
      </c>
      <c r="AA176" s="27">
        <v>0</v>
      </c>
      <c r="AB176" s="27">
        <v>0</v>
      </c>
      <c r="AC176" s="27">
        <v>0</v>
      </c>
      <c r="AD176" s="27">
        <v>0</v>
      </c>
      <c r="AE176" s="27">
        <v>0</v>
      </c>
      <c r="AF176" s="27">
        <v>0</v>
      </c>
      <c r="AG176" s="27">
        <v>0</v>
      </c>
      <c r="AH176" s="27">
        <v>0</v>
      </c>
      <c r="AJ176">
        <f t="shared" si="2"/>
        <v>0</v>
      </c>
    </row>
    <row r="177" spans="1:36">
      <c r="A177" t="s">
        <v>1279</v>
      </c>
      <c r="B177" t="s">
        <v>1280</v>
      </c>
      <c r="C177" t="s">
        <v>1281</v>
      </c>
      <c r="D177" t="s">
        <v>1282</v>
      </c>
      <c r="E177">
        <v>2021</v>
      </c>
      <c r="F177" t="s">
        <v>1275</v>
      </c>
      <c r="G177">
        <v>28</v>
      </c>
      <c r="H177">
        <v>46</v>
      </c>
      <c r="J177">
        <v>65094</v>
      </c>
      <c r="K177">
        <v>65115</v>
      </c>
      <c r="L177">
        <v>21</v>
      </c>
      <c r="M177">
        <v>15</v>
      </c>
      <c r="N177" t="s">
        <v>1283</v>
      </c>
      <c r="O177" t="s">
        <v>1284</v>
      </c>
      <c r="P177" s="22" t="str">
        <f>HYPERLINK(O177)</f>
        <v>https://www.scopus.com/inward/record.uri?eid=2-s2.0-85115206074&amp;doi=10.1007%2fs11356-021-14932-0&amp;partnerID=40&amp;md5=7bc6aa83e743690e4a64ade0b81c5546</v>
      </c>
      <c r="Q177" t="s">
        <v>156</v>
      </c>
      <c r="R177" t="s">
        <v>48</v>
      </c>
      <c r="S177" t="s">
        <v>1171</v>
      </c>
      <c r="T177" t="s">
        <v>6</v>
      </c>
      <c r="U177" t="s">
        <v>1285</v>
      </c>
      <c r="V177" s="36">
        <v>0</v>
      </c>
      <c r="W177" s="27">
        <v>1</v>
      </c>
      <c r="X177" s="27">
        <v>0</v>
      </c>
      <c r="Y177" s="27">
        <v>0</v>
      </c>
      <c r="Z177" s="27">
        <v>0</v>
      </c>
      <c r="AA177" s="27">
        <v>0</v>
      </c>
      <c r="AB177" s="27">
        <v>0</v>
      </c>
      <c r="AC177" s="27">
        <v>0</v>
      </c>
      <c r="AD177" s="27">
        <v>0</v>
      </c>
      <c r="AE177" s="27">
        <v>0</v>
      </c>
      <c r="AF177" s="27">
        <v>0</v>
      </c>
      <c r="AG177" s="27">
        <v>0</v>
      </c>
      <c r="AH177" s="27">
        <v>1</v>
      </c>
      <c r="AJ177">
        <f t="shared" si="2"/>
        <v>2</v>
      </c>
    </row>
    <row r="178" spans="1:36">
      <c r="A178" t="s">
        <v>1286</v>
      </c>
      <c r="B178" t="s">
        <v>1287</v>
      </c>
      <c r="C178" t="s">
        <v>1288</v>
      </c>
      <c r="D178" t="s">
        <v>1289</v>
      </c>
      <c r="E178">
        <v>2022</v>
      </c>
      <c r="F178" t="s">
        <v>1290</v>
      </c>
      <c r="G178">
        <v>11</v>
      </c>
      <c r="H178">
        <v>1</v>
      </c>
      <c r="I178">
        <v>20</v>
      </c>
      <c r="M178">
        <v>13</v>
      </c>
      <c r="N178" t="s">
        <v>1291</v>
      </c>
      <c r="O178" t="s">
        <v>1292</v>
      </c>
      <c r="P178" s="22" t="str">
        <f>HYPERLINK(O178)</f>
        <v>https://www.scopus.com/inward/record.uri?eid=2-s2.0-85127254900&amp;doi=10.1140%2fepjds%2fs13688-022-00332-y&amp;partnerID=40&amp;md5=31f6cd2a30f9a2b8f4f1de2c8043324f</v>
      </c>
      <c r="Q178" t="s">
        <v>156</v>
      </c>
      <c r="R178" t="s">
        <v>48</v>
      </c>
      <c r="S178" t="s">
        <v>225</v>
      </c>
      <c r="T178" t="s">
        <v>6</v>
      </c>
      <c r="U178" t="s">
        <v>1293</v>
      </c>
      <c r="V178" s="36">
        <v>0</v>
      </c>
      <c r="W178" s="27">
        <v>0</v>
      </c>
      <c r="X178" s="27">
        <v>0</v>
      </c>
      <c r="Y178" s="27">
        <v>0</v>
      </c>
      <c r="Z178" s="27">
        <v>0</v>
      </c>
      <c r="AA178" s="27">
        <v>0</v>
      </c>
      <c r="AB178" s="27">
        <v>0</v>
      </c>
      <c r="AC178" s="27">
        <v>0</v>
      </c>
      <c r="AD178" s="27">
        <v>0</v>
      </c>
      <c r="AE178" s="27">
        <v>0</v>
      </c>
      <c r="AF178" s="27">
        <v>0</v>
      </c>
      <c r="AG178" s="27">
        <v>0</v>
      </c>
      <c r="AH178" s="27">
        <v>1</v>
      </c>
      <c r="AJ178">
        <f t="shared" si="2"/>
        <v>1</v>
      </c>
    </row>
    <row r="179" spans="1:36">
      <c r="A179" t="s">
        <v>1294</v>
      </c>
      <c r="B179" t="s">
        <v>1295</v>
      </c>
      <c r="C179" t="s">
        <v>1296</v>
      </c>
      <c r="D179" t="s">
        <v>1297</v>
      </c>
      <c r="E179">
        <v>2016</v>
      </c>
      <c r="F179" t="s">
        <v>1298</v>
      </c>
      <c r="G179">
        <v>43</v>
      </c>
      <c r="H179">
        <v>2</v>
      </c>
      <c r="J179">
        <v>265</v>
      </c>
      <c r="K179">
        <v>279</v>
      </c>
      <c r="L179">
        <v>14</v>
      </c>
      <c r="M179">
        <v>15</v>
      </c>
      <c r="N179" t="s">
        <v>1299</v>
      </c>
      <c r="O179" t="s">
        <v>1300</v>
      </c>
      <c r="P179" s="22" t="str">
        <f>HYPERLINK(O179)</f>
        <v>https://www.scopus.com/inward/record.uri?eid=2-s2.0-85009761203&amp;doi=10.4067%2fS0718-52862016000200005&amp;partnerID=40&amp;md5=76e6abb10bde2dee30da89f9e2f04dba</v>
      </c>
      <c r="Q179" t="s">
        <v>156</v>
      </c>
      <c r="R179" t="s">
        <v>48</v>
      </c>
      <c r="S179" t="s">
        <v>225</v>
      </c>
      <c r="T179" t="s">
        <v>6</v>
      </c>
      <c r="U179" t="s">
        <v>1301</v>
      </c>
      <c r="V179" s="36">
        <v>1</v>
      </c>
      <c r="W179" s="27">
        <v>0</v>
      </c>
      <c r="X179" s="27">
        <v>0</v>
      </c>
      <c r="Y179" s="27">
        <v>0</v>
      </c>
      <c r="Z179" s="27">
        <v>0</v>
      </c>
      <c r="AA179" s="27">
        <v>0</v>
      </c>
      <c r="AB179" s="27">
        <v>0</v>
      </c>
      <c r="AC179" s="27">
        <v>0</v>
      </c>
      <c r="AD179" s="27">
        <v>0</v>
      </c>
      <c r="AE179" s="27">
        <v>0</v>
      </c>
      <c r="AF179" s="27">
        <v>0</v>
      </c>
      <c r="AG179" s="27">
        <v>0</v>
      </c>
      <c r="AH179" s="27">
        <v>0</v>
      </c>
      <c r="AJ179">
        <f t="shared" si="2"/>
        <v>1</v>
      </c>
    </row>
    <row r="180" spans="1:36">
      <c r="A180" t="s">
        <v>1302</v>
      </c>
      <c r="B180" t="s">
        <v>1303</v>
      </c>
      <c r="C180">
        <v>7003951294</v>
      </c>
      <c r="D180" t="s">
        <v>1304</v>
      </c>
      <c r="E180">
        <v>1992</v>
      </c>
      <c r="F180" t="s">
        <v>1305</v>
      </c>
      <c r="G180">
        <v>2</v>
      </c>
      <c r="H180">
        <v>2</v>
      </c>
      <c r="J180">
        <v>8</v>
      </c>
      <c r="K180">
        <v>13</v>
      </c>
      <c r="L180">
        <v>5</v>
      </c>
      <c r="M180">
        <v>2</v>
      </c>
      <c r="N180" t="s">
        <v>1306</v>
      </c>
      <c r="O180" t="s">
        <v>1307</v>
      </c>
      <c r="P180" s="22" t="str">
        <f>HYPERLINK(O180)</f>
        <v>https://www.scopus.com/inward/record.uri?eid=2-s2.0-0026453715&amp;doi=10.1002%2feet.3320020205&amp;partnerID=40&amp;md5=ff11433e39969c49832d5299fc209fd0</v>
      </c>
      <c r="Q180" t="s">
        <v>156</v>
      </c>
      <c r="R180" t="s">
        <v>48</v>
      </c>
      <c r="T180" t="s">
        <v>6</v>
      </c>
      <c r="U180" t="s">
        <v>1308</v>
      </c>
      <c r="V180" s="36">
        <v>0</v>
      </c>
      <c r="W180" s="27">
        <v>0</v>
      </c>
      <c r="X180" s="27">
        <v>0</v>
      </c>
      <c r="Y180" s="27">
        <v>0</v>
      </c>
      <c r="Z180" s="27">
        <v>0</v>
      </c>
      <c r="AA180" s="27">
        <v>0</v>
      </c>
      <c r="AB180" s="27">
        <v>0</v>
      </c>
      <c r="AC180" s="27">
        <v>0</v>
      </c>
      <c r="AD180" s="27">
        <v>0</v>
      </c>
      <c r="AE180" s="27">
        <v>0</v>
      </c>
      <c r="AF180" s="27">
        <v>1</v>
      </c>
      <c r="AG180" s="27">
        <v>0</v>
      </c>
      <c r="AH180" s="27">
        <v>0</v>
      </c>
      <c r="AJ180">
        <f t="shared" si="2"/>
        <v>1</v>
      </c>
    </row>
    <row r="181" spans="1:36">
      <c r="A181" t="s">
        <v>1309</v>
      </c>
      <c r="B181" t="s">
        <v>1310</v>
      </c>
      <c r="C181" t="s">
        <v>1311</v>
      </c>
      <c r="D181" t="s">
        <v>1312</v>
      </c>
      <c r="E181">
        <v>2021</v>
      </c>
      <c r="F181" t="s">
        <v>1313</v>
      </c>
      <c r="G181">
        <v>42</v>
      </c>
      <c r="H181">
        <v>1</v>
      </c>
      <c r="J181">
        <v>97</v>
      </c>
      <c r="K181">
        <v>100</v>
      </c>
      <c r="L181">
        <v>3</v>
      </c>
      <c r="M181">
        <v>28</v>
      </c>
      <c r="N181" t="s">
        <v>1314</v>
      </c>
      <c r="O181" t="s">
        <v>1315</v>
      </c>
      <c r="P181" s="22" t="str">
        <f>HYPERLINK(O181)</f>
        <v>https://www.scopus.com/inward/record.uri?eid=2-s2.0-85100070021&amp;doi=10.1093%2feurheartj%2fehaa359&amp;partnerID=40&amp;md5=bb949b6edf4c03562e34174585b8bee1</v>
      </c>
      <c r="Q181" t="s">
        <v>184</v>
      </c>
      <c r="R181" t="s">
        <v>48</v>
      </c>
      <c r="T181" t="s">
        <v>6</v>
      </c>
      <c r="U181" t="s">
        <v>1316</v>
      </c>
      <c r="V181" s="36">
        <v>0</v>
      </c>
      <c r="W181" s="27">
        <v>0</v>
      </c>
      <c r="X181" s="27">
        <v>0</v>
      </c>
      <c r="Y181" s="27">
        <v>0</v>
      </c>
      <c r="Z181" s="27">
        <v>0</v>
      </c>
      <c r="AA181" s="27">
        <v>0</v>
      </c>
      <c r="AB181" s="27">
        <v>0</v>
      </c>
      <c r="AC181" s="27">
        <v>0</v>
      </c>
      <c r="AD181" s="27">
        <v>0</v>
      </c>
      <c r="AE181" s="27">
        <v>0</v>
      </c>
      <c r="AF181" s="27">
        <v>0</v>
      </c>
      <c r="AG181" s="27">
        <v>0</v>
      </c>
      <c r="AH181" s="27">
        <v>1</v>
      </c>
      <c r="AJ181">
        <f t="shared" si="2"/>
        <v>1</v>
      </c>
    </row>
    <row r="182" spans="1:36">
      <c r="A182" t="s">
        <v>1317</v>
      </c>
      <c r="B182" t="s">
        <v>1318</v>
      </c>
      <c r="C182" t="s">
        <v>1319</v>
      </c>
      <c r="D182" t="s">
        <v>1320</v>
      </c>
      <c r="E182">
        <v>2017</v>
      </c>
      <c r="F182" t="s">
        <v>1321</v>
      </c>
      <c r="G182">
        <v>15</v>
      </c>
      <c r="J182">
        <v>131</v>
      </c>
      <c r="K182">
        <v>142</v>
      </c>
      <c r="L182">
        <v>11</v>
      </c>
      <c r="M182">
        <v>19</v>
      </c>
      <c r="O182" t="s">
        <v>1322</v>
      </c>
      <c r="P182" s="22" t="str">
        <f>HYPERLINK(O182)</f>
        <v>https://www.scopus.com/inward/record.uri?eid=2-s2.0-85015864346&amp;partnerID=40&amp;md5=71fe0c5391948fef6d0508d13bb5c1ef</v>
      </c>
      <c r="Q182" t="s">
        <v>156</v>
      </c>
      <c r="R182" t="s">
        <v>48</v>
      </c>
      <c r="T182" t="s">
        <v>6</v>
      </c>
      <c r="U182" t="s">
        <v>1323</v>
      </c>
      <c r="V182" s="36">
        <v>1</v>
      </c>
      <c r="W182" s="27">
        <v>0</v>
      </c>
      <c r="X182" s="27">
        <v>0</v>
      </c>
      <c r="Y182" s="27">
        <v>0</v>
      </c>
      <c r="Z182" s="27">
        <v>0</v>
      </c>
      <c r="AA182" s="27">
        <v>0</v>
      </c>
      <c r="AB182" s="27">
        <v>0</v>
      </c>
      <c r="AC182" s="27">
        <v>0</v>
      </c>
      <c r="AD182" s="27">
        <v>0</v>
      </c>
      <c r="AE182" s="27">
        <v>0</v>
      </c>
      <c r="AF182" s="27">
        <v>0</v>
      </c>
      <c r="AG182" s="27">
        <v>0</v>
      </c>
      <c r="AH182" s="27">
        <v>0</v>
      </c>
      <c r="AJ182">
        <f t="shared" si="2"/>
        <v>1</v>
      </c>
    </row>
    <row r="183" spans="1:36">
      <c r="A183" t="s">
        <v>1324</v>
      </c>
      <c r="B183" t="s">
        <v>1325</v>
      </c>
      <c r="C183" t="s">
        <v>1326</v>
      </c>
      <c r="D183" t="s">
        <v>1327</v>
      </c>
      <c r="E183">
        <v>2019</v>
      </c>
      <c r="F183" t="s">
        <v>1328</v>
      </c>
      <c r="G183">
        <v>134</v>
      </c>
      <c r="H183">
        <v>2</v>
      </c>
      <c r="I183">
        <v>55</v>
      </c>
      <c r="M183">
        <v>2</v>
      </c>
      <c r="N183" t="s">
        <v>1329</v>
      </c>
      <c r="O183" t="s">
        <v>1330</v>
      </c>
      <c r="P183" s="22" t="str">
        <f>HYPERLINK(O183)</f>
        <v>https://www.scopus.com/inward/record.uri?eid=2-s2.0-85061274482&amp;doi=10.1140%2fepjp%2fi2019-12438-0&amp;partnerID=40&amp;md5=0510d0bb6dc9b8b8a18d759cd3d6a573</v>
      </c>
      <c r="Q183" t="s">
        <v>156</v>
      </c>
      <c r="R183" t="s">
        <v>48</v>
      </c>
      <c r="S183" t="s">
        <v>436</v>
      </c>
      <c r="T183" t="s">
        <v>6</v>
      </c>
      <c r="U183" t="s">
        <v>1331</v>
      </c>
      <c r="V183" s="36">
        <v>0</v>
      </c>
      <c r="W183" s="27">
        <v>0</v>
      </c>
      <c r="X183" s="27">
        <v>0</v>
      </c>
      <c r="Y183" s="27">
        <v>0</v>
      </c>
      <c r="Z183" s="27">
        <v>0</v>
      </c>
      <c r="AA183" s="27">
        <v>0</v>
      </c>
      <c r="AB183" s="27">
        <v>0</v>
      </c>
      <c r="AC183" s="27">
        <v>0</v>
      </c>
      <c r="AD183" s="27">
        <v>0</v>
      </c>
      <c r="AE183" s="27">
        <v>0</v>
      </c>
      <c r="AF183" s="27">
        <v>0</v>
      </c>
      <c r="AG183" s="27">
        <v>0</v>
      </c>
      <c r="AH183" s="27">
        <v>1</v>
      </c>
      <c r="AJ183">
        <f t="shared" si="2"/>
        <v>1</v>
      </c>
    </row>
    <row r="184" spans="1:36">
      <c r="A184" t="s">
        <v>1332</v>
      </c>
      <c r="B184" t="s">
        <v>1333</v>
      </c>
      <c r="C184" t="s">
        <v>878</v>
      </c>
      <c r="D184" t="s">
        <v>1334</v>
      </c>
      <c r="E184">
        <v>2016</v>
      </c>
      <c r="F184" t="s">
        <v>1335</v>
      </c>
      <c r="G184">
        <v>17</v>
      </c>
      <c r="H184">
        <v>1</v>
      </c>
      <c r="J184">
        <v>46</v>
      </c>
      <c r="K184">
        <v>68</v>
      </c>
      <c r="L184">
        <v>22</v>
      </c>
      <c r="M184">
        <v>19</v>
      </c>
      <c r="N184" t="s">
        <v>1336</v>
      </c>
      <c r="O184" t="s">
        <v>1337</v>
      </c>
      <c r="P184" s="22" t="str">
        <f>HYPERLINK(O184)</f>
        <v>https://www.scopus.com/inward/record.uri?eid=2-s2.0-84958159109&amp;doi=10.1177%2f1465116515600533&amp;partnerID=40&amp;md5=624e5fb246644b1e9b0e6a261e1c463a</v>
      </c>
      <c r="Q184" t="s">
        <v>156</v>
      </c>
      <c r="R184" t="s">
        <v>48</v>
      </c>
      <c r="T184" t="s">
        <v>6</v>
      </c>
      <c r="U184" t="s">
        <v>1338</v>
      </c>
      <c r="V184" s="36">
        <v>0</v>
      </c>
      <c r="W184" s="27">
        <v>0</v>
      </c>
      <c r="X184" s="27">
        <v>0</v>
      </c>
      <c r="Y184" s="27">
        <v>0</v>
      </c>
      <c r="Z184" s="27">
        <v>1</v>
      </c>
      <c r="AA184" s="27">
        <v>0</v>
      </c>
      <c r="AB184" s="27">
        <v>0</v>
      </c>
      <c r="AC184" s="27">
        <v>0</v>
      </c>
      <c r="AD184" s="27">
        <v>0</v>
      </c>
      <c r="AE184" s="27">
        <v>0</v>
      </c>
      <c r="AF184" s="27">
        <v>0</v>
      </c>
      <c r="AG184" s="27">
        <v>0</v>
      </c>
      <c r="AH184" s="27">
        <v>0</v>
      </c>
      <c r="AJ184">
        <f t="shared" si="2"/>
        <v>1</v>
      </c>
    </row>
    <row r="185" spans="1:36">
      <c r="A185" t="s">
        <v>1339</v>
      </c>
      <c r="B185" t="s">
        <v>1340</v>
      </c>
      <c r="C185">
        <v>15065314700</v>
      </c>
      <c r="D185" t="s">
        <v>1341</v>
      </c>
      <c r="E185">
        <v>2018</v>
      </c>
      <c r="F185" t="s">
        <v>1342</v>
      </c>
      <c r="G185">
        <v>60</v>
      </c>
      <c r="H185">
        <v>1</v>
      </c>
      <c r="J185">
        <v>50</v>
      </c>
      <c r="K185">
        <v>61</v>
      </c>
      <c r="L185">
        <v>11</v>
      </c>
      <c r="M185">
        <v>8</v>
      </c>
      <c r="O185" t="s">
        <v>1343</v>
      </c>
      <c r="P185" s="22" t="str">
        <f>HYPERLINK(O185)</f>
        <v>https://www.scopus.com/inward/record.uri?eid=2-s2.0-85057195393&amp;partnerID=40&amp;md5=661a46868138ff2847e3d1901e4c3454</v>
      </c>
      <c r="Q185" t="s">
        <v>156</v>
      </c>
      <c r="R185" t="s">
        <v>48</v>
      </c>
      <c r="T185" t="s">
        <v>6</v>
      </c>
      <c r="U185" t="s">
        <v>1344</v>
      </c>
      <c r="V185" s="36">
        <v>0</v>
      </c>
      <c r="W185" s="27">
        <v>0</v>
      </c>
      <c r="X185" s="27">
        <v>0</v>
      </c>
      <c r="Y185" s="27">
        <v>0</v>
      </c>
      <c r="Z185" s="27">
        <v>0</v>
      </c>
      <c r="AA185" s="27">
        <v>0</v>
      </c>
      <c r="AB185" s="27">
        <v>0</v>
      </c>
      <c r="AC185" s="27">
        <v>0</v>
      </c>
      <c r="AD185" s="27">
        <v>0</v>
      </c>
      <c r="AE185" s="27">
        <v>0</v>
      </c>
      <c r="AF185" s="27">
        <v>0</v>
      </c>
      <c r="AG185" s="27">
        <v>0</v>
      </c>
      <c r="AH185" s="27">
        <v>1</v>
      </c>
      <c r="AJ185">
        <f t="shared" si="2"/>
        <v>1</v>
      </c>
    </row>
    <row r="186" spans="1:36">
      <c r="A186" t="s">
        <v>1345</v>
      </c>
      <c r="B186" t="s">
        <v>1346</v>
      </c>
      <c r="C186" t="s">
        <v>1347</v>
      </c>
      <c r="D186" t="s">
        <v>1348</v>
      </c>
      <c r="E186">
        <v>2022</v>
      </c>
      <c r="F186" t="s">
        <v>1349</v>
      </c>
      <c r="G186">
        <v>10</v>
      </c>
      <c r="I186">
        <v>808371</v>
      </c>
      <c r="M186">
        <v>9</v>
      </c>
      <c r="N186" t="s">
        <v>1350</v>
      </c>
      <c r="O186" t="s">
        <v>1351</v>
      </c>
      <c r="P186" s="22" t="str">
        <f>HYPERLINK(O186)</f>
        <v>https://www.scopus.com/inward/record.uri?eid=2-s2.0-85128716981&amp;doi=10.3389%2ffeart.2022.808371&amp;partnerID=40&amp;md5=4e6ab9d65d682bf2b8c950717155bd9c</v>
      </c>
      <c r="Q186" t="s">
        <v>156</v>
      </c>
      <c r="R186" t="s">
        <v>48</v>
      </c>
      <c r="S186" t="s">
        <v>185</v>
      </c>
      <c r="T186" t="s">
        <v>6</v>
      </c>
      <c r="U186" t="s">
        <v>1352</v>
      </c>
      <c r="V186" s="36">
        <v>0</v>
      </c>
      <c r="W186" s="27">
        <v>0</v>
      </c>
      <c r="X186" s="27">
        <v>0</v>
      </c>
      <c r="Y186" s="27">
        <v>0</v>
      </c>
      <c r="Z186" s="27">
        <v>0</v>
      </c>
      <c r="AA186" s="27">
        <v>0</v>
      </c>
      <c r="AB186" s="27">
        <v>0</v>
      </c>
      <c r="AC186" s="27">
        <v>0</v>
      </c>
      <c r="AD186" s="27">
        <v>0</v>
      </c>
      <c r="AE186" s="27">
        <v>0</v>
      </c>
      <c r="AF186" s="27">
        <v>0</v>
      </c>
      <c r="AG186" s="27">
        <v>0</v>
      </c>
      <c r="AH186" s="27">
        <v>1</v>
      </c>
      <c r="AJ186">
        <f t="shared" si="2"/>
        <v>1</v>
      </c>
    </row>
    <row r="187" spans="1:36">
      <c r="A187" t="s">
        <v>1353</v>
      </c>
      <c r="B187" t="s">
        <v>1354</v>
      </c>
      <c r="C187" t="s">
        <v>1355</v>
      </c>
      <c r="D187" t="s">
        <v>1356</v>
      </c>
      <c r="E187">
        <v>2024</v>
      </c>
      <c r="F187" t="s">
        <v>1357</v>
      </c>
      <c r="G187">
        <v>15</v>
      </c>
      <c r="I187">
        <v>1351985</v>
      </c>
      <c r="M187">
        <v>0</v>
      </c>
      <c r="N187" t="s">
        <v>1358</v>
      </c>
      <c r="O187" t="s">
        <v>1359</v>
      </c>
      <c r="P187" s="22" t="str">
        <f>HYPERLINK(O187)</f>
        <v>https://www.scopus.com/inward/record.uri?eid=2-s2.0-85197853254&amp;doi=10.3389%2ffphys.2024.1351985&amp;partnerID=40&amp;md5=ac3b234071194ae935cec604deccc256</v>
      </c>
      <c r="Q187" t="s">
        <v>156</v>
      </c>
      <c r="R187" t="s">
        <v>48</v>
      </c>
      <c r="S187" t="s">
        <v>225</v>
      </c>
      <c r="T187" t="s">
        <v>6</v>
      </c>
      <c r="U187" t="s">
        <v>1360</v>
      </c>
      <c r="V187" s="36">
        <v>0</v>
      </c>
      <c r="W187" s="27">
        <v>0</v>
      </c>
      <c r="X187" s="27">
        <v>0</v>
      </c>
      <c r="Y187" s="27">
        <v>0</v>
      </c>
      <c r="Z187" s="27">
        <v>0</v>
      </c>
      <c r="AA187" s="27">
        <v>0</v>
      </c>
      <c r="AB187" s="27">
        <v>0</v>
      </c>
      <c r="AC187" s="27">
        <v>0</v>
      </c>
      <c r="AD187" s="27">
        <v>0</v>
      </c>
      <c r="AE187" s="27">
        <v>0</v>
      </c>
      <c r="AF187" s="27">
        <v>0</v>
      </c>
      <c r="AG187" s="27">
        <v>0</v>
      </c>
      <c r="AH187" s="27">
        <v>1</v>
      </c>
      <c r="AJ187">
        <f t="shared" si="2"/>
        <v>1</v>
      </c>
    </row>
    <row r="188" spans="1:36">
      <c r="A188" t="s">
        <v>1361</v>
      </c>
      <c r="B188" t="s">
        <v>1362</v>
      </c>
      <c r="C188" t="s">
        <v>1363</v>
      </c>
      <c r="D188" t="s">
        <v>1364</v>
      </c>
      <c r="E188">
        <v>2022</v>
      </c>
      <c r="F188" t="s">
        <v>1365</v>
      </c>
      <c r="G188">
        <v>13</v>
      </c>
      <c r="I188">
        <v>874541</v>
      </c>
      <c r="M188">
        <v>2</v>
      </c>
      <c r="N188" t="s">
        <v>1366</v>
      </c>
      <c r="O188" t="s">
        <v>1367</v>
      </c>
      <c r="P188" s="22" t="str">
        <f>HYPERLINK(O188)</f>
        <v>https://www.scopus.com/inward/record.uri?eid=2-s2.0-85138295686&amp;doi=10.3389%2ffpsyg.2022.874541&amp;partnerID=40&amp;md5=82502eedd14345c2bb090cc413f1fb58</v>
      </c>
      <c r="Q188" t="s">
        <v>156</v>
      </c>
      <c r="R188" t="s">
        <v>48</v>
      </c>
      <c r="S188" t="s">
        <v>225</v>
      </c>
      <c r="T188" t="s">
        <v>6</v>
      </c>
      <c r="U188" t="s">
        <v>1368</v>
      </c>
      <c r="V188" s="36">
        <v>0</v>
      </c>
      <c r="W188" s="27">
        <v>1</v>
      </c>
      <c r="X188" s="27">
        <v>0</v>
      </c>
      <c r="Y188" s="27">
        <v>0</v>
      </c>
      <c r="Z188" s="27">
        <v>0</v>
      </c>
      <c r="AA188" s="27">
        <v>0</v>
      </c>
      <c r="AB188" s="27">
        <v>0</v>
      </c>
      <c r="AC188" s="27">
        <v>0</v>
      </c>
      <c r="AD188" s="27">
        <v>0</v>
      </c>
      <c r="AE188" s="27">
        <v>0</v>
      </c>
      <c r="AF188" s="27">
        <v>0</v>
      </c>
      <c r="AG188" s="27">
        <v>0</v>
      </c>
      <c r="AH188" s="27">
        <v>0</v>
      </c>
      <c r="AJ188">
        <f t="shared" si="2"/>
        <v>1</v>
      </c>
    </row>
    <row r="189" spans="1:36">
      <c r="A189" t="s">
        <v>1369</v>
      </c>
      <c r="B189" t="s">
        <v>1370</v>
      </c>
      <c r="C189" t="s">
        <v>1371</v>
      </c>
      <c r="D189" t="s">
        <v>1372</v>
      </c>
      <c r="E189">
        <v>2017</v>
      </c>
      <c r="F189" t="s">
        <v>1373</v>
      </c>
      <c r="I189">
        <v>7821604</v>
      </c>
      <c r="J189">
        <v>150</v>
      </c>
      <c r="K189">
        <v>155</v>
      </c>
      <c r="L189">
        <v>5</v>
      </c>
      <c r="M189">
        <v>2</v>
      </c>
      <c r="N189" t="s">
        <v>1374</v>
      </c>
      <c r="O189" t="s">
        <v>1375</v>
      </c>
      <c r="P189" s="22" t="str">
        <f>HYPERLINK(O189)</f>
        <v>https://www.scopus.com/inward/record.uri?eid=2-s2.0-85013634166&amp;doi=10.1109%2fFTC.2016.7821604&amp;partnerID=40&amp;md5=c7bf13d753cd7eb5996679635404672b</v>
      </c>
      <c r="Q189" t="s">
        <v>62</v>
      </c>
      <c r="R189" t="s">
        <v>48</v>
      </c>
      <c r="T189" t="s">
        <v>6</v>
      </c>
      <c r="U189" t="s">
        <v>1376</v>
      </c>
      <c r="V189" s="36">
        <v>0</v>
      </c>
      <c r="W189" s="27">
        <v>0</v>
      </c>
      <c r="X189" s="27">
        <v>0</v>
      </c>
      <c r="Y189" s="27">
        <v>0</v>
      </c>
      <c r="Z189" s="27">
        <v>0</v>
      </c>
      <c r="AA189" s="27">
        <v>0</v>
      </c>
      <c r="AB189" s="27">
        <v>0</v>
      </c>
      <c r="AC189" s="27">
        <v>0</v>
      </c>
      <c r="AD189" s="27">
        <v>0</v>
      </c>
      <c r="AE189" s="27">
        <v>0</v>
      </c>
      <c r="AF189" s="27">
        <v>0</v>
      </c>
      <c r="AG189" s="27">
        <v>0</v>
      </c>
      <c r="AH189" s="27">
        <v>1</v>
      </c>
      <c r="AJ189">
        <f t="shared" si="2"/>
        <v>1</v>
      </c>
    </row>
    <row r="190" spans="1:36">
      <c r="A190" t="s">
        <v>1377</v>
      </c>
      <c r="B190" t="s">
        <v>1378</v>
      </c>
      <c r="C190" t="s">
        <v>1379</v>
      </c>
      <c r="D190" t="s">
        <v>1380</v>
      </c>
      <c r="E190">
        <v>2014</v>
      </c>
      <c r="F190" t="s">
        <v>1381</v>
      </c>
      <c r="H190">
        <v>45</v>
      </c>
      <c r="J190">
        <v>2</v>
      </c>
      <c r="K190">
        <v>7</v>
      </c>
      <c r="L190">
        <v>5</v>
      </c>
      <c r="M190">
        <v>1</v>
      </c>
      <c r="O190" t="s">
        <v>1382</v>
      </c>
      <c r="P190" s="22" t="str">
        <f>HYPERLINK(O190)</f>
        <v>https://www.scopus.com/inward/record.uri?eid=2-s2.0-84898478718&amp;partnerID=40&amp;md5=7a0f92a40d7852f2d4751228ef5de00f</v>
      </c>
      <c r="Q190" t="s">
        <v>156</v>
      </c>
      <c r="R190" t="s">
        <v>48</v>
      </c>
      <c r="T190" t="s">
        <v>6</v>
      </c>
      <c r="U190" t="s">
        <v>1383</v>
      </c>
      <c r="V190" s="36">
        <v>0</v>
      </c>
      <c r="W190" s="27">
        <v>0</v>
      </c>
      <c r="X190" s="27">
        <v>0</v>
      </c>
      <c r="Y190" s="27">
        <v>0</v>
      </c>
      <c r="Z190" s="27">
        <v>0</v>
      </c>
      <c r="AA190" s="27">
        <v>0</v>
      </c>
      <c r="AB190" s="27">
        <v>0</v>
      </c>
      <c r="AC190" s="27">
        <v>0</v>
      </c>
      <c r="AD190" s="27">
        <v>0</v>
      </c>
      <c r="AE190" s="27">
        <v>0</v>
      </c>
      <c r="AF190" s="27">
        <v>0</v>
      </c>
      <c r="AG190" s="27">
        <v>0</v>
      </c>
      <c r="AH190" s="27">
        <v>1</v>
      </c>
      <c r="AJ190">
        <f t="shared" si="2"/>
        <v>1</v>
      </c>
    </row>
    <row r="191" spans="1:36">
      <c r="A191" t="s">
        <v>1384</v>
      </c>
      <c r="B191" t="s">
        <v>1385</v>
      </c>
      <c r="C191" t="s">
        <v>1386</v>
      </c>
      <c r="D191" t="s">
        <v>1387</v>
      </c>
      <c r="E191">
        <v>2012</v>
      </c>
      <c r="F191" t="s">
        <v>1388</v>
      </c>
      <c r="G191">
        <v>18</v>
      </c>
      <c r="J191">
        <v>179</v>
      </c>
      <c r="K191">
        <v>185</v>
      </c>
      <c r="L191">
        <v>6</v>
      </c>
      <c r="M191">
        <v>3</v>
      </c>
      <c r="O191" t="s">
        <v>1389</v>
      </c>
      <c r="P191" s="22" t="str">
        <f>HYPERLINK(O191)</f>
        <v>https://www.scopus.com/inward/record.uri?eid=2-s2.0-84872176202&amp;partnerID=40&amp;md5=8f94ef30c0ac1bbcb919493cc9b64fd3</v>
      </c>
      <c r="Q191" t="s">
        <v>156</v>
      </c>
      <c r="R191" t="s">
        <v>48</v>
      </c>
      <c r="T191" t="s">
        <v>6</v>
      </c>
      <c r="U191" t="s">
        <v>1390</v>
      </c>
      <c r="V191" s="36">
        <v>0</v>
      </c>
      <c r="W191" s="27">
        <v>0</v>
      </c>
      <c r="X191" s="27">
        <v>0</v>
      </c>
      <c r="Y191" s="27">
        <v>0</v>
      </c>
      <c r="Z191" s="27">
        <v>0</v>
      </c>
      <c r="AA191" s="27">
        <v>0</v>
      </c>
      <c r="AB191" s="27">
        <v>0</v>
      </c>
      <c r="AC191" s="27">
        <v>0</v>
      </c>
      <c r="AD191" s="27">
        <v>0</v>
      </c>
      <c r="AE191" s="27">
        <v>0</v>
      </c>
      <c r="AF191" s="27">
        <v>0</v>
      </c>
      <c r="AG191" s="27">
        <v>0</v>
      </c>
      <c r="AH191" s="27">
        <v>1</v>
      </c>
      <c r="AJ191">
        <f t="shared" si="2"/>
        <v>1</v>
      </c>
    </row>
    <row r="192" spans="1:36">
      <c r="A192" t="s">
        <v>1391</v>
      </c>
      <c r="B192" t="s">
        <v>1392</v>
      </c>
      <c r="C192">
        <v>57214130398</v>
      </c>
      <c r="D192" t="s">
        <v>1393</v>
      </c>
      <c r="E192">
        <v>2016</v>
      </c>
      <c r="F192" t="s">
        <v>1394</v>
      </c>
      <c r="G192">
        <v>21</v>
      </c>
      <c r="H192">
        <v>1</v>
      </c>
      <c r="J192">
        <v>59</v>
      </c>
      <c r="K192">
        <v>112</v>
      </c>
      <c r="L192">
        <v>53</v>
      </c>
      <c r="M192">
        <v>0</v>
      </c>
      <c r="N192" t="s">
        <v>1395</v>
      </c>
      <c r="O192" t="s">
        <v>1396</v>
      </c>
      <c r="P192" s="22" t="str">
        <f>HYPERLINK(O192)</f>
        <v>https://www.scopus.com/inward/record.uri?eid=2-s2.0-84996554705&amp;doi=10.15291%2fgeoadria.25&amp;partnerID=40&amp;md5=0f94a70cd17dbd1aecbeb9d9fdeea725</v>
      </c>
      <c r="Q192" t="s">
        <v>184</v>
      </c>
      <c r="R192" t="s">
        <v>48</v>
      </c>
      <c r="S192" t="s">
        <v>225</v>
      </c>
      <c r="T192" t="s">
        <v>6</v>
      </c>
      <c r="U192" t="s">
        <v>1397</v>
      </c>
      <c r="V192" s="36">
        <v>0</v>
      </c>
      <c r="W192" s="27">
        <v>0</v>
      </c>
      <c r="X192" s="27">
        <v>0</v>
      </c>
      <c r="Y192" s="27">
        <v>0</v>
      </c>
      <c r="Z192" s="27">
        <v>0</v>
      </c>
      <c r="AA192" s="27">
        <v>0</v>
      </c>
      <c r="AB192" s="27">
        <v>0</v>
      </c>
      <c r="AC192" s="27">
        <v>0</v>
      </c>
      <c r="AD192" s="27">
        <v>0</v>
      </c>
      <c r="AE192" s="27">
        <v>0</v>
      </c>
      <c r="AF192" s="27">
        <v>0</v>
      </c>
      <c r="AG192" s="27">
        <v>0</v>
      </c>
      <c r="AH192" s="27">
        <v>1</v>
      </c>
      <c r="AJ192">
        <f t="shared" si="2"/>
        <v>1</v>
      </c>
    </row>
    <row r="193" spans="1:36">
      <c r="A193" t="s">
        <v>1398</v>
      </c>
      <c r="B193" t="s">
        <v>1399</v>
      </c>
      <c r="C193" t="s">
        <v>1400</v>
      </c>
      <c r="D193" t="s">
        <v>1401</v>
      </c>
      <c r="E193">
        <v>2016</v>
      </c>
      <c r="F193" t="s">
        <v>1402</v>
      </c>
      <c r="G193">
        <v>35</v>
      </c>
      <c r="H193">
        <v>1</v>
      </c>
      <c r="J193">
        <v>110</v>
      </c>
      <c r="K193">
        <v>125</v>
      </c>
      <c r="L193">
        <v>15</v>
      </c>
      <c r="M193">
        <v>1</v>
      </c>
      <c r="O193" t="s">
        <v>1403</v>
      </c>
      <c r="P193" s="22" t="str">
        <f>HYPERLINK(O193)</f>
        <v>https://www.scopus.com/inward/record.uri?eid=2-s2.0-84963547301&amp;partnerID=40&amp;md5=403e3acde8797e4dd3ca05a5805e9449</v>
      </c>
      <c r="Q193" t="s">
        <v>156</v>
      </c>
      <c r="R193" t="s">
        <v>48</v>
      </c>
      <c r="T193" t="s">
        <v>6</v>
      </c>
      <c r="U193" t="s">
        <v>1404</v>
      </c>
      <c r="V193" s="36">
        <v>0</v>
      </c>
      <c r="W193" s="27">
        <v>0</v>
      </c>
      <c r="X193" s="27">
        <v>0</v>
      </c>
      <c r="Y193" s="27">
        <v>0</v>
      </c>
      <c r="Z193" s="27">
        <v>0</v>
      </c>
      <c r="AA193" s="27">
        <v>0</v>
      </c>
      <c r="AB193" s="27">
        <v>0</v>
      </c>
      <c r="AC193" s="27">
        <v>0</v>
      </c>
      <c r="AD193" s="27">
        <v>0</v>
      </c>
      <c r="AE193" s="27">
        <v>0</v>
      </c>
      <c r="AF193" s="27">
        <v>0</v>
      </c>
      <c r="AG193" s="27">
        <v>0</v>
      </c>
      <c r="AH193" s="27">
        <v>1</v>
      </c>
      <c r="AJ193">
        <f t="shared" si="2"/>
        <v>1</v>
      </c>
    </row>
    <row r="194" spans="1:36">
      <c r="A194" t="s">
        <v>1405</v>
      </c>
      <c r="B194" t="s">
        <v>1406</v>
      </c>
      <c r="C194" t="s">
        <v>1407</v>
      </c>
      <c r="D194" t="s">
        <v>1408</v>
      </c>
      <c r="E194">
        <v>2020</v>
      </c>
      <c r="F194" t="s">
        <v>1409</v>
      </c>
      <c r="G194">
        <v>64</v>
      </c>
      <c r="H194">
        <v>3</v>
      </c>
      <c r="J194">
        <v>361</v>
      </c>
      <c r="K194">
        <v>375</v>
      </c>
      <c r="L194">
        <v>14</v>
      </c>
      <c r="M194">
        <v>3</v>
      </c>
      <c r="N194" t="s">
        <v>1410</v>
      </c>
      <c r="O194" t="s">
        <v>1411</v>
      </c>
      <c r="P194" s="22" t="str">
        <f>HYPERLINK(O194)</f>
        <v>https://www.scopus.com/inward/record.uri?eid=2-s2.0-85095114098&amp;doi=10.15292%2fgeodetski-vestnik.2020.03.361-375&amp;partnerID=40&amp;md5=031fdc9a69b845cf2df2ad605c56931b</v>
      </c>
      <c r="Q194" t="s">
        <v>156</v>
      </c>
      <c r="R194" t="s">
        <v>48</v>
      </c>
      <c r="S194" t="s">
        <v>225</v>
      </c>
      <c r="T194" t="s">
        <v>6</v>
      </c>
      <c r="U194" t="s">
        <v>1412</v>
      </c>
      <c r="V194" s="36">
        <v>0</v>
      </c>
      <c r="W194" s="27">
        <v>0</v>
      </c>
      <c r="X194" s="27">
        <v>0</v>
      </c>
      <c r="Y194" s="27">
        <v>0</v>
      </c>
      <c r="Z194" s="27">
        <v>1</v>
      </c>
      <c r="AA194" s="27">
        <v>0</v>
      </c>
      <c r="AB194" s="27">
        <v>0</v>
      </c>
      <c r="AC194" s="27">
        <v>0</v>
      </c>
      <c r="AD194" s="27">
        <v>0</v>
      </c>
      <c r="AE194" s="27">
        <v>0</v>
      </c>
      <c r="AF194" s="27">
        <v>0</v>
      </c>
      <c r="AG194" s="27">
        <v>0</v>
      </c>
      <c r="AH194" s="27">
        <v>0</v>
      </c>
      <c r="AJ194">
        <f t="shared" ref="AJ194:AJ257" si="3">SUM(V194:AH194)</f>
        <v>1</v>
      </c>
    </row>
    <row r="195" spans="1:36">
      <c r="A195" t="s">
        <v>1413</v>
      </c>
      <c r="B195" t="s">
        <v>1414</v>
      </c>
      <c r="C195" t="s">
        <v>1415</v>
      </c>
      <c r="D195" t="s">
        <v>1416</v>
      </c>
      <c r="E195">
        <v>2023</v>
      </c>
      <c r="F195" t="s">
        <v>1417</v>
      </c>
      <c r="G195">
        <v>96</v>
      </c>
      <c r="H195">
        <v>1</v>
      </c>
      <c r="J195">
        <v>79</v>
      </c>
      <c r="K195">
        <v>101</v>
      </c>
      <c r="L195">
        <v>22</v>
      </c>
      <c r="M195">
        <v>2</v>
      </c>
      <c r="N195" t="s">
        <v>1418</v>
      </c>
      <c r="O195" t="s">
        <v>1419</v>
      </c>
      <c r="P195" s="22" t="str">
        <f>HYPERLINK(O195)</f>
        <v>https://www.scopus.com/inward/record.uri?eid=2-s2.0-85159359813&amp;doi=10.7163%2fGPol.0247&amp;partnerID=40&amp;md5=7f5cb2dca1d274538a691821db8e5daa</v>
      </c>
      <c r="Q195" t="s">
        <v>156</v>
      </c>
      <c r="R195" t="s">
        <v>48</v>
      </c>
      <c r="S195" t="s">
        <v>467</v>
      </c>
      <c r="T195" t="s">
        <v>6</v>
      </c>
      <c r="U195" t="s">
        <v>1420</v>
      </c>
      <c r="V195" s="36">
        <v>0</v>
      </c>
      <c r="W195" s="27">
        <v>0</v>
      </c>
      <c r="X195" s="27">
        <v>0</v>
      </c>
      <c r="Y195" s="27">
        <v>0</v>
      </c>
      <c r="Z195" s="27">
        <v>0</v>
      </c>
      <c r="AA195" s="27">
        <v>0</v>
      </c>
      <c r="AB195" s="27">
        <v>0</v>
      </c>
      <c r="AC195" s="27">
        <v>0</v>
      </c>
      <c r="AD195" s="27">
        <v>0</v>
      </c>
      <c r="AE195" s="27">
        <v>0</v>
      </c>
      <c r="AF195" s="27">
        <v>0</v>
      </c>
      <c r="AG195" s="27">
        <v>0</v>
      </c>
      <c r="AH195" s="27">
        <v>1</v>
      </c>
      <c r="AJ195">
        <f t="shared" si="3"/>
        <v>1</v>
      </c>
    </row>
    <row r="196" spans="1:36">
      <c r="A196" t="s">
        <v>1421</v>
      </c>
      <c r="B196" t="s">
        <v>1422</v>
      </c>
      <c r="C196" t="s">
        <v>1423</v>
      </c>
      <c r="D196" t="s">
        <v>1424</v>
      </c>
      <c r="E196">
        <v>2023</v>
      </c>
      <c r="F196" t="s">
        <v>1425</v>
      </c>
      <c r="G196">
        <v>15</v>
      </c>
      <c r="H196">
        <v>4</v>
      </c>
      <c r="I196">
        <v>132</v>
      </c>
      <c r="M196">
        <v>2</v>
      </c>
      <c r="N196" t="s">
        <v>1426</v>
      </c>
      <c r="O196" t="s">
        <v>1427</v>
      </c>
      <c r="P196" s="22" t="str">
        <f>HYPERLINK(O196)</f>
        <v>https://www.scopus.com/inward/record.uri?eid=2-s2.0-85176427901&amp;doi=10.1007%2fs12371-023-00899-6&amp;partnerID=40&amp;md5=8198bbba678ee41edf8171426a84c873</v>
      </c>
      <c r="Q196" t="s">
        <v>156</v>
      </c>
      <c r="R196" t="s">
        <v>48</v>
      </c>
      <c r="S196" t="s">
        <v>172</v>
      </c>
      <c r="T196" t="s">
        <v>6</v>
      </c>
      <c r="U196" t="s">
        <v>1428</v>
      </c>
      <c r="V196" s="36">
        <v>0</v>
      </c>
      <c r="W196" s="27">
        <v>0</v>
      </c>
      <c r="X196" s="27">
        <v>0</v>
      </c>
      <c r="Y196" s="27">
        <v>0</v>
      </c>
      <c r="Z196" s="27">
        <v>0</v>
      </c>
      <c r="AA196" s="27">
        <v>0</v>
      </c>
      <c r="AB196" s="27">
        <v>0</v>
      </c>
      <c r="AC196" s="27">
        <v>0</v>
      </c>
      <c r="AD196" s="27">
        <v>0</v>
      </c>
      <c r="AE196" s="27">
        <v>0</v>
      </c>
      <c r="AF196" s="27">
        <v>0</v>
      </c>
      <c r="AG196" s="27">
        <v>0</v>
      </c>
      <c r="AH196" s="27">
        <v>1</v>
      </c>
      <c r="AJ196">
        <f t="shared" si="3"/>
        <v>1</v>
      </c>
    </row>
    <row r="197" spans="1:36">
      <c r="A197" t="s">
        <v>1429</v>
      </c>
      <c r="B197" t="s">
        <v>1430</v>
      </c>
      <c r="C197" t="s">
        <v>1431</v>
      </c>
      <c r="D197" t="s">
        <v>1432</v>
      </c>
      <c r="E197">
        <v>2024</v>
      </c>
      <c r="F197" t="s">
        <v>1425</v>
      </c>
      <c r="G197">
        <v>16</v>
      </c>
      <c r="H197">
        <v>3</v>
      </c>
      <c r="I197">
        <v>84</v>
      </c>
      <c r="M197">
        <v>1</v>
      </c>
      <c r="N197" t="s">
        <v>1433</v>
      </c>
      <c r="O197" t="s">
        <v>1434</v>
      </c>
      <c r="P197" s="22" t="str">
        <f>HYPERLINK(O197)</f>
        <v>https://www.scopus.com/inward/record.uri?eid=2-s2.0-85201417531&amp;doi=10.1007%2fs12371-024-00988-0&amp;partnerID=40&amp;md5=c593b7e251fc4d4f78c605c60908cf5e</v>
      </c>
      <c r="Q197" t="s">
        <v>156</v>
      </c>
      <c r="R197" t="s">
        <v>48</v>
      </c>
      <c r="T197" t="s">
        <v>6</v>
      </c>
      <c r="U197" t="s">
        <v>1435</v>
      </c>
      <c r="V197" s="36">
        <v>0</v>
      </c>
      <c r="W197" s="27">
        <v>1</v>
      </c>
      <c r="X197" s="27">
        <v>0</v>
      </c>
      <c r="Y197" s="27">
        <v>0</v>
      </c>
      <c r="Z197" s="27">
        <v>0</v>
      </c>
      <c r="AA197" s="27">
        <v>0</v>
      </c>
      <c r="AB197" s="27">
        <v>0</v>
      </c>
      <c r="AC197" s="27">
        <v>0</v>
      </c>
      <c r="AD197" s="27">
        <v>0</v>
      </c>
      <c r="AE197" s="27">
        <v>0</v>
      </c>
      <c r="AF197" s="27">
        <v>0</v>
      </c>
      <c r="AG197" s="27">
        <v>0</v>
      </c>
      <c r="AH197" s="27">
        <v>0</v>
      </c>
      <c r="AJ197">
        <f t="shared" si="3"/>
        <v>1</v>
      </c>
    </row>
    <row r="198" spans="1:36">
      <c r="A198" t="s">
        <v>1436</v>
      </c>
      <c r="B198" t="s">
        <v>1437</v>
      </c>
      <c r="C198">
        <v>57953624300</v>
      </c>
      <c r="D198" t="s">
        <v>1438</v>
      </c>
      <c r="E198">
        <v>2024</v>
      </c>
      <c r="F198" t="s">
        <v>1439</v>
      </c>
      <c r="G198">
        <v>54</v>
      </c>
      <c r="J198">
        <v>784</v>
      </c>
      <c r="K198">
        <v>793</v>
      </c>
      <c r="L198">
        <v>9</v>
      </c>
      <c r="M198">
        <v>0</v>
      </c>
      <c r="N198" t="s">
        <v>1440</v>
      </c>
      <c r="O198" t="s">
        <v>1441</v>
      </c>
      <c r="P198" s="22" t="str">
        <f>HYPERLINK(O198)</f>
        <v>https://www.scopus.com/inward/record.uri?eid=2-s2.0-85198019439&amp;doi=10.30892%2fgtg.542spl02-1253&amp;partnerID=40&amp;md5=90f5be29b6c29c75c5cc1b7ebf7053fd</v>
      </c>
      <c r="Q198" t="s">
        <v>156</v>
      </c>
      <c r="R198" t="s">
        <v>48</v>
      </c>
      <c r="T198" t="s">
        <v>6</v>
      </c>
      <c r="U198" t="s">
        <v>1442</v>
      </c>
      <c r="V198" s="36">
        <v>0</v>
      </c>
      <c r="W198" s="27">
        <v>0</v>
      </c>
      <c r="X198" s="27">
        <v>0</v>
      </c>
      <c r="Y198" s="27">
        <v>0</v>
      </c>
      <c r="Z198" s="27">
        <v>0</v>
      </c>
      <c r="AA198" s="27">
        <v>0</v>
      </c>
      <c r="AB198" s="27">
        <v>0</v>
      </c>
      <c r="AC198" s="27">
        <v>0</v>
      </c>
      <c r="AD198" s="27">
        <v>0</v>
      </c>
      <c r="AE198" s="27">
        <v>1</v>
      </c>
      <c r="AF198" s="27">
        <v>0</v>
      </c>
      <c r="AG198" s="27">
        <v>0</v>
      </c>
      <c r="AH198" s="27">
        <v>0</v>
      </c>
      <c r="AJ198">
        <f t="shared" si="3"/>
        <v>1</v>
      </c>
    </row>
    <row r="199" spans="1:36">
      <c r="A199" t="s">
        <v>1443</v>
      </c>
      <c r="B199" t="s">
        <v>1444</v>
      </c>
      <c r="C199" t="s">
        <v>1445</v>
      </c>
      <c r="D199" t="s">
        <v>1446</v>
      </c>
      <c r="E199">
        <v>2020</v>
      </c>
      <c r="F199" t="s">
        <v>1447</v>
      </c>
      <c r="G199">
        <v>64</v>
      </c>
      <c r="H199">
        <v>4</v>
      </c>
      <c r="J199">
        <v>819</v>
      </c>
      <c r="K199">
        <v>837</v>
      </c>
      <c r="L199">
        <v>18</v>
      </c>
      <c r="M199">
        <v>4</v>
      </c>
      <c r="N199" t="s">
        <v>1448</v>
      </c>
      <c r="O199" t="s">
        <v>1449</v>
      </c>
      <c r="P199" s="22" t="str">
        <f>HYPERLINK(O199)</f>
        <v>https://www.scopus.com/inward/record.uri?eid=2-s2.0-85097503060&amp;doi=10.7306%2fgq.1557&amp;partnerID=40&amp;md5=3bf05eed0ff7947e01049341074bfd4f</v>
      </c>
      <c r="Q199" t="s">
        <v>156</v>
      </c>
      <c r="R199" t="s">
        <v>48</v>
      </c>
      <c r="S199" t="s">
        <v>185</v>
      </c>
      <c r="T199" t="s">
        <v>6</v>
      </c>
      <c r="U199" t="s">
        <v>1450</v>
      </c>
      <c r="V199" s="36">
        <v>0</v>
      </c>
      <c r="W199" s="27">
        <v>0</v>
      </c>
      <c r="X199" s="27">
        <v>0</v>
      </c>
      <c r="Y199" s="27">
        <v>0</v>
      </c>
      <c r="Z199" s="27">
        <v>0</v>
      </c>
      <c r="AA199" s="27">
        <v>0</v>
      </c>
      <c r="AB199" s="27">
        <v>0</v>
      </c>
      <c r="AC199" s="27">
        <v>0</v>
      </c>
      <c r="AD199" s="27">
        <v>0</v>
      </c>
      <c r="AE199" s="27">
        <v>0</v>
      </c>
      <c r="AF199" s="27">
        <v>0</v>
      </c>
      <c r="AG199" s="27">
        <v>0</v>
      </c>
      <c r="AH199" s="27">
        <v>1</v>
      </c>
      <c r="AJ199">
        <f t="shared" si="3"/>
        <v>1</v>
      </c>
    </row>
    <row r="200" spans="1:36">
      <c r="A200" t="s">
        <v>1451</v>
      </c>
      <c r="B200" t="s">
        <v>1452</v>
      </c>
      <c r="C200" t="s">
        <v>1453</v>
      </c>
      <c r="D200" t="s">
        <v>1454</v>
      </c>
      <c r="E200">
        <v>2008</v>
      </c>
      <c r="F200" t="s">
        <v>1455</v>
      </c>
      <c r="G200">
        <v>94</v>
      </c>
      <c r="H200" s="32">
        <v>45750</v>
      </c>
      <c r="J200">
        <v>419</v>
      </c>
      <c r="K200">
        <v>437</v>
      </c>
      <c r="L200">
        <v>18</v>
      </c>
      <c r="M200">
        <v>166</v>
      </c>
      <c r="N200" t="s">
        <v>1456</v>
      </c>
      <c r="O200" t="s">
        <v>1457</v>
      </c>
      <c r="P200" s="22" t="str">
        <f>HYPERLINK(O200)</f>
        <v>https://www.scopus.com/inward/record.uri?eid=2-s2.0-38149011421&amp;doi=10.1016%2fj.geomorph.2006.10.037&amp;partnerID=40&amp;md5=a835a3ae9628a2e365ff9a5127eb3713</v>
      </c>
      <c r="Q200" t="s">
        <v>156</v>
      </c>
      <c r="R200" t="s">
        <v>48</v>
      </c>
      <c r="T200" t="s">
        <v>6</v>
      </c>
      <c r="U200" t="s">
        <v>1458</v>
      </c>
      <c r="V200" s="36">
        <v>0</v>
      </c>
      <c r="W200" s="27">
        <v>0</v>
      </c>
      <c r="X200" s="27">
        <v>0</v>
      </c>
      <c r="Y200" s="27">
        <v>0</v>
      </c>
      <c r="Z200" s="27">
        <v>0</v>
      </c>
      <c r="AA200" s="27">
        <v>0</v>
      </c>
      <c r="AB200" s="27">
        <v>0</v>
      </c>
      <c r="AC200" s="27">
        <v>0</v>
      </c>
      <c r="AD200" s="27">
        <v>0</v>
      </c>
      <c r="AE200" s="27">
        <v>0</v>
      </c>
      <c r="AF200" s="27">
        <v>0</v>
      </c>
      <c r="AG200" s="27">
        <v>0</v>
      </c>
      <c r="AH200" s="27">
        <v>1</v>
      </c>
      <c r="AJ200">
        <f t="shared" si="3"/>
        <v>1</v>
      </c>
    </row>
    <row r="201" spans="1:36">
      <c r="A201" t="s">
        <v>1459</v>
      </c>
      <c r="B201" t="s">
        <v>1460</v>
      </c>
      <c r="C201" t="s">
        <v>1461</v>
      </c>
      <c r="D201" t="s">
        <v>1462</v>
      </c>
      <c r="E201">
        <v>2015</v>
      </c>
      <c r="F201" t="s">
        <v>1463</v>
      </c>
      <c r="G201">
        <v>80</v>
      </c>
      <c r="H201">
        <v>4</v>
      </c>
      <c r="J201" t="s">
        <v>1464</v>
      </c>
      <c r="K201" t="s">
        <v>1465</v>
      </c>
      <c r="L201">
        <v>11</v>
      </c>
      <c r="M201">
        <v>13</v>
      </c>
      <c r="N201" t="s">
        <v>1466</v>
      </c>
      <c r="O201" t="s">
        <v>1467</v>
      </c>
      <c r="P201" s="22" t="str">
        <f>HYPERLINK(O201)</f>
        <v>https://www.scopus.com/inward/record.uri?eid=2-s2.0-84983121701&amp;doi=10.1190%2fgeo2014-0601.1&amp;partnerID=40&amp;md5=22072ad30c58c26efe65b6989299d842</v>
      </c>
      <c r="Q201" t="s">
        <v>156</v>
      </c>
      <c r="R201" t="s">
        <v>48</v>
      </c>
      <c r="S201" t="s">
        <v>164</v>
      </c>
      <c r="T201" t="s">
        <v>6</v>
      </c>
      <c r="U201" t="s">
        <v>1468</v>
      </c>
      <c r="V201" s="36">
        <v>0</v>
      </c>
      <c r="W201" s="27">
        <v>0</v>
      </c>
      <c r="X201" s="27">
        <v>0</v>
      </c>
      <c r="Y201" s="27">
        <v>0</v>
      </c>
      <c r="Z201" s="27">
        <v>0</v>
      </c>
      <c r="AA201" s="27">
        <v>0</v>
      </c>
      <c r="AB201" s="27">
        <v>0</v>
      </c>
      <c r="AC201" s="27">
        <v>0</v>
      </c>
      <c r="AD201" s="27">
        <v>0</v>
      </c>
      <c r="AE201" s="27">
        <v>0</v>
      </c>
      <c r="AF201" s="27">
        <v>0</v>
      </c>
      <c r="AG201" s="27">
        <v>0</v>
      </c>
      <c r="AH201" s="27">
        <v>1</v>
      </c>
      <c r="AJ201">
        <f t="shared" si="3"/>
        <v>1</v>
      </c>
    </row>
    <row r="202" spans="1:36">
      <c r="A202" t="s">
        <v>1469</v>
      </c>
      <c r="B202" t="s">
        <v>1470</v>
      </c>
      <c r="C202" t="s">
        <v>1471</v>
      </c>
      <c r="D202" t="s">
        <v>1472</v>
      </c>
      <c r="E202">
        <v>2019</v>
      </c>
      <c r="F202" t="s">
        <v>1473</v>
      </c>
      <c r="G202">
        <v>9</v>
      </c>
      <c r="H202">
        <v>10</v>
      </c>
      <c r="I202">
        <v>434</v>
      </c>
      <c r="M202">
        <v>5</v>
      </c>
      <c r="N202" t="s">
        <v>1474</v>
      </c>
      <c r="O202" t="s">
        <v>1475</v>
      </c>
      <c r="P202" s="22" t="str">
        <f>HYPERLINK(O202)</f>
        <v>https://www.scopus.com/inward/record.uri?eid=2-s2.0-85073722828&amp;doi=10.3390%2fgeosciences9100434&amp;partnerID=40&amp;md5=2441150620e6258f42d61fb84ad7ee22</v>
      </c>
      <c r="Q202" t="s">
        <v>156</v>
      </c>
      <c r="R202" t="s">
        <v>48</v>
      </c>
      <c r="S202" t="s">
        <v>185</v>
      </c>
      <c r="T202" t="s">
        <v>6</v>
      </c>
      <c r="U202" t="s">
        <v>1476</v>
      </c>
      <c r="V202" s="36">
        <v>0</v>
      </c>
      <c r="W202" s="27">
        <v>0</v>
      </c>
      <c r="X202" s="27">
        <v>0</v>
      </c>
      <c r="Y202" s="27">
        <v>0</v>
      </c>
      <c r="Z202" s="27">
        <v>0</v>
      </c>
      <c r="AA202" s="27">
        <v>1</v>
      </c>
      <c r="AB202" s="27">
        <v>0</v>
      </c>
      <c r="AC202" s="27">
        <v>0</v>
      </c>
      <c r="AD202" s="27">
        <v>0</v>
      </c>
      <c r="AE202" s="27">
        <v>0</v>
      </c>
      <c r="AF202" s="27">
        <v>0</v>
      </c>
      <c r="AG202" s="27">
        <v>0</v>
      </c>
      <c r="AH202" s="27">
        <v>0</v>
      </c>
      <c r="AJ202">
        <f t="shared" si="3"/>
        <v>1</v>
      </c>
    </row>
    <row r="203" spans="1:36">
      <c r="A203" t="s">
        <v>1477</v>
      </c>
      <c r="B203" t="s">
        <v>1478</v>
      </c>
      <c r="C203" t="s">
        <v>1479</v>
      </c>
      <c r="D203" t="s">
        <v>1480</v>
      </c>
      <c r="E203">
        <v>2021</v>
      </c>
      <c r="F203" t="s">
        <v>1481</v>
      </c>
      <c r="G203">
        <v>26</v>
      </c>
      <c r="H203">
        <v>1</v>
      </c>
      <c r="J203">
        <v>1</v>
      </c>
      <c r="K203">
        <v>8</v>
      </c>
      <c r="L203">
        <v>7</v>
      </c>
      <c r="M203">
        <v>3</v>
      </c>
      <c r="N203" t="s">
        <v>1482</v>
      </c>
      <c r="O203" t="s">
        <v>1483</v>
      </c>
      <c r="P203" s="22" t="str">
        <f>HYPERLINK(O203)</f>
        <v>https://www.scopus.com/inward/record.uri?eid=2-s2.0-85104735153&amp;doi=10.17549%2fgbfr.2021.26.1.1&amp;partnerID=40&amp;md5=7afc3f130965dbcbb2855463f8bf01eb</v>
      </c>
      <c r="Q203" t="s">
        <v>156</v>
      </c>
      <c r="R203" t="s">
        <v>48</v>
      </c>
      <c r="S203" t="s">
        <v>225</v>
      </c>
      <c r="T203" t="s">
        <v>6</v>
      </c>
      <c r="U203" t="s">
        <v>1484</v>
      </c>
      <c r="V203" s="36">
        <v>1</v>
      </c>
      <c r="W203" s="27">
        <v>0</v>
      </c>
      <c r="X203" s="27">
        <v>0</v>
      </c>
      <c r="Y203" s="27">
        <v>0</v>
      </c>
      <c r="Z203" s="27">
        <v>0</v>
      </c>
      <c r="AA203" s="27">
        <v>0</v>
      </c>
      <c r="AB203" s="27">
        <v>0</v>
      </c>
      <c r="AC203" s="27">
        <v>0</v>
      </c>
      <c r="AD203" s="27">
        <v>0</v>
      </c>
      <c r="AE203" s="27">
        <v>0</v>
      </c>
      <c r="AF203" s="27">
        <v>0</v>
      </c>
      <c r="AG203" s="27">
        <v>0</v>
      </c>
      <c r="AH203" s="27">
        <v>0</v>
      </c>
      <c r="AJ203">
        <f t="shared" si="3"/>
        <v>1</v>
      </c>
    </row>
    <row r="204" spans="1:36">
      <c r="A204" t="s">
        <v>1485</v>
      </c>
      <c r="B204" t="s">
        <v>1486</v>
      </c>
      <c r="C204">
        <v>57193642128</v>
      </c>
      <c r="D204" t="s">
        <v>1487</v>
      </c>
      <c r="E204">
        <v>2016</v>
      </c>
      <c r="F204" t="s">
        <v>1488</v>
      </c>
      <c r="G204">
        <v>16</v>
      </c>
      <c r="H204">
        <v>1</v>
      </c>
      <c r="J204">
        <v>33</v>
      </c>
      <c r="K204">
        <v>47</v>
      </c>
      <c r="L204">
        <v>14</v>
      </c>
      <c r="M204">
        <v>7</v>
      </c>
      <c r="N204" t="s">
        <v>1489</v>
      </c>
      <c r="O204" t="s">
        <v>1490</v>
      </c>
      <c r="P204" s="22" t="str">
        <f>HYPERLINK(O204)</f>
        <v>https://www.scopus.com/inward/record.uri?eid=2-s2.0-84962076497&amp;doi=10.1515%2fgej-2014-0056&amp;partnerID=40&amp;md5=fdedc7020842e52aff7012665152abcc</v>
      </c>
      <c r="Q204" t="s">
        <v>156</v>
      </c>
      <c r="R204" t="s">
        <v>48</v>
      </c>
      <c r="T204" t="s">
        <v>6</v>
      </c>
      <c r="U204" t="s">
        <v>1491</v>
      </c>
      <c r="V204" s="36">
        <v>0</v>
      </c>
      <c r="W204" s="27">
        <v>0</v>
      </c>
      <c r="X204" s="27">
        <v>0</v>
      </c>
      <c r="Y204" s="27">
        <v>0</v>
      </c>
      <c r="Z204" s="27">
        <v>0</v>
      </c>
      <c r="AA204" s="27">
        <v>0</v>
      </c>
      <c r="AB204" s="27">
        <v>0</v>
      </c>
      <c r="AC204" s="27">
        <v>0</v>
      </c>
      <c r="AD204" s="27">
        <v>0</v>
      </c>
      <c r="AE204" s="27">
        <v>0</v>
      </c>
      <c r="AF204" s="27">
        <v>1</v>
      </c>
      <c r="AG204" s="27">
        <v>0</v>
      </c>
      <c r="AH204" s="27">
        <v>0</v>
      </c>
      <c r="AJ204">
        <f t="shared" si="3"/>
        <v>1</v>
      </c>
    </row>
    <row r="205" spans="1:36">
      <c r="A205" t="s">
        <v>1492</v>
      </c>
      <c r="B205" t="s">
        <v>1493</v>
      </c>
      <c r="C205" t="s">
        <v>1494</v>
      </c>
      <c r="D205" t="s">
        <v>1495</v>
      </c>
      <c r="E205">
        <v>2024</v>
      </c>
      <c r="F205" t="s">
        <v>1496</v>
      </c>
      <c r="G205">
        <v>10</v>
      </c>
      <c r="H205">
        <v>4</v>
      </c>
      <c r="J205">
        <v>1993</v>
      </c>
      <c r="K205">
        <v>2008</v>
      </c>
      <c r="L205">
        <v>15</v>
      </c>
      <c r="M205">
        <v>0</v>
      </c>
      <c r="N205" t="s">
        <v>1497</v>
      </c>
      <c r="O205" t="s">
        <v>1498</v>
      </c>
      <c r="P205" s="22" t="str">
        <f>HYPERLINK(O205)</f>
        <v>https://www.scopus.com/inward/record.uri?eid=2-s2.0-85200757999&amp;doi=10.22034%2fgjesm.2024.04.30&amp;partnerID=40&amp;md5=eff74a1ffaceafbaff246b3179df3844</v>
      </c>
      <c r="Q205" t="s">
        <v>156</v>
      </c>
      <c r="R205" t="s">
        <v>48</v>
      </c>
      <c r="T205" t="s">
        <v>6</v>
      </c>
      <c r="U205" t="s">
        <v>1499</v>
      </c>
      <c r="V205" s="36">
        <v>0</v>
      </c>
      <c r="W205" s="27">
        <v>0</v>
      </c>
      <c r="X205" s="27">
        <v>0</v>
      </c>
      <c r="Y205" s="27">
        <v>0</v>
      </c>
      <c r="Z205" s="27">
        <v>0</v>
      </c>
      <c r="AA205" s="27">
        <v>0</v>
      </c>
      <c r="AB205" s="27">
        <v>0</v>
      </c>
      <c r="AC205" s="27">
        <v>0</v>
      </c>
      <c r="AD205" s="27">
        <v>0</v>
      </c>
      <c r="AE205" s="27">
        <v>0</v>
      </c>
      <c r="AF205" s="27">
        <v>0</v>
      </c>
      <c r="AG205" s="27">
        <v>0</v>
      </c>
      <c r="AH205" s="27">
        <v>1</v>
      </c>
      <c r="AJ205">
        <f t="shared" si="3"/>
        <v>1</v>
      </c>
    </row>
    <row r="206" spans="1:36">
      <c r="A206" t="s">
        <v>1500</v>
      </c>
      <c r="B206" t="s">
        <v>1501</v>
      </c>
      <c r="C206" t="s">
        <v>1502</v>
      </c>
      <c r="D206" t="s">
        <v>1503</v>
      </c>
      <c r="E206">
        <v>2024</v>
      </c>
      <c r="F206" t="s">
        <v>1504</v>
      </c>
      <c r="G206">
        <v>26</v>
      </c>
      <c r="I206">
        <v>101270</v>
      </c>
      <c r="M206">
        <v>0</v>
      </c>
      <c r="N206" t="s">
        <v>1505</v>
      </c>
      <c r="O206" t="s">
        <v>1506</v>
      </c>
      <c r="P206" s="22" t="str">
        <f>HYPERLINK(O206)</f>
        <v>https://www.scopus.com/inward/record.uri?eid=2-s2.0-85198347510&amp;doi=10.1016%2fj.gsd.2024.101270&amp;partnerID=40&amp;md5=9ab7ddde035b615532266c74533dcff1</v>
      </c>
      <c r="Q206" t="s">
        <v>156</v>
      </c>
      <c r="R206" t="s">
        <v>48</v>
      </c>
      <c r="T206" t="s">
        <v>6</v>
      </c>
      <c r="U206" t="s">
        <v>1507</v>
      </c>
      <c r="V206" s="36">
        <v>0</v>
      </c>
      <c r="W206" s="27">
        <v>0</v>
      </c>
      <c r="X206" s="27">
        <v>0</v>
      </c>
      <c r="Y206" s="27">
        <v>0</v>
      </c>
      <c r="Z206" s="27">
        <v>0</v>
      </c>
      <c r="AA206" s="27">
        <v>0</v>
      </c>
      <c r="AB206" s="27">
        <v>0</v>
      </c>
      <c r="AC206" s="27">
        <v>0</v>
      </c>
      <c r="AD206" s="27">
        <v>0</v>
      </c>
      <c r="AE206" s="27">
        <v>0</v>
      </c>
      <c r="AF206" s="27">
        <v>0</v>
      </c>
      <c r="AG206" s="27">
        <v>0</v>
      </c>
      <c r="AH206" s="27">
        <v>1</v>
      </c>
      <c r="AJ206">
        <f t="shared" si="3"/>
        <v>1</v>
      </c>
    </row>
    <row r="207" spans="1:36">
      <c r="A207" t="s">
        <v>1508</v>
      </c>
      <c r="B207" t="s">
        <v>1509</v>
      </c>
      <c r="C207" t="s">
        <v>1510</v>
      </c>
      <c r="D207" t="s">
        <v>1511</v>
      </c>
      <c r="E207">
        <v>2021</v>
      </c>
      <c r="F207" t="s">
        <v>1512</v>
      </c>
      <c r="G207">
        <v>52</v>
      </c>
      <c r="H207">
        <v>3</v>
      </c>
      <c r="J207">
        <v>1914</v>
      </c>
      <c r="K207">
        <v>1937</v>
      </c>
      <c r="L207">
        <v>23</v>
      </c>
      <c r="M207">
        <v>9</v>
      </c>
      <c r="N207" t="s">
        <v>1513</v>
      </c>
      <c r="O207" t="s">
        <v>1514</v>
      </c>
      <c r="P207" s="22" t="str">
        <f>HYPERLINK(O207)</f>
        <v>https://www.scopus.com/inward/record.uri?eid=2-s2.0-85111094827&amp;doi=10.1111%2fgrow.12524&amp;partnerID=40&amp;md5=0d850b27fa4b5db24795c3d2842f69ef</v>
      </c>
      <c r="Q207" t="s">
        <v>156</v>
      </c>
      <c r="R207" t="s">
        <v>48</v>
      </c>
      <c r="T207" t="s">
        <v>6</v>
      </c>
      <c r="U207" t="s">
        <v>1515</v>
      </c>
      <c r="V207" s="36">
        <v>0</v>
      </c>
      <c r="W207" s="27">
        <v>1</v>
      </c>
      <c r="X207" s="27">
        <v>0</v>
      </c>
      <c r="Y207" s="27">
        <v>0</v>
      </c>
      <c r="Z207" s="27">
        <v>0</v>
      </c>
      <c r="AA207" s="27">
        <v>0</v>
      </c>
      <c r="AB207" s="27">
        <v>0</v>
      </c>
      <c r="AC207" s="27">
        <v>0</v>
      </c>
      <c r="AD207" s="27">
        <v>0</v>
      </c>
      <c r="AE207" s="27">
        <v>0</v>
      </c>
      <c r="AF207" s="27">
        <v>0</v>
      </c>
      <c r="AG207" s="27">
        <v>0</v>
      </c>
      <c r="AH207" s="27">
        <v>0</v>
      </c>
      <c r="AJ207">
        <f t="shared" si="3"/>
        <v>1</v>
      </c>
    </row>
    <row r="208" spans="1:36">
      <c r="A208" t="s">
        <v>1516</v>
      </c>
      <c r="B208" t="s">
        <v>1517</v>
      </c>
      <c r="C208" t="s">
        <v>1518</v>
      </c>
      <c r="D208" t="s">
        <v>1519</v>
      </c>
      <c r="E208">
        <v>2023</v>
      </c>
      <c r="F208" t="s">
        <v>1520</v>
      </c>
      <c r="G208">
        <v>141</v>
      </c>
      <c r="I208">
        <v>102948</v>
      </c>
      <c r="M208">
        <v>0</v>
      </c>
      <c r="N208" t="s">
        <v>1521</v>
      </c>
      <c r="O208" t="s">
        <v>1522</v>
      </c>
      <c r="P208" s="22" t="str">
        <f>HYPERLINK(O208)</f>
        <v>https://www.scopus.com/inward/record.uri?eid=2-s2.0-85174455789&amp;doi=10.1016%2fj.habitatint.2023.102948&amp;partnerID=40&amp;md5=a188b62be2f771f5a40a896889fb2194</v>
      </c>
      <c r="Q208" t="s">
        <v>156</v>
      </c>
      <c r="R208" t="s">
        <v>48</v>
      </c>
      <c r="T208" t="s">
        <v>6</v>
      </c>
      <c r="U208" t="s">
        <v>1523</v>
      </c>
      <c r="V208" s="36">
        <v>0</v>
      </c>
      <c r="W208" s="27">
        <v>0</v>
      </c>
      <c r="X208" s="27">
        <v>0</v>
      </c>
      <c r="Y208" s="27">
        <v>0</v>
      </c>
      <c r="Z208" s="27">
        <v>0</v>
      </c>
      <c r="AA208" s="27">
        <v>0</v>
      </c>
      <c r="AB208" s="27">
        <v>0</v>
      </c>
      <c r="AC208" s="27">
        <v>0</v>
      </c>
      <c r="AD208" s="27">
        <v>0</v>
      </c>
      <c r="AE208" s="27">
        <v>0</v>
      </c>
      <c r="AF208" s="27">
        <v>0</v>
      </c>
      <c r="AG208" s="27">
        <v>0</v>
      </c>
      <c r="AH208" s="27">
        <v>1</v>
      </c>
      <c r="AJ208">
        <f t="shared" si="3"/>
        <v>1</v>
      </c>
    </row>
    <row r="209" spans="1:36">
      <c r="A209" t="s">
        <v>1524</v>
      </c>
      <c r="B209" t="s">
        <v>1525</v>
      </c>
      <c r="C209">
        <v>36085532500</v>
      </c>
      <c r="D209" t="s">
        <v>1526</v>
      </c>
      <c r="E209">
        <v>2015</v>
      </c>
      <c r="F209" t="s">
        <v>1527</v>
      </c>
      <c r="J209">
        <v>268</v>
      </c>
      <c r="K209">
        <v>291</v>
      </c>
      <c r="L209">
        <v>23</v>
      </c>
      <c r="M209">
        <v>1</v>
      </c>
      <c r="N209" t="s">
        <v>1528</v>
      </c>
      <c r="O209" t="s">
        <v>1529</v>
      </c>
      <c r="P209" s="22" t="str">
        <f>HYPERLINK(O209)</f>
        <v>https://www.scopus.com/inward/record.uri?eid=2-s2.0-84957369096&amp;doi=10.4018%2f978-1-4666-8363-1.ch013&amp;partnerID=40&amp;md5=c9617dc0ca7cbeb9a6260cac1e85977b</v>
      </c>
      <c r="Q209" t="s">
        <v>216</v>
      </c>
      <c r="R209" t="s">
        <v>48</v>
      </c>
      <c r="T209" t="s">
        <v>6</v>
      </c>
      <c r="U209" t="s">
        <v>1530</v>
      </c>
      <c r="V209" s="36">
        <v>0</v>
      </c>
      <c r="W209" s="27">
        <v>0</v>
      </c>
      <c r="X209" s="27">
        <v>0</v>
      </c>
      <c r="Y209" s="27">
        <v>0</v>
      </c>
      <c r="Z209" s="27">
        <v>0</v>
      </c>
      <c r="AA209" s="27">
        <v>0</v>
      </c>
      <c r="AB209" s="27">
        <v>0</v>
      </c>
      <c r="AC209" s="27">
        <v>0</v>
      </c>
      <c r="AD209" s="27">
        <v>0</v>
      </c>
      <c r="AE209" s="27">
        <v>0</v>
      </c>
      <c r="AF209" s="27">
        <v>0</v>
      </c>
      <c r="AG209" s="27">
        <v>0</v>
      </c>
      <c r="AH209" s="27">
        <v>1</v>
      </c>
      <c r="AJ209">
        <f t="shared" si="3"/>
        <v>1</v>
      </c>
    </row>
    <row r="210" spans="1:36">
      <c r="A210" t="s">
        <v>1531</v>
      </c>
      <c r="B210" t="s">
        <v>1532</v>
      </c>
      <c r="C210" t="s">
        <v>1533</v>
      </c>
      <c r="D210" t="s">
        <v>1534</v>
      </c>
      <c r="E210">
        <v>2022</v>
      </c>
      <c r="F210" t="s">
        <v>1535</v>
      </c>
      <c r="J210">
        <v>209</v>
      </c>
      <c r="K210">
        <v>220</v>
      </c>
      <c r="L210">
        <v>11</v>
      </c>
      <c r="M210">
        <v>1</v>
      </c>
      <c r="N210" t="s">
        <v>1536</v>
      </c>
      <c r="O210" t="s">
        <v>1537</v>
      </c>
      <c r="P210" s="22" t="str">
        <f>HYPERLINK(O210)</f>
        <v>https://www.scopus.com/inward/record.uri?eid=2-s2.0-85159027226&amp;doi=10.1007%2f978-3-030-05526-4_31&amp;partnerID=40&amp;md5=23092f2849b96191c557a9052463bcaf</v>
      </c>
      <c r="Q210" t="s">
        <v>216</v>
      </c>
      <c r="R210" t="s">
        <v>48</v>
      </c>
      <c r="T210" t="s">
        <v>6</v>
      </c>
      <c r="U210" t="s">
        <v>1538</v>
      </c>
      <c r="V210" s="36">
        <v>0</v>
      </c>
      <c r="W210" s="27">
        <v>0</v>
      </c>
      <c r="X210" s="27">
        <v>0</v>
      </c>
      <c r="Y210" s="27">
        <v>0</v>
      </c>
      <c r="Z210" s="27">
        <v>0</v>
      </c>
      <c r="AA210" s="27">
        <v>0</v>
      </c>
      <c r="AB210" s="27">
        <v>0</v>
      </c>
      <c r="AC210" s="27">
        <v>0</v>
      </c>
      <c r="AD210" s="27">
        <v>0</v>
      </c>
      <c r="AE210" s="27">
        <v>0</v>
      </c>
      <c r="AF210" s="27">
        <v>0</v>
      </c>
      <c r="AG210" s="27">
        <v>0</v>
      </c>
      <c r="AH210" s="27">
        <v>1</v>
      </c>
      <c r="AJ210">
        <f t="shared" si="3"/>
        <v>1</v>
      </c>
    </row>
    <row r="211" spans="1:36">
      <c r="A211" t="s">
        <v>1539</v>
      </c>
      <c r="B211" t="s">
        <v>1540</v>
      </c>
      <c r="C211">
        <v>55891111000</v>
      </c>
      <c r="D211" t="s">
        <v>1541</v>
      </c>
      <c r="E211">
        <v>2015</v>
      </c>
      <c r="F211" t="s">
        <v>1542</v>
      </c>
      <c r="J211">
        <v>209</v>
      </c>
      <c r="K211">
        <v>219</v>
      </c>
      <c r="L211">
        <v>10</v>
      </c>
      <c r="M211">
        <v>5</v>
      </c>
      <c r="O211" t="s">
        <v>1543</v>
      </c>
      <c r="P211" s="22" t="str">
        <f>HYPERLINK(O211)</f>
        <v>https://www.scopus.com/inward/record.uri?eid=2-s2.0-84956750714&amp;partnerID=40&amp;md5=2b02cf2231fe471e589fbebb42e041d6</v>
      </c>
      <c r="Q211" t="s">
        <v>216</v>
      </c>
      <c r="R211" t="s">
        <v>48</v>
      </c>
      <c r="T211" t="s">
        <v>6</v>
      </c>
      <c r="U211" t="s">
        <v>1544</v>
      </c>
      <c r="V211" s="36">
        <v>0</v>
      </c>
      <c r="W211" s="27">
        <v>1</v>
      </c>
      <c r="X211" s="27">
        <v>0</v>
      </c>
      <c r="Y211" s="27">
        <v>0</v>
      </c>
      <c r="Z211" s="27">
        <v>0</v>
      </c>
      <c r="AA211" s="27">
        <v>0</v>
      </c>
      <c r="AB211" s="27">
        <v>0</v>
      </c>
      <c r="AC211" s="27">
        <v>0</v>
      </c>
      <c r="AD211" s="27">
        <v>0</v>
      </c>
      <c r="AE211" s="27">
        <v>0</v>
      </c>
      <c r="AF211" s="27">
        <v>0</v>
      </c>
      <c r="AG211" s="27">
        <v>0</v>
      </c>
      <c r="AH211" s="27">
        <v>0</v>
      </c>
      <c r="AJ211">
        <f t="shared" si="3"/>
        <v>1</v>
      </c>
    </row>
    <row r="212" spans="1:36">
      <c r="A212" t="s">
        <v>1545</v>
      </c>
      <c r="B212" t="s">
        <v>1546</v>
      </c>
      <c r="C212" t="s">
        <v>1547</v>
      </c>
      <c r="D212" t="s">
        <v>1548</v>
      </c>
      <c r="E212">
        <v>2017</v>
      </c>
      <c r="F212" t="s">
        <v>1549</v>
      </c>
      <c r="G212">
        <v>32</v>
      </c>
      <c r="H212">
        <v>4</v>
      </c>
      <c r="J212">
        <v>538</v>
      </c>
      <c r="K212">
        <v>548</v>
      </c>
      <c r="L212">
        <v>10</v>
      </c>
      <c r="M212">
        <v>142</v>
      </c>
      <c r="N212" t="s">
        <v>1550</v>
      </c>
      <c r="O212" t="s">
        <v>1551</v>
      </c>
      <c r="P212" s="22" t="str">
        <f>HYPERLINK(O212)</f>
        <v>https://www.scopus.com/inward/record.uri?eid=2-s2.0-85027057780&amp;doi=10.1093%2fheapol%2fczw177&amp;partnerID=40&amp;md5=1537206e06326d581619fa90f134faa9</v>
      </c>
      <c r="Q212" t="s">
        <v>156</v>
      </c>
      <c r="R212" t="s">
        <v>48</v>
      </c>
      <c r="S212" t="s">
        <v>1171</v>
      </c>
      <c r="T212" t="s">
        <v>6</v>
      </c>
      <c r="U212" t="s">
        <v>1552</v>
      </c>
      <c r="V212" s="36">
        <v>1</v>
      </c>
      <c r="W212" s="27">
        <v>0</v>
      </c>
      <c r="X212" s="27">
        <v>0</v>
      </c>
      <c r="Y212" s="27">
        <v>0</v>
      </c>
      <c r="Z212" s="27">
        <v>0</v>
      </c>
      <c r="AA212" s="27">
        <v>0</v>
      </c>
      <c r="AB212" s="27">
        <v>0</v>
      </c>
      <c r="AC212" s="27">
        <v>0</v>
      </c>
      <c r="AD212" s="27">
        <v>0</v>
      </c>
      <c r="AE212" s="27">
        <v>0</v>
      </c>
      <c r="AF212" s="27">
        <v>0</v>
      </c>
      <c r="AG212" s="27">
        <v>0</v>
      </c>
      <c r="AH212" s="27">
        <v>0</v>
      </c>
      <c r="AJ212">
        <f t="shared" si="3"/>
        <v>1</v>
      </c>
    </row>
    <row r="213" spans="1:36">
      <c r="A213" t="s">
        <v>1553</v>
      </c>
      <c r="B213" t="s">
        <v>1554</v>
      </c>
      <c r="C213" t="s">
        <v>1555</v>
      </c>
      <c r="D213" t="s">
        <v>1556</v>
      </c>
      <c r="E213">
        <v>2024</v>
      </c>
      <c r="F213" t="s">
        <v>1557</v>
      </c>
      <c r="G213">
        <v>10</v>
      </c>
      <c r="H213">
        <v>11</v>
      </c>
      <c r="I213" t="s">
        <v>1558</v>
      </c>
      <c r="M213">
        <v>0</v>
      </c>
      <c r="N213" t="s">
        <v>1559</v>
      </c>
      <c r="O213" t="s">
        <v>1560</v>
      </c>
      <c r="P213" s="22" t="str">
        <f>HYPERLINK(O213)</f>
        <v>https://www.scopus.com/inward/record.uri?eid=2-s2.0-85194830158&amp;doi=10.1016%2fj.heliyon.2024.e31990&amp;partnerID=40&amp;md5=a61d9be4c4de8edb7e0cc736f32bb793</v>
      </c>
      <c r="Q213" t="s">
        <v>156</v>
      </c>
      <c r="R213" t="s">
        <v>48</v>
      </c>
      <c r="S213" t="s">
        <v>185</v>
      </c>
      <c r="T213" t="s">
        <v>6</v>
      </c>
      <c r="U213" t="s">
        <v>1561</v>
      </c>
      <c r="V213" s="36">
        <v>0</v>
      </c>
      <c r="W213" s="27">
        <v>1</v>
      </c>
      <c r="X213" s="27">
        <v>0</v>
      </c>
      <c r="Y213" s="27">
        <v>0</v>
      </c>
      <c r="Z213" s="27">
        <v>0</v>
      </c>
      <c r="AA213" s="27">
        <v>0</v>
      </c>
      <c r="AB213" s="27">
        <v>0</v>
      </c>
      <c r="AC213" s="27">
        <v>0</v>
      </c>
      <c r="AD213" s="27">
        <v>0</v>
      </c>
      <c r="AE213" s="27">
        <v>0</v>
      </c>
      <c r="AF213" s="27">
        <v>0</v>
      </c>
      <c r="AG213" s="27">
        <v>0</v>
      </c>
      <c r="AH213" s="27">
        <v>0</v>
      </c>
      <c r="AJ213">
        <f t="shared" si="3"/>
        <v>1</v>
      </c>
    </row>
    <row r="214" spans="1:36">
      <c r="A214" t="s">
        <v>1562</v>
      </c>
      <c r="B214" t="s">
        <v>1563</v>
      </c>
      <c r="C214" t="s">
        <v>1564</v>
      </c>
      <c r="D214" t="s">
        <v>1565</v>
      </c>
      <c r="E214">
        <v>2023</v>
      </c>
      <c r="F214" t="s">
        <v>1557</v>
      </c>
      <c r="G214">
        <v>9</v>
      </c>
      <c r="H214">
        <v>8</v>
      </c>
      <c r="I214" t="s">
        <v>1566</v>
      </c>
      <c r="M214">
        <v>8</v>
      </c>
      <c r="N214" t="s">
        <v>1567</v>
      </c>
      <c r="O214" t="s">
        <v>1568</v>
      </c>
      <c r="P214" s="22" t="str">
        <f>HYPERLINK(O214)</f>
        <v>https://www.scopus.com/inward/record.uri?eid=2-s2.0-85165711568&amp;doi=10.1016%2fj.heliyon.2023.e18570&amp;partnerID=40&amp;md5=e9ec06e81c9f898694726568a3ab6eff</v>
      </c>
      <c r="Q214" t="s">
        <v>156</v>
      </c>
      <c r="R214" t="s">
        <v>48</v>
      </c>
      <c r="S214" t="s">
        <v>225</v>
      </c>
      <c r="T214" t="s">
        <v>6</v>
      </c>
      <c r="U214" t="s">
        <v>1569</v>
      </c>
      <c r="V214" s="36">
        <v>0</v>
      </c>
      <c r="W214" s="27">
        <v>1</v>
      </c>
      <c r="X214" s="27">
        <v>0</v>
      </c>
      <c r="Y214" s="27">
        <v>0</v>
      </c>
      <c r="Z214" s="27">
        <v>0</v>
      </c>
      <c r="AA214" s="27">
        <v>0</v>
      </c>
      <c r="AB214" s="27">
        <v>0</v>
      </c>
      <c r="AC214" s="27">
        <v>0</v>
      </c>
      <c r="AD214" s="27">
        <v>0</v>
      </c>
      <c r="AE214" s="27">
        <v>0</v>
      </c>
      <c r="AF214" s="27">
        <v>0</v>
      </c>
      <c r="AG214" s="27">
        <v>0</v>
      </c>
      <c r="AH214" s="27">
        <v>0</v>
      </c>
      <c r="AJ214">
        <f t="shared" si="3"/>
        <v>1</v>
      </c>
    </row>
    <row r="215" spans="1:36">
      <c r="A215" t="s">
        <v>1570</v>
      </c>
      <c r="B215" t="s">
        <v>1571</v>
      </c>
      <c r="C215">
        <v>56305620300</v>
      </c>
      <c r="D215" t="s">
        <v>1572</v>
      </c>
      <c r="E215">
        <v>2015</v>
      </c>
      <c r="F215" t="s">
        <v>1573</v>
      </c>
      <c r="J215">
        <v>27</v>
      </c>
      <c r="K215">
        <v>68</v>
      </c>
      <c r="L215">
        <v>41</v>
      </c>
      <c r="M215">
        <v>0</v>
      </c>
      <c r="N215" t="s">
        <v>1574</v>
      </c>
      <c r="O215" t="s">
        <v>1575</v>
      </c>
      <c r="P215" s="22" t="str">
        <f>HYPERLINK(O215)</f>
        <v>https://www.scopus.com/inward/record.uri?eid=2-s2.0-85145062677&amp;doi=10.1057%2f9781137533210_2&amp;partnerID=40&amp;md5=ab24c8eed77bcf14786c2869aab93be3</v>
      </c>
      <c r="Q215" t="s">
        <v>216</v>
      </c>
      <c r="R215" t="s">
        <v>48</v>
      </c>
      <c r="T215" t="s">
        <v>6</v>
      </c>
      <c r="U215" t="s">
        <v>1576</v>
      </c>
      <c r="V215" s="36">
        <v>0</v>
      </c>
      <c r="W215" s="27">
        <v>0</v>
      </c>
      <c r="X215" s="27">
        <v>0</v>
      </c>
      <c r="Y215" s="27">
        <v>0</v>
      </c>
      <c r="Z215" s="27">
        <v>0</v>
      </c>
      <c r="AA215" s="27">
        <v>0</v>
      </c>
      <c r="AB215" s="27">
        <v>0</v>
      </c>
      <c r="AC215" s="27">
        <v>0</v>
      </c>
      <c r="AD215" s="27">
        <v>0</v>
      </c>
      <c r="AE215" s="27">
        <v>0</v>
      </c>
      <c r="AF215" s="27">
        <v>0</v>
      </c>
      <c r="AG215" s="27">
        <v>0</v>
      </c>
      <c r="AH215" s="27">
        <v>1</v>
      </c>
      <c r="AJ215">
        <f t="shared" si="3"/>
        <v>1</v>
      </c>
    </row>
    <row r="216" spans="1:36">
      <c r="A216" t="s">
        <v>1577</v>
      </c>
      <c r="B216" t="s">
        <v>1578</v>
      </c>
      <c r="C216" t="s">
        <v>1579</v>
      </c>
      <c r="D216" t="s">
        <v>1580</v>
      </c>
      <c r="E216">
        <v>2022</v>
      </c>
      <c r="F216" t="s">
        <v>1581</v>
      </c>
      <c r="M216">
        <v>0</v>
      </c>
      <c r="O216" t="s">
        <v>1582</v>
      </c>
      <c r="P216" s="22" t="str">
        <f>HYPERLINK(O216)</f>
        <v>https://www.scopus.com/inward/record.uri?eid=2-s2.0-85143253175&amp;partnerID=40&amp;md5=431b2d73356f10a8f7e03f498023d122</v>
      </c>
      <c r="Q216" t="s">
        <v>62</v>
      </c>
      <c r="R216" t="s">
        <v>48</v>
      </c>
      <c r="T216" t="s">
        <v>6</v>
      </c>
      <c r="U216" t="s">
        <v>1583</v>
      </c>
      <c r="V216" s="36">
        <v>0</v>
      </c>
      <c r="W216" s="27">
        <v>0</v>
      </c>
      <c r="X216" s="27">
        <v>0</v>
      </c>
      <c r="Y216" s="27">
        <v>0</v>
      </c>
      <c r="Z216" s="27">
        <v>0</v>
      </c>
      <c r="AA216" s="27">
        <v>0</v>
      </c>
      <c r="AB216" s="27">
        <v>0</v>
      </c>
      <c r="AC216" s="27">
        <v>0</v>
      </c>
      <c r="AD216" s="27">
        <v>0</v>
      </c>
      <c r="AE216" s="27">
        <v>0</v>
      </c>
      <c r="AF216" s="27">
        <v>0</v>
      </c>
      <c r="AG216" s="27">
        <v>0</v>
      </c>
      <c r="AH216" s="27">
        <v>1</v>
      </c>
      <c r="AJ216">
        <f t="shared" si="3"/>
        <v>1</v>
      </c>
    </row>
    <row r="217" spans="1:36">
      <c r="A217" t="s">
        <v>1584</v>
      </c>
      <c r="B217" t="s">
        <v>1585</v>
      </c>
      <c r="C217" t="s">
        <v>1586</v>
      </c>
      <c r="D217" t="s">
        <v>1587</v>
      </c>
      <c r="E217">
        <v>2018</v>
      </c>
      <c r="F217" t="s">
        <v>1588</v>
      </c>
      <c r="I217">
        <v>8541335</v>
      </c>
      <c r="J217">
        <v>36</v>
      </c>
      <c r="K217">
        <v>41</v>
      </c>
      <c r="L217">
        <v>5</v>
      </c>
      <c r="M217">
        <v>3</v>
      </c>
      <c r="N217" t="s">
        <v>1589</v>
      </c>
      <c r="O217" t="s">
        <v>1590</v>
      </c>
      <c r="P217" s="22" t="str">
        <f>HYPERLINK(O217)</f>
        <v>https://www.scopus.com/inward/record.uri?eid=2-s2.0-85059952841&amp;doi=10.1109%2fICAICTA.2018.8541335&amp;partnerID=40&amp;md5=b4e51d3b6bf0adf6964833adaeab2a24</v>
      </c>
      <c r="Q217" t="s">
        <v>62</v>
      </c>
      <c r="R217" t="s">
        <v>48</v>
      </c>
      <c r="T217" t="s">
        <v>6</v>
      </c>
      <c r="U217" t="s">
        <v>1591</v>
      </c>
      <c r="V217" s="36">
        <v>0</v>
      </c>
      <c r="W217" s="27">
        <v>0</v>
      </c>
      <c r="X217" s="27">
        <v>0</v>
      </c>
      <c r="Y217" s="27">
        <v>0</v>
      </c>
      <c r="Z217" s="27">
        <v>0</v>
      </c>
      <c r="AA217" s="27">
        <v>0</v>
      </c>
      <c r="AB217" s="27">
        <v>0</v>
      </c>
      <c r="AC217" s="27">
        <v>0</v>
      </c>
      <c r="AD217" s="27">
        <v>0</v>
      </c>
      <c r="AE217" s="27">
        <v>0</v>
      </c>
      <c r="AF217" s="27">
        <v>0</v>
      </c>
      <c r="AG217" s="27">
        <v>0</v>
      </c>
      <c r="AH217" s="27">
        <v>1</v>
      </c>
      <c r="AJ217">
        <f t="shared" si="3"/>
        <v>1</v>
      </c>
    </row>
    <row r="218" spans="1:36">
      <c r="A218" t="s">
        <v>227</v>
      </c>
      <c r="B218" t="s">
        <v>228</v>
      </c>
      <c r="C218" t="s">
        <v>229</v>
      </c>
      <c r="D218" t="s">
        <v>1592</v>
      </c>
      <c r="E218">
        <v>2011</v>
      </c>
      <c r="F218" t="s">
        <v>1593</v>
      </c>
      <c r="G218" t="s">
        <v>1594</v>
      </c>
      <c r="J218">
        <v>441</v>
      </c>
      <c r="K218">
        <v>447</v>
      </c>
      <c r="L218">
        <v>6</v>
      </c>
      <c r="M218">
        <v>0</v>
      </c>
      <c r="O218" t="s">
        <v>1595</v>
      </c>
      <c r="P218" s="22" t="str">
        <f>HYPERLINK(O218)</f>
        <v>https://www.scopus.com/inward/record.uri?eid=2-s2.0-84865139739&amp;partnerID=40&amp;md5=46127091f596ad97719e884b753a0164</v>
      </c>
      <c r="Q218" t="s">
        <v>62</v>
      </c>
      <c r="R218" t="s">
        <v>48</v>
      </c>
      <c r="T218" t="s">
        <v>6</v>
      </c>
      <c r="U218" t="s">
        <v>1596</v>
      </c>
      <c r="V218" s="36">
        <v>0</v>
      </c>
      <c r="W218" s="27">
        <v>1</v>
      </c>
      <c r="X218" s="27">
        <v>0</v>
      </c>
      <c r="Y218" s="27">
        <v>0</v>
      </c>
      <c r="Z218" s="27">
        <v>0</v>
      </c>
      <c r="AA218" s="27">
        <v>0</v>
      </c>
      <c r="AB218" s="27">
        <v>0</v>
      </c>
      <c r="AC218" s="27">
        <v>0</v>
      </c>
      <c r="AD218" s="27">
        <v>0</v>
      </c>
      <c r="AE218" s="27">
        <v>0</v>
      </c>
      <c r="AF218" s="27">
        <v>0</v>
      </c>
      <c r="AG218" s="27">
        <v>0</v>
      </c>
      <c r="AH218" s="27">
        <v>0</v>
      </c>
      <c r="AJ218">
        <f t="shared" si="3"/>
        <v>1</v>
      </c>
    </row>
    <row r="219" spans="1:36">
      <c r="A219" t="s">
        <v>1597</v>
      </c>
      <c r="B219" t="s">
        <v>1598</v>
      </c>
      <c r="C219" t="s">
        <v>1599</v>
      </c>
      <c r="D219" t="s">
        <v>1600</v>
      </c>
      <c r="E219">
        <v>2020</v>
      </c>
      <c r="F219" t="s">
        <v>1601</v>
      </c>
      <c r="G219">
        <v>8</v>
      </c>
      <c r="I219">
        <v>9133395</v>
      </c>
      <c r="J219">
        <v>125295</v>
      </c>
      <c r="K219">
        <v>125305</v>
      </c>
      <c r="L219">
        <v>10</v>
      </c>
      <c r="M219">
        <v>5</v>
      </c>
      <c r="N219" t="s">
        <v>1602</v>
      </c>
      <c r="O219" t="s">
        <v>1603</v>
      </c>
      <c r="P219" s="22" t="str">
        <f>HYPERLINK(O219)</f>
        <v>https://www.scopus.com/inward/record.uri?eid=2-s2.0-85088696061&amp;doi=10.1109%2fACCESS.2020.3007180&amp;partnerID=40&amp;md5=225267a717e3f58f0396cff35ab44b64</v>
      </c>
      <c r="Q219" t="s">
        <v>156</v>
      </c>
      <c r="R219" t="s">
        <v>48</v>
      </c>
      <c r="S219" t="s">
        <v>185</v>
      </c>
      <c r="T219" t="s">
        <v>6</v>
      </c>
      <c r="U219" t="s">
        <v>1604</v>
      </c>
      <c r="V219" s="36">
        <v>0</v>
      </c>
      <c r="W219" s="27">
        <v>1</v>
      </c>
      <c r="X219" s="27">
        <v>0</v>
      </c>
      <c r="Y219" s="27">
        <v>0</v>
      </c>
      <c r="Z219" s="27">
        <v>0</v>
      </c>
      <c r="AA219" s="27">
        <v>0</v>
      </c>
      <c r="AB219" s="27">
        <v>0</v>
      </c>
      <c r="AC219" s="27">
        <v>0</v>
      </c>
      <c r="AD219" s="27">
        <v>0</v>
      </c>
      <c r="AE219" s="27">
        <v>0</v>
      </c>
      <c r="AF219" s="27">
        <v>0</v>
      </c>
      <c r="AG219" s="27">
        <v>0</v>
      </c>
      <c r="AH219" s="27">
        <v>0</v>
      </c>
      <c r="AJ219">
        <f t="shared" si="3"/>
        <v>1</v>
      </c>
    </row>
    <row r="220" spans="1:36">
      <c r="A220" t="s">
        <v>1605</v>
      </c>
      <c r="B220" t="s">
        <v>1606</v>
      </c>
      <c r="C220" t="s">
        <v>1607</v>
      </c>
      <c r="D220" t="s">
        <v>1608</v>
      </c>
      <c r="E220">
        <v>2022</v>
      </c>
      <c r="F220" t="s">
        <v>1609</v>
      </c>
      <c r="G220">
        <v>42</v>
      </c>
      <c r="H220">
        <v>4</v>
      </c>
      <c r="J220">
        <v>498</v>
      </c>
      <c r="K220">
        <v>505</v>
      </c>
      <c r="L220">
        <v>7</v>
      </c>
      <c r="M220">
        <v>0</v>
      </c>
      <c r="O220" t="s">
        <v>1610</v>
      </c>
      <c r="P220" s="22" t="str">
        <f>HYPERLINK(O220)</f>
        <v>https://www.scopus.com/inward/record.uri?eid=2-s2.0-85132891460&amp;partnerID=40&amp;md5=ef06402a56d2a211f567682f73c7f862</v>
      </c>
      <c r="Q220" t="s">
        <v>156</v>
      </c>
      <c r="R220" t="s">
        <v>48</v>
      </c>
      <c r="T220" t="s">
        <v>6</v>
      </c>
      <c r="U220" t="s">
        <v>1611</v>
      </c>
      <c r="V220" s="36">
        <v>0</v>
      </c>
      <c r="W220" s="27">
        <v>0</v>
      </c>
      <c r="X220" s="27">
        <v>0</v>
      </c>
      <c r="Y220" s="27">
        <v>0</v>
      </c>
      <c r="Z220" s="27">
        <v>0</v>
      </c>
      <c r="AA220" s="27">
        <v>0</v>
      </c>
      <c r="AB220" s="27">
        <v>0</v>
      </c>
      <c r="AC220" s="27">
        <v>0</v>
      </c>
      <c r="AD220" s="27">
        <v>0</v>
      </c>
      <c r="AE220" s="27">
        <v>0</v>
      </c>
      <c r="AF220" s="27">
        <v>0</v>
      </c>
      <c r="AG220" s="27">
        <v>0</v>
      </c>
      <c r="AH220" s="27">
        <v>1</v>
      </c>
      <c r="AJ220">
        <f t="shared" si="3"/>
        <v>1</v>
      </c>
    </row>
    <row r="221" spans="1:36">
      <c r="A221" t="s">
        <v>1612</v>
      </c>
      <c r="B221" t="s">
        <v>1613</v>
      </c>
      <c r="C221" t="s">
        <v>1614</v>
      </c>
      <c r="D221" t="s">
        <v>1615</v>
      </c>
      <c r="E221">
        <v>2013</v>
      </c>
      <c r="F221" t="s">
        <v>1616</v>
      </c>
      <c r="G221">
        <v>12</v>
      </c>
      <c r="H221">
        <v>22</v>
      </c>
      <c r="J221">
        <v>7033</v>
      </c>
      <c r="K221">
        <v>7036</v>
      </c>
      <c r="L221">
        <v>3</v>
      </c>
      <c r="M221">
        <v>0</v>
      </c>
      <c r="N221" t="s">
        <v>1617</v>
      </c>
      <c r="O221" t="s">
        <v>1618</v>
      </c>
      <c r="P221" s="22" t="str">
        <f>HYPERLINK(O221)</f>
        <v>https://www.scopus.com/inward/record.uri?eid=2-s2.0-84901716551&amp;doi=10.3923%2fitj.2013.7033.7036&amp;partnerID=40&amp;md5=7607c17ae3bd570a6d7c1f56267c6513</v>
      </c>
      <c r="Q221" t="s">
        <v>156</v>
      </c>
      <c r="R221" t="s">
        <v>48</v>
      </c>
      <c r="T221" t="s">
        <v>6</v>
      </c>
      <c r="U221" t="s">
        <v>1619</v>
      </c>
      <c r="V221" s="36">
        <v>0</v>
      </c>
      <c r="W221" s="27">
        <v>0</v>
      </c>
      <c r="X221" s="27">
        <v>0</v>
      </c>
      <c r="Y221" s="27">
        <v>0</v>
      </c>
      <c r="Z221" s="27">
        <v>0</v>
      </c>
      <c r="AA221" s="27">
        <v>0</v>
      </c>
      <c r="AB221" s="27">
        <v>0</v>
      </c>
      <c r="AC221" s="27">
        <v>0</v>
      </c>
      <c r="AD221" s="27">
        <v>0</v>
      </c>
      <c r="AE221" s="27">
        <v>1</v>
      </c>
      <c r="AF221" s="27">
        <v>0</v>
      </c>
      <c r="AG221" s="27">
        <v>0</v>
      </c>
      <c r="AH221" s="27">
        <v>0</v>
      </c>
      <c r="AJ221">
        <f t="shared" si="3"/>
        <v>1</v>
      </c>
    </row>
    <row r="222" spans="1:36">
      <c r="A222" t="s">
        <v>1620</v>
      </c>
      <c r="B222" t="s">
        <v>1621</v>
      </c>
      <c r="C222" t="s">
        <v>1622</v>
      </c>
      <c r="D222" t="s">
        <v>1623</v>
      </c>
      <c r="E222">
        <v>2023</v>
      </c>
      <c r="F222" t="s">
        <v>1624</v>
      </c>
      <c r="G222">
        <v>19</v>
      </c>
      <c r="H222">
        <v>3</v>
      </c>
      <c r="J222">
        <v>226</v>
      </c>
      <c r="K222">
        <v>236</v>
      </c>
      <c r="L222">
        <v>10</v>
      </c>
      <c r="M222">
        <v>0</v>
      </c>
      <c r="N222" t="s">
        <v>1625</v>
      </c>
      <c r="O222" t="s">
        <v>1626</v>
      </c>
      <c r="P222" s="22" t="str">
        <f>HYPERLINK(O222)</f>
        <v>https://www.scopus.com/inward/record.uri?eid=2-s2.0-85177556569&amp;doi=10.21511%2fim.19%283%29.2023.19&amp;partnerID=40&amp;md5=d7196c90799dcb68441c208d2fb268cc</v>
      </c>
      <c r="Q222" t="s">
        <v>156</v>
      </c>
      <c r="R222" t="s">
        <v>48</v>
      </c>
      <c r="S222" t="s">
        <v>185</v>
      </c>
      <c r="T222" t="s">
        <v>6</v>
      </c>
      <c r="U222" t="s">
        <v>1627</v>
      </c>
      <c r="V222" s="36">
        <v>0</v>
      </c>
      <c r="W222" s="27">
        <v>0</v>
      </c>
      <c r="X222" s="27">
        <v>0</v>
      </c>
      <c r="Y222" s="27">
        <v>0</v>
      </c>
      <c r="Z222" s="27">
        <v>0</v>
      </c>
      <c r="AA222" s="27">
        <v>0</v>
      </c>
      <c r="AB222" s="27">
        <v>0</v>
      </c>
      <c r="AC222" s="27">
        <v>0</v>
      </c>
      <c r="AD222" s="27">
        <v>0</v>
      </c>
      <c r="AE222" s="27">
        <v>0</v>
      </c>
      <c r="AF222" s="27">
        <v>0</v>
      </c>
      <c r="AG222" s="27">
        <v>1</v>
      </c>
      <c r="AH222" s="27">
        <v>0</v>
      </c>
      <c r="AJ222">
        <f t="shared" si="3"/>
        <v>1</v>
      </c>
    </row>
    <row r="223" spans="1:36">
      <c r="A223" t="s">
        <v>1628</v>
      </c>
      <c r="B223" t="s">
        <v>1629</v>
      </c>
      <c r="C223" t="s">
        <v>1630</v>
      </c>
      <c r="D223" t="s">
        <v>1631</v>
      </c>
      <c r="E223">
        <v>2022</v>
      </c>
      <c r="F223" t="s">
        <v>1632</v>
      </c>
      <c r="G223">
        <v>16</v>
      </c>
      <c r="H223">
        <v>1</v>
      </c>
      <c r="J223">
        <v>151</v>
      </c>
      <c r="K223">
        <v>165</v>
      </c>
      <c r="L223">
        <v>14</v>
      </c>
      <c r="M223">
        <v>2</v>
      </c>
      <c r="N223" t="s">
        <v>1633</v>
      </c>
      <c r="O223" t="s">
        <v>1634</v>
      </c>
      <c r="P223" s="22" t="str">
        <f>HYPERLINK(O223)</f>
        <v>https://www.scopus.com/inward/record.uri?eid=2-s2.0-85136725886&amp;doi=10.13165%2fIE-22-16-1-09&amp;partnerID=40&amp;md5=48981f106d02b60bffab7428a2273f6a</v>
      </c>
      <c r="Q223" t="s">
        <v>156</v>
      </c>
      <c r="R223" t="s">
        <v>48</v>
      </c>
      <c r="S223" t="s">
        <v>185</v>
      </c>
      <c r="T223" t="s">
        <v>6</v>
      </c>
      <c r="U223" t="s">
        <v>1635</v>
      </c>
      <c r="V223" s="36">
        <v>0</v>
      </c>
      <c r="W223" s="27">
        <v>1</v>
      </c>
      <c r="X223" s="27">
        <v>0</v>
      </c>
      <c r="Y223" s="27">
        <v>0</v>
      </c>
      <c r="Z223" s="27">
        <v>0</v>
      </c>
      <c r="AA223" s="27">
        <v>0</v>
      </c>
      <c r="AB223" s="27">
        <v>0</v>
      </c>
      <c r="AC223" s="27">
        <v>0</v>
      </c>
      <c r="AD223" s="27">
        <v>0</v>
      </c>
      <c r="AE223" s="27">
        <v>0</v>
      </c>
      <c r="AF223" s="27">
        <v>0</v>
      </c>
      <c r="AG223" s="27">
        <v>0</v>
      </c>
      <c r="AH223" s="27">
        <v>0</v>
      </c>
      <c r="AJ223">
        <f t="shared" si="3"/>
        <v>1</v>
      </c>
    </row>
    <row r="224" spans="1:36">
      <c r="A224" t="s">
        <v>1636</v>
      </c>
      <c r="B224" t="s">
        <v>1637</v>
      </c>
      <c r="C224" t="s">
        <v>1638</v>
      </c>
      <c r="D224" t="s">
        <v>1639</v>
      </c>
      <c r="E224">
        <v>2013</v>
      </c>
      <c r="F224" t="s">
        <v>1640</v>
      </c>
      <c r="G224">
        <v>16</v>
      </c>
      <c r="H224">
        <v>4</v>
      </c>
      <c r="J224">
        <v>357</v>
      </c>
      <c r="K224">
        <v>369</v>
      </c>
      <c r="L224">
        <v>12</v>
      </c>
      <c r="M224">
        <v>11</v>
      </c>
      <c r="N224" t="s">
        <v>1641</v>
      </c>
      <c r="O224" t="s">
        <v>1642</v>
      </c>
      <c r="P224" s="22" t="str">
        <f>HYPERLINK(O224)</f>
        <v>https://www.scopus.com/inward/record.uri?eid=2-s2.0-84901460007&amp;doi=10.1177%2f2233865913505103&amp;partnerID=40&amp;md5=ad172a4242dced85d4273b3169845068</v>
      </c>
      <c r="Q224" t="s">
        <v>156</v>
      </c>
      <c r="R224" t="s">
        <v>48</v>
      </c>
      <c r="T224" t="s">
        <v>6</v>
      </c>
      <c r="U224" t="s">
        <v>1643</v>
      </c>
      <c r="V224" s="36">
        <v>1</v>
      </c>
      <c r="W224" s="27">
        <v>0</v>
      </c>
      <c r="X224" s="27">
        <v>0</v>
      </c>
      <c r="Y224" s="27">
        <v>0</v>
      </c>
      <c r="Z224" s="27">
        <v>0</v>
      </c>
      <c r="AA224" s="27">
        <v>0</v>
      </c>
      <c r="AB224" s="27">
        <v>0</v>
      </c>
      <c r="AC224" s="27">
        <v>0</v>
      </c>
      <c r="AD224" s="27">
        <v>0</v>
      </c>
      <c r="AE224" s="27">
        <v>0</v>
      </c>
      <c r="AF224" s="27">
        <v>0</v>
      </c>
      <c r="AG224" s="27">
        <v>0</v>
      </c>
      <c r="AH224" s="27">
        <v>0</v>
      </c>
      <c r="AJ224">
        <f t="shared" si="3"/>
        <v>1</v>
      </c>
    </row>
    <row r="225" spans="1:36">
      <c r="A225" t="s">
        <v>1644</v>
      </c>
      <c r="B225" t="s">
        <v>1645</v>
      </c>
      <c r="C225">
        <v>16314906200</v>
      </c>
      <c r="D225" t="s">
        <v>1646</v>
      </c>
      <c r="E225">
        <v>2007</v>
      </c>
      <c r="F225" t="s">
        <v>1647</v>
      </c>
      <c r="G225">
        <v>13</v>
      </c>
      <c r="J225">
        <v>8899</v>
      </c>
      <c r="K225">
        <v>8907</v>
      </c>
      <c r="L225">
        <v>8</v>
      </c>
      <c r="M225">
        <v>0</v>
      </c>
      <c r="O225" t="s">
        <v>1648</v>
      </c>
      <c r="P225" s="22" t="str">
        <f>HYPERLINK(O225)</f>
        <v>https://www.scopus.com/inward/record.uri?eid=2-s2.0-55649120681&amp;partnerID=40&amp;md5=805291f463de410ff6dcc342050b545c</v>
      </c>
      <c r="Q225" t="s">
        <v>62</v>
      </c>
      <c r="R225" t="s">
        <v>48</v>
      </c>
      <c r="T225" t="s">
        <v>6</v>
      </c>
      <c r="U225" t="s">
        <v>1649</v>
      </c>
      <c r="V225" s="36">
        <v>0</v>
      </c>
      <c r="W225" s="27">
        <v>0</v>
      </c>
      <c r="X225" s="27">
        <v>0</v>
      </c>
      <c r="Y225" s="27">
        <v>0</v>
      </c>
      <c r="Z225" s="27">
        <v>0</v>
      </c>
      <c r="AA225" s="27">
        <v>0</v>
      </c>
      <c r="AB225" s="27">
        <v>0</v>
      </c>
      <c r="AC225" s="27">
        <v>0</v>
      </c>
      <c r="AD225" s="27">
        <v>0</v>
      </c>
      <c r="AE225" s="27">
        <v>0</v>
      </c>
      <c r="AF225" s="27">
        <v>0</v>
      </c>
      <c r="AG225" s="27">
        <v>0</v>
      </c>
      <c r="AH225" s="27">
        <v>1</v>
      </c>
      <c r="AJ225">
        <f t="shared" si="3"/>
        <v>1</v>
      </c>
    </row>
    <row r="226" spans="1:36">
      <c r="A226" t="s">
        <v>1650</v>
      </c>
      <c r="B226" t="s">
        <v>1651</v>
      </c>
      <c r="C226" t="s">
        <v>152</v>
      </c>
      <c r="D226" t="s">
        <v>153</v>
      </c>
      <c r="E226">
        <v>2008</v>
      </c>
      <c r="F226" t="s">
        <v>1652</v>
      </c>
      <c r="G226">
        <v>14</v>
      </c>
      <c r="J226">
        <v>9430</v>
      </c>
      <c r="K226">
        <v>9436</v>
      </c>
      <c r="L226">
        <v>6</v>
      </c>
      <c r="M226">
        <v>0</v>
      </c>
      <c r="O226" t="s">
        <v>1653</v>
      </c>
      <c r="P226" s="22" t="str">
        <f>HYPERLINK(O226)</f>
        <v>https://www.scopus.com/inward/record.uri?eid=2-s2.0-77950478875&amp;partnerID=40&amp;md5=ab8a02285beb25045bc070a9f34eddc4</v>
      </c>
      <c r="Q226" t="s">
        <v>62</v>
      </c>
      <c r="R226" t="s">
        <v>48</v>
      </c>
      <c r="T226" t="s">
        <v>6</v>
      </c>
      <c r="U226" t="s">
        <v>1654</v>
      </c>
      <c r="V226" s="36">
        <v>0</v>
      </c>
      <c r="W226" s="27">
        <v>0</v>
      </c>
      <c r="X226" s="27">
        <v>0</v>
      </c>
      <c r="Y226" s="27">
        <v>0</v>
      </c>
      <c r="Z226" s="27">
        <v>0</v>
      </c>
      <c r="AA226" s="27">
        <v>0</v>
      </c>
      <c r="AB226" s="27">
        <v>0</v>
      </c>
      <c r="AC226" s="27">
        <v>0</v>
      </c>
      <c r="AD226" s="27">
        <v>0</v>
      </c>
      <c r="AE226" s="27">
        <v>0</v>
      </c>
      <c r="AF226" s="27">
        <v>0</v>
      </c>
      <c r="AG226" s="27">
        <v>0</v>
      </c>
      <c r="AH226" s="27">
        <v>1</v>
      </c>
      <c r="AJ226">
        <f t="shared" si="3"/>
        <v>1</v>
      </c>
    </row>
    <row r="227" spans="1:36">
      <c r="A227" t="s">
        <v>1655</v>
      </c>
      <c r="B227" t="s">
        <v>1656</v>
      </c>
      <c r="C227" t="s">
        <v>1657</v>
      </c>
      <c r="D227" t="s">
        <v>1658</v>
      </c>
      <c r="E227">
        <v>2022</v>
      </c>
      <c r="F227" t="s">
        <v>1659</v>
      </c>
      <c r="G227">
        <v>9</v>
      </c>
      <c r="H227">
        <v>6</v>
      </c>
      <c r="J227">
        <v>90</v>
      </c>
      <c r="K227">
        <v>95</v>
      </c>
      <c r="L227">
        <v>5</v>
      </c>
      <c r="M227">
        <v>2</v>
      </c>
      <c r="N227" t="s">
        <v>1660</v>
      </c>
      <c r="O227" t="s">
        <v>1661</v>
      </c>
      <c r="P227" s="22" t="str">
        <f>HYPERLINK(O227)</f>
        <v>https://www.scopus.com/inward/record.uri?eid=2-s2.0-85133575465&amp;doi=10.21833%2fijaas.2022.06.012&amp;partnerID=40&amp;md5=350d9333918df1099ff83c156eaf68c6</v>
      </c>
      <c r="Q227" t="s">
        <v>156</v>
      </c>
      <c r="R227" t="s">
        <v>48</v>
      </c>
      <c r="S227" t="s">
        <v>185</v>
      </c>
      <c r="T227" t="s">
        <v>6</v>
      </c>
      <c r="U227" t="s">
        <v>1662</v>
      </c>
      <c r="V227" s="36">
        <v>0</v>
      </c>
      <c r="W227" s="27">
        <v>1</v>
      </c>
      <c r="X227" s="27">
        <v>0</v>
      </c>
      <c r="Y227" s="27">
        <v>0</v>
      </c>
      <c r="Z227" s="27">
        <v>0</v>
      </c>
      <c r="AA227" s="27">
        <v>0</v>
      </c>
      <c r="AB227" s="27">
        <v>0</v>
      </c>
      <c r="AC227" s="27">
        <v>0</v>
      </c>
      <c r="AD227" s="27">
        <v>0</v>
      </c>
      <c r="AE227" s="27">
        <v>0</v>
      </c>
      <c r="AF227" s="27">
        <v>0</v>
      </c>
      <c r="AG227" s="27">
        <v>0</v>
      </c>
      <c r="AH227" s="27">
        <v>0</v>
      </c>
      <c r="AJ227">
        <f t="shared" si="3"/>
        <v>1</v>
      </c>
    </row>
    <row r="228" spans="1:36">
      <c r="A228" t="s">
        <v>1663</v>
      </c>
      <c r="B228" t="s">
        <v>1664</v>
      </c>
      <c r="C228">
        <v>57190278797</v>
      </c>
      <c r="D228" t="s">
        <v>1665</v>
      </c>
      <c r="E228">
        <v>2018</v>
      </c>
      <c r="F228" t="s">
        <v>1666</v>
      </c>
      <c r="G228">
        <v>14</v>
      </c>
      <c r="H228">
        <v>1</v>
      </c>
      <c r="J228">
        <v>223</v>
      </c>
      <c r="K228">
        <v>229</v>
      </c>
      <c r="L228">
        <v>6</v>
      </c>
      <c r="M228">
        <v>2</v>
      </c>
      <c r="O228" t="s">
        <v>1667</v>
      </c>
      <c r="P228" s="22" t="str">
        <f>HYPERLINK(O228)</f>
        <v>https://www.scopus.com/inward/record.uri?eid=2-s2.0-85053620754&amp;partnerID=40&amp;md5=5260f021c6c195c969a63d74ed1f80f1</v>
      </c>
      <c r="Q228" t="s">
        <v>156</v>
      </c>
      <c r="R228" t="s">
        <v>48</v>
      </c>
      <c r="T228" t="s">
        <v>6</v>
      </c>
      <c r="U228" t="s">
        <v>1668</v>
      </c>
      <c r="V228" s="36">
        <v>0</v>
      </c>
      <c r="W228" s="27">
        <v>0</v>
      </c>
      <c r="X228" s="27">
        <v>0</v>
      </c>
      <c r="Y228" s="27">
        <v>0</v>
      </c>
      <c r="Z228" s="27">
        <v>0</v>
      </c>
      <c r="AA228" s="27">
        <v>0</v>
      </c>
      <c r="AB228" s="27">
        <v>0</v>
      </c>
      <c r="AC228" s="27">
        <v>0</v>
      </c>
      <c r="AD228" s="27">
        <v>0</v>
      </c>
      <c r="AE228" s="27">
        <v>0</v>
      </c>
      <c r="AF228" s="27">
        <v>0</v>
      </c>
      <c r="AG228" s="27">
        <v>0</v>
      </c>
      <c r="AH228" s="27">
        <v>1</v>
      </c>
      <c r="AJ228">
        <f t="shared" si="3"/>
        <v>1</v>
      </c>
    </row>
    <row r="229" spans="1:36">
      <c r="A229" t="s">
        <v>1669</v>
      </c>
      <c r="B229" t="s">
        <v>1670</v>
      </c>
      <c r="C229" t="s">
        <v>1671</v>
      </c>
      <c r="D229" t="s">
        <v>1672</v>
      </c>
      <c r="E229">
        <v>2014</v>
      </c>
      <c r="F229" t="s">
        <v>1673</v>
      </c>
      <c r="G229">
        <v>10</v>
      </c>
      <c r="H229">
        <v>4</v>
      </c>
      <c r="J229">
        <v>343</v>
      </c>
      <c r="K229">
        <v>350</v>
      </c>
      <c r="L229">
        <v>7</v>
      </c>
      <c r="M229">
        <v>27</v>
      </c>
      <c r="N229" t="s">
        <v>1674</v>
      </c>
      <c r="O229" t="s">
        <v>1675</v>
      </c>
      <c r="P229" s="22" t="str">
        <f>HYPERLINK(O229)</f>
        <v>https://www.scopus.com/inward/record.uri?eid=2-s2.0-84919474254&amp;doi=10.1080%2f21513732.2014.977953&amp;partnerID=40&amp;md5=898fc1bdd0fbfabde7692caa6536b383</v>
      </c>
      <c r="Q229" t="s">
        <v>156</v>
      </c>
      <c r="R229" t="s">
        <v>48</v>
      </c>
      <c r="S229" t="s">
        <v>436</v>
      </c>
      <c r="T229" t="s">
        <v>6</v>
      </c>
      <c r="U229" t="s">
        <v>1676</v>
      </c>
      <c r="V229" s="36">
        <v>0</v>
      </c>
      <c r="W229" s="27">
        <v>0</v>
      </c>
      <c r="X229" s="27">
        <v>0</v>
      </c>
      <c r="Y229" s="27">
        <v>0</v>
      </c>
      <c r="Z229" s="27">
        <v>0</v>
      </c>
      <c r="AA229" s="27">
        <v>0</v>
      </c>
      <c r="AB229" s="27">
        <v>0</v>
      </c>
      <c r="AC229" s="27">
        <v>0</v>
      </c>
      <c r="AD229" s="27">
        <v>0</v>
      </c>
      <c r="AE229" s="27">
        <v>0</v>
      </c>
      <c r="AF229" s="27">
        <v>0</v>
      </c>
      <c r="AG229" s="27">
        <v>0</v>
      </c>
      <c r="AH229" s="27">
        <v>1</v>
      </c>
      <c r="AJ229">
        <f t="shared" si="3"/>
        <v>1</v>
      </c>
    </row>
    <row r="230" spans="1:36">
      <c r="A230" t="s">
        <v>1677</v>
      </c>
      <c r="B230" t="s">
        <v>1678</v>
      </c>
      <c r="C230" t="s">
        <v>1679</v>
      </c>
      <c r="D230" t="s">
        <v>1680</v>
      </c>
      <c r="E230">
        <v>2017</v>
      </c>
      <c r="F230" t="s">
        <v>1681</v>
      </c>
      <c r="G230">
        <v>7</v>
      </c>
      <c r="H230">
        <v>2</v>
      </c>
      <c r="J230">
        <v>317</v>
      </c>
      <c r="K230">
        <v>335</v>
      </c>
      <c r="L230">
        <v>18</v>
      </c>
      <c r="M230">
        <v>0</v>
      </c>
      <c r="O230" t="s">
        <v>1682</v>
      </c>
      <c r="P230" s="22" t="str">
        <f>HYPERLINK(O230)</f>
        <v>https://www.scopus.com/inward/record.uri?eid=2-s2.0-85045631922&amp;partnerID=40&amp;md5=6120be861865c60e61a9985e92432646</v>
      </c>
      <c r="Q230" t="s">
        <v>156</v>
      </c>
      <c r="R230" t="s">
        <v>48</v>
      </c>
      <c r="T230" t="s">
        <v>6</v>
      </c>
      <c r="U230" t="s">
        <v>1683</v>
      </c>
      <c r="V230" s="36">
        <v>0</v>
      </c>
      <c r="W230" s="27">
        <v>0</v>
      </c>
      <c r="X230" s="27">
        <v>0</v>
      </c>
      <c r="Y230" s="27">
        <v>0</v>
      </c>
      <c r="Z230" s="27">
        <v>0</v>
      </c>
      <c r="AA230" s="27">
        <v>0</v>
      </c>
      <c r="AB230" s="27">
        <v>0</v>
      </c>
      <c r="AC230" s="27">
        <v>0</v>
      </c>
      <c r="AD230" s="27">
        <v>0</v>
      </c>
      <c r="AE230" s="27">
        <v>0</v>
      </c>
      <c r="AF230" s="27">
        <v>1</v>
      </c>
      <c r="AG230" s="27">
        <v>0</v>
      </c>
      <c r="AH230" s="27">
        <v>0</v>
      </c>
      <c r="AJ230">
        <f t="shared" si="3"/>
        <v>1</v>
      </c>
    </row>
    <row r="231" spans="1:36">
      <c r="A231" t="s">
        <v>1684</v>
      </c>
      <c r="B231" t="s">
        <v>1685</v>
      </c>
      <c r="C231" t="s">
        <v>1686</v>
      </c>
      <c r="D231" t="s">
        <v>1687</v>
      </c>
      <c r="E231">
        <v>2019</v>
      </c>
      <c r="F231" t="s">
        <v>1688</v>
      </c>
      <c r="G231">
        <v>13</v>
      </c>
      <c r="H231">
        <v>2</v>
      </c>
      <c r="J231">
        <v>319</v>
      </c>
      <c r="K231">
        <v>329</v>
      </c>
      <c r="L231">
        <v>10</v>
      </c>
      <c r="M231">
        <v>4</v>
      </c>
      <c r="O231" t="s">
        <v>1689</v>
      </c>
      <c r="P231" s="22" t="str">
        <f>HYPERLINK(O231)</f>
        <v>https://www.scopus.com/inward/record.uri?eid=2-s2.0-85077567968&amp;partnerID=40&amp;md5=160cd372c8141d6765b294a1e9163496</v>
      </c>
      <c r="Q231" t="s">
        <v>156</v>
      </c>
      <c r="R231" t="s">
        <v>48</v>
      </c>
      <c r="T231" t="s">
        <v>6</v>
      </c>
      <c r="U231" t="s">
        <v>1690</v>
      </c>
      <c r="V231" s="36">
        <v>1</v>
      </c>
      <c r="W231" s="27">
        <v>0</v>
      </c>
      <c r="X231" s="27">
        <v>0</v>
      </c>
      <c r="Y231" s="27">
        <v>0</v>
      </c>
      <c r="Z231" s="27">
        <v>0</v>
      </c>
      <c r="AA231" s="27">
        <v>0</v>
      </c>
      <c r="AB231" s="27">
        <v>0</v>
      </c>
      <c r="AC231" s="27">
        <v>0</v>
      </c>
      <c r="AD231" s="27">
        <v>0</v>
      </c>
      <c r="AE231" s="27">
        <v>0</v>
      </c>
      <c r="AF231" s="27">
        <v>0</v>
      </c>
      <c r="AG231" s="27">
        <v>0</v>
      </c>
      <c r="AH231" s="27">
        <v>0</v>
      </c>
      <c r="AJ231">
        <f t="shared" si="3"/>
        <v>1</v>
      </c>
    </row>
    <row r="232" spans="1:36">
      <c r="A232" t="s">
        <v>1691</v>
      </c>
      <c r="B232" t="s">
        <v>1692</v>
      </c>
      <c r="C232" t="s">
        <v>1693</v>
      </c>
      <c r="D232" t="s">
        <v>1694</v>
      </c>
      <c r="E232">
        <v>2024</v>
      </c>
      <c r="F232" t="s">
        <v>1695</v>
      </c>
      <c r="G232">
        <v>19</v>
      </c>
      <c r="H232">
        <v>12</v>
      </c>
      <c r="J232">
        <v>4459</v>
      </c>
      <c r="K232">
        <v>4480</v>
      </c>
      <c r="L232">
        <v>21</v>
      </c>
      <c r="M232">
        <v>1</v>
      </c>
      <c r="N232" t="s">
        <v>1696</v>
      </c>
      <c r="O232" t="s">
        <v>1697</v>
      </c>
      <c r="P232" s="22" t="str">
        <f>HYPERLINK(O232)</f>
        <v>https://www.scopus.com/inward/record.uri?eid=2-s2.0-85151482534&amp;doi=10.1108%2fIJOEM-07-2022-1196&amp;partnerID=40&amp;md5=d4645c15ff5326c8143ffd786baf95b5</v>
      </c>
      <c r="Q232" t="s">
        <v>156</v>
      </c>
      <c r="R232" t="s">
        <v>48</v>
      </c>
      <c r="T232" t="s">
        <v>6</v>
      </c>
      <c r="U232" t="s">
        <v>1698</v>
      </c>
      <c r="V232" s="36">
        <v>0</v>
      </c>
      <c r="W232" s="27">
        <v>0</v>
      </c>
      <c r="X232" s="27">
        <v>0</v>
      </c>
      <c r="Y232" s="27">
        <v>0</v>
      </c>
      <c r="Z232" s="27">
        <v>0</v>
      </c>
      <c r="AA232" s="27">
        <v>0</v>
      </c>
      <c r="AB232" s="27">
        <v>1</v>
      </c>
      <c r="AC232" s="27">
        <v>0</v>
      </c>
      <c r="AD232" s="27">
        <v>0</v>
      </c>
      <c r="AE232" s="27">
        <v>0</v>
      </c>
      <c r="AF232" s="27">
        <v>0</v>
      </c>
      <c r="AG232" s="27">
        <v>0</v>
      </c>
      <c r="AH232" s="27">
        <v>0</v>
      </c>
      <c r="AJ232">
        <f t="shared" si="3"/>
        <v>1</v>
      </c>
    </row>
    <row r="233" spans="1:36">
      <c r="A233" t="s">
        <v>1699</v>
      </c>
      <c r="B233" t="s">
        <v>1700</v>
      </c>
      <c r="C233" t="s">
        <v>1701</v>
      </c>
      <c r="D233" t="s">
        <v>1702</v>
      </c>
      <c r="E233">
        <v>2023</v>
      </c>
      <c r="F233" t="s">
        <v>1695</v>
      </c>
      <c r="G233">
        <v>18</v>
      </c>
      <c r="H233">
        <v>11</v>
      </c>
      <c r="J233">
        <v>5172</v>
      </c>
      <c r="K233">
        <v>5194</v>
      </c>
      <c r="L233">
        <v>22</v>
      </c>
      <c r="M233">
        <v>7</v>
      </c>
      <c r="N233" t="s">
        <v>1703</v>
      </c>
      <c r="O233" t="s">
        <v>1704</v>
      </c>
      <c r="P233" s="22" t="str">
        <f>HYPERLINK(O233)</f>
        <v>https://www.scopus.com/inward/record.uri?eid=2-s2.0-85125818394&amp;doi=10.1108%2fIJOEM-05-2021-0805&amp;partnerID=40&amp;md5=8547121fe4da45f1ebeb540e0727b45a</v>
      </c>
      <c r="Q233" t="s">
        <v>156</v>
      </c>
      <c r="R233" t="s">
        <v>48</v>
      </c>
      <c r="T233" t="s">
        <v>6</v>
      </c>
      <c r="U233" t="s">
        <v>1705</v>
      </c>
      <c r="V233" s="36">
        <v>0</v>
      </c>
      <c r="W233" s="27">
        <v>1</v>
      </c>
      <c r="X233" s="27">
        <v>0</v>
      </c>
      <c r="Y233" s="27">
        <v>0</v>
      </c>
      <c r="Z233" s="27">
        <v>0</v>
      </c>
      <c r="AA233" s="27">
        <v>0</v>
      </c>
      <c r="AB233" s="27">
        <v>0</v>
      </c>
      <c r="AC233" s="27">
        <v>0</v>
      </c>
      <c r="AD233" s="27">
        <v>0</v>
      </c>
      <c r="AE233" s="27">
        <v>0</v>
      </c>
      <c r="AF233" s="27">
        <v>0</v>
      </c>
      <c r="AG233" s="27">
        <v>0</v>
      </c>
      <c r="AH233" s="27">
        <v>0</v>
      </c>
      <c r="AJ233">
        <f t="shared" si="3"/>
        <v>1</v>
      </c>
    </row>
    <row r="234" spans="1:36">
      <c r="A234" t="s">
        <v>1706</v>
      </c>
      <c r="B234" t="s">
        <v>1707</v>
      </c>
      <c r="C234" t="s">
        <v>1708</v>
      </c>
      <c r="D234" t="s">
        <v>1709</v>
      </c>
      <c r="E234">
        <v>2022</v>
      </c>
      <c r="F234" t="s">
        <v>1710</v>
      </c>
      <c r="G234">
        <v>19</v>
      </c>
      <c r="H234">
        <v>18</v>
      </c>
      <c r="I234">
        <v>11515</v>
      </c>
      <c r="M234">
        <v>5</v>
      </c>
      <c r="N234" t="s">
        <v>1711</v>
      </c>
      <c r="O234" t="s">
        <v>1712</v>
      </c>
      <c r="P234" s="22" t="str">
        <f>HYPERLINK(O234)</f>
        <v>https://www.scopus.com/inward/record.uri?eid=2-s2.0-85138324215&amp;doi=10.3390%2fijerph191811515&amp;partnerID=40&amp;md5=6a6b313064d87218953dd6b252bb1ab1</v>
      </c>
      <c r="Q234" t="s">
        <v>156</v>
      </c>
      <c r="R234" t="s">
        <v>48</v>
      </c>
      <c r="S234" t="s">
        <v>225</v>
      </c>
      <c r="T234" t="s">
        <v>6</v>
      </c>
      <c r="U234" t="s">
        <v>1713</v>
      </c>
      <c r="V234" s="36">
        <v>0</v>
      </c>
      <c r="W234" s="27">
        <v>1</v>
      </c>
      <c r="X234" s="27">
        <v>0</v>
      </c>
      <c r="Y234" s="27">
        <v>0</v>
      </c>
      <c r="Z234" s="27">
        <v>0</v>
      </c>
      <c r="AA234" s="27">
        <v>0</v>
      </c>
      <c r="AB234" s="27">
        <v>0</v>
      </c>
      <c r="AC234" s="27">
        <v>0</v>
      </c>
      <c r="AD234" s="27">
        <v>0</v>
      </c>
      <c r="AE234" s="27">
        <v>0</v>
      </c>
      <c r="AF234" s="27">
        <v>0</v>
      </c>
      <c r="AG234" s="27">
        <v>0</v>
      </c>
      <c r="AH234" s="27">
        <v>0</v>
      </c>
      <c r="AJ234">
        <f t="shared" si="3"/>
        <v>1</v>
      </c>
    </row>
    <row r="235" spans="1:36">
      <c r="A235" t="s">
        <v>1714</v>
      </c>
      <c r="B235" t="s">
        <v>1715</v>
      </c>
      <c r="C235" t="s">
        <v>1716</v>
      </c>
      <c r="D235" t="s">
        <v>1717</v>
      </c>
      <c r="E235">
        <v>2022</v>
      </c>
      <c r="F235" t="s">
        <v>1710</v>
      </c>
      <c r="G235">
        <v>19</v>
      </c>
      <c r="H235">
        <v>23</v>
      </c>
      <c r="I235">
        <v>15661</v>
      </c>
      <c r="M235">
        <v>3</v>
      </c>
      <c r="N235" t="s">
        <v>1718</v>
      </c>
      <c r="O235" t="s">
        <v>1719</v>
      </c>
      <c r="P235" s="22" t="str">
        <f>HYPERLINK(O235)</f>
        <v>https://www.scopus.com/inward/record.uri?eid=2-s2.0-85143620294&amp;doi=10.3390%2fijerph192315661&amp;partnerID=40&amp;md5=52a8674b5ebf25c8d312e8d1f2778063</v>
      </c>
      <c r="Q235" t="s">
        <v>156</v>
      </c>
      <c r="R235" t="s">
        <v>48</v>
      </c>
      <c r="S235" t="s">
        <v>225</v>
      </c>
      <c r="T235" t="s">
        <v>6</v>
      </c>
      <c r="U235" t="s">
        <v>1720</v>
      </c>
      <c r="V235" s="36">
        <v>0</v>
      </c>
      <c r="W235" s="27">
        <v>1</v>
      </c>
      <c r="X235" s="27">
        <v>0</v>
      </c>
      <c r="Y235" s="27">
        <v>0</v>
      </c>
      <c r="Z235" s="27">
        <v>0</v>
      </c>
      <c r="AA235" s="27">
        <v>0</v>
      </c>
      <c r="AB235" s="27">
        <v>0</v>
      </c>
      <c r="AC235" s="27">
        <v>0</v>
      </c>
      <c r="AD235" s="27">
        <v>0</v>
      </c>
      <c r="AE235" s="27">
        <v>0</v>
      </c>
      <c r="AF235" s="27">
        <v>0</v>
      </c>
      <c r="AG235" s="27">
        <v>0</v>
      </c>
      <c r="AH235" s="27">
        <v>0</v>
      </c>
      <c r="AJ235">
        <f t="shared" si="3"/>
        <v>1</v>
      </c>
    </row>
    <row r="236" spans="1:36">
      <c r="A236" t="s">
        <v>1721</v>
      </c>
      <c r="B236" t="s">
        <v>1722</v>
      </c>
      <c r="C236" t="s">
        <v>1723</v>
      </c>
      <c r="D236" t="s">
        <v>1724</v>
      </c>
      <c r="E236">
        <v>2023</v>
      </c>
      <c r="F236" t="s">
        <v>1710</v>
      </c>
      <c r="G236">
        <v>20</v>
      </c>
      <c r="H236">
        <v>5</v>
      </c>
      <c r="I236">
        <v>4650</v>
      </c>
      <c r="M236">
        <v>2</v>
      </c>
      <c r="N236" t="s">
        <v>1725</v>
      </c>
      <c r="O236" t="s">
        <v>1726</v>
      </c>
      <c r="P236" s="22" t="str">
        <f>HYPERLINK(O236)</f>
        <v>https://www.scopus.com/inward/record.uri?eid=2-s2.0-85149977408&amp;doi=10.3390%2fijerph20054650&amp;partnerID=40&amp;md5=990f30c04c61461d494e226731f9c6db</v>
      </c>
      <c r="Q236" t="s">
        <v>156</v>
      </c>
      <c r="R236" t="s">
        <v>48</v>
      </c>
      <c r="S236" t="s">
        <v>225</v>
      </c>
      <c r="T236" t="s">
        <v>6</v>
      </c>
      <c r="U236" t="s">
        <v>1727</v>
      </c>
      <c r="V236" s="36">
        <v>0</v>
      </c>
      <c r="W236" s="27">
        <v>1</v>
      </c>
      <c r="X236" s="27">
        <v>0</v>
      </c>
      <c r="Y236" s="27">
        <v>0</v>
      </c>
      <c r="Z236" s="27">
        <v>0</v>
      </c>
      <c r="AA236" s="27">
        <v>0</v>
      </c>
      <c r="AB236" s="27">
        <v>0</v>
      </c>
      <c r="AC236" s="27">
        <v>0</v>
      </c>
      <c r="AD236" s="27">
        <v>0</v>
      </c>
      <c r="AE236" s="27">
        <v>0</v>
      </c>
      <c r="AF236" s="27">
        <v>0</v>
      </c>
      <c r="AG236" s="27">
        <v>0</v>
      </c>
      <c r="AH236" s="27">
        <v>0</v>
      </c>
      <c r="AJ236">
        <f t="shared" si="3"/>
        <v>1</v>
      </c>
    </row>
    <row r="237" spans="1:36">
      <c r="A237" t="s">
        <v>1728</v>
      </c>
      <c r="B237" t="s">
        <v>1729</v>
      </c>
      <c r="C237" t="s">
        <v>1730</v>
      </c>
      <c r="D237" t="s">
        <v>1731</v>
      </c>
      <c r="E237">
        <v>2021</v>
      </c>
      <c r="F237" t="s">
        <v>1710</v>
      </c>
      <c r="G237">
        <v>18</v>
      </c>
      <c r="H237">
        <v>5</v>
      </c>
      <c r="I237">
        <v>2577</v>
      </c>
      <c r="J237">
        <v>1</v>
      </c>
      <c r="K237">
        <v>28</v>
      </c>
      <c r="L237">
        <v>27</v>
      </c>
      <c r="M237">
        <v>41</v>
      </c>
      <c r="N237" t="s">
        <v>1732</v>
      </c>
      <c r="O237" t="s">
        <v>1733</v>
      </c>
      <c r="P237" s="22" t="str">
        <f>HYPERLINK(O237)</f>
        <v>https://www.scopus.com/inward/record.uri?eid=2-s2.0-85101934014&amp;doi=10.3390%2fijerph18052577&amp;partnerID=40&amp;md5=ecd7c47de04bdccabd361589c06a0b23</v>
      </c>
      <c r="Q237" t="s">
        <v>156</v>
      </c>
      <c r="R237" t="s">
        <v>48</v>
      </c>
      <c r="S237" t="s">
        <v>225</v>
      </c>
      <c r="T237" t="s">
        <v>6</v>
      </c>
      <c r="U237" t="s">
        <v>1734</v>
      </c>
      <c r="V237" s="36">
        <v>0</v>
      </c>
      <c r="W237" s="27">
        <v>1</v>
      </c>
      <c r="X237" s="27">
        <v>0</v>
      </c>
      <c r="Y237" s="27">
        <v>0</v>
      </c>
      <c r="Z237" s="27">
        <v>0</v>
      </c>
      <c r="AA237" s="27">
        <v>0</v>
      </c>
      <c r="AB237" s="27">
        <v>0</v>
      </c>
      <c r="AC237" s="27">
        <v>0</v>
      </c>
      <c r="AD237" s="27">
        <v>0</v>
      </c>
      <c r="AE237" s="27">
        <v>0</v>
      </c>
      <c r="AF237" s="27">
        <v>0</v>
      </c>
      <c r="AG237" s="27">
        <v>0</v>
      </c>
      <c r="AH237" s="27">
        <v>0</v>
      </c>
      <c r="AJ237">
        <f t="shared" si="3"/>
        <v>1</v>
      </c>
    </row>
    <row r="238" spans="1:36">
      <c r="A238" t="s">
        <v>1735</v>
      </c>
      <c r="B238" t="s">
        <v>1736</v>
      </c>
      <c r="C238" t="s">
        <v>1737</v>
      </c>
      <c r="D238" t="s">
        <v>1738</v>
      </c>
      <c r="E238">
        <v>2021</v>
      </c>
      <c r="F238" t="s">
        <v>1710</v>
      </c>
      <c r="G238">
        <v>18</v>
      </c>
      <c r="H238">
        <v>4</v>
      </c>
      <c r="I238">
        <v>1389</v>
      </c>
      <c r="J238">
        <v>1</v>
      </c>
      <c r="K238">
        <v>33</v>
      </c>
      <c r="L238">
        <v>32</v>
      </c>
      <c r="M238">
        <v>10</v>
      </c>
      <c r="N238" t="s">
        <v>1739</v>
      </c>
      <c r="O238" t="s">
        <v>1740</v>
      </c>
      <c r="P238" s="22" t="str">
        <f>HYPERLINK(O238)</f>
        <v>https://www.scopus.com/inward/record.uri?eid=2-s2.0-85100233524&amp;doi=10.3390%2fijerph18041389&amp;partnerID=40&amp;md5=a775577038c9ee18b4fba6a3520dbd25</v>
      </c>
      <c r="Q238" t="s">
        <v>156</v>
      </c>
      <c r="R238" t="s">
        <v>48</v>
      </c>
      <c r="S238" t="s">
        <v>164</v>
      </c>
      <c r="T238" t="s">
        <v>6</v>
      </c>
      <c r="U238" t="s">
        <v>1741</v>
      </c>
      <c r="V238" s="36">
        <v>0</v>
      </c>
      <c r="W238" s="27">
        <v>1</v>
      </c>
      <c r="X238" s="27">
        <v>0</v>
      </c>
      <c r="Y238" s="27">
        <v>0</v>
      </c>
      <c r="Z238" s="27">
        <v>0</v>
      </c>
      <c r="AA238" s="27">
        <v>0</v>
      </c>
      <c r="AB238" s="27">
        <v>0</v>
      </c>
      <c r="AC238" s="27">
        <v>0</v>
      </c>
      <c r="AD238" s="27">
        <v>0</v>
      </c>
      <c r="AE238" s="27">
        <v>0</v>
      </c>
      <c r="AF238" s="27">
        <v>0</v>
      </c>
      <c r="AG238" s="27">
        <v>0</v>
      </c>
      <c r="AH238" s="27">
        <v>0</v>
      </c>
      <c r="AJ238">
        <f t="shared" si="3"/>
        <v>1</v>
      </c>
    </row>
    <row r="239" spans="1:36">
      <c r="A239" t="s">
        <v>1742</v>
      </c>
      <c r="B239" t="s">
        <v>1743</v>
      </c>
      <c r="C239" t="s">
        <v>1744</v>
      </c>
      <c r="D239" t="s">
        <v>1745</v>
      </c>
      <c r="E239">
        <v>2014</v>
      </c>
      <c r="F239" t="s">
        <v>1746</v>
      </c>
      <c r="G239">
        <v>28</v>
      </c>
      <c r="H239">
        <v>12</v>
      </c>
      <c r="J239">
        <v>2474</v>
      </c>
      <c r="K239">
        <v>2494</v>
      </c>
      <c r="L239">
        <v>20</v>
      </c>
      <c r="M239">
        <v>38</v>
      </c>
      <c r="N239" t="s">
        <v>1747</v>
      </c>
      <c r="O239" t="s">
        <v>1748</v>
      </c>
      <c r="P239" s="22" t="str">
        <f>HYPERLINK(O239)</f>
        <v>https://www.scopus.com/inward/record.uri?eid=2-s2.0-84918831757&amp;doi=10.1080%2f13658816.2014.933481&amp;partnerID=40&amp;md5=a94a2b6758c4bcf7798695adbc8a51f6</v>
      </c>
      <c r="Q239" t="s">
        <v>156</v>
      </c>
      <c r="R239" t="s">
        <v>48</v>
      </c>
      <c r="S239" t="s">
        <v>164</v>
      </c>
      <c r="T239" t="s">
        <v>6</v>
      </c>
      <c r="U239" t="s">
        <v>1749</v>
      </c>
      <c r="V239" s="36">
        <v>0</v>
      </c>
      <c r="W239" s="27">
        <v>1</v>
      </c>
      <c r="X239" s="27">
        <v>0</v>
      </c>
      <c r="Y239" s="27">
        <v>0</v>
      </c>
      <c r="Z239" s="27">
        <v>0</v>
      </c>
      <c r="AA239" s="27">
        <v>0</v>
      </c>
      <c r="AB239" s="27">
        <v>0</v>
      </c>
      <c r="AC239" s="27">
        <v>0</v>
      </c>
      <c r="AD239" s="27">
        <v>0</v>
      </c>
      <c r="AE239" s="27">
        <v>0</v>
      </c>
      <c r="AF239" s="27">
        <v>0</v>
      </c>
      <c r="AG239" s="27">
        <v>0</v>
      </c>
      <c r="AH239" s="27">
        <v>0</v>
      </c>
      <c r="AJ239">
        <f t="shared" si="3"/>
        <v>1</v>
      </c>
    </row>
    <row r="240" spans="1:36">
      <c r="A240" t="s">
        <v>1750</v>
      </c>
      <c r="B240" t="s">
        <v>1751</v>
      </c>
      <c r="C240" t="s">
        <v>1752</v>
      </c>
      <c r="D240" t="s">
        <v>1753</v>
      </c>
      <c r="E240">
        <v>2022</v>
      </c>
      <c r="F240" t="s">
        <v>1754</v>
      </c>
      <c r="G240">
        <v>23</v>
      </c>
      <c r="H240">
        <v>96</v>
      </c>
      <c r="J240">
        <v>121</v>
      </c>
      <c r="K240">
        <v>128</v>
      </c>
      <c r="L240">
        <v>7</v>
      </c>
      <c r="M240">
        <v>4</v>
      </c>
      <c r="N240" t="s">
        <v>1755</v>
      </c>
      <c r="O240" t="s">
        <v>1756</v>
      </c>
      <c r="P240" s="22" t="str">
        <f>HYPERLINK(O240)</f>
        <v>https://www.scopus.com/inward/record.uri?eid=2-s2.0-85135588857&amp;doi=10.21660%2f2022.96.3354&amp;partnerID=40&amp;md5=6c37e93939b3b2d5a373cd9388d46c3e</v>
      </c>
      <c r="Q240" t="s">
        <v>156</v>
      </c>
      <c r="R240" t="s">
        <v>48</v>
      </c>
      <c r="S240" t="s">
        <v>185</v>
      </c>
      <c r="T240" t="s">
        <v>6</v>
      </c>
      <c r="U240" t="s">
        <v>1757</v>
      </c>
      <c r="V240" s="36">
        <v>0</v>
      </c>
      <c r="W240" s="27">
        <v>0</v>
      </c>
      <c r="X240" s="27">
        <v>0</v>
      </c>
      <c r="Y240" s="27">
        <v>0</v>
      </c>
      <c r="Z240" s="27">
        <v>0</v>
      </c>
      <c r="AA240" s="27">
        <v>0</v>
      </c>
      <c r="AB240" s="27">
        <v>0</v>
      </c>
      <c r="AC240" s="27">
        <v>0</v>
      </c>
      <c r="AD240" s="27">
        <v>0</v>
      </c>
      <c r="AE240" s="27">
        <v>0</v>
      </c>
      <c r="AF240" s="27">
        <v>0</v>
      </c>
      <c r="AG240" s="27">
        <v>0</v>
      </c>
      <c r="AH240" s="27">
        <v>1</v>
      </c>
      <c r="AJ240">
        <f t="shared" si="3"/>
        <v>1</v>
      </c>
    </row>
    <row r="241" spans="1:36">
      <c r="A241" t="s">
        <v>1758</v>
      </c>
      <c r="B241" t="s">
        <v>1759</v>
      </c>
      <c r="C241">
        <v>7007040634</v>
      </c>
      <c r="D241" t="s">
        <v>1760</v>
      </c>
      <c r="E241">
        <v>2022</v>
      </c>
      <c r="F241" t="s">
        <v>1761</v>
      </c>
      <c r="G241">
        <v>23</v>
      </c>
      <c r="H241">
        <v>8</v>
      </c>
      <c r="I241">
        <v>4456</v>
      </c>
      <c r="M241">
        <v>1</v>
      </c>
      <c r="N241" t="s">
        <v>1762</v>
      </c>
      <c r="O241" t="s">
        <v>1763</v>
      </c>
      <c r="P241" s="22" t="str">
        <f>HYPERLINK(O241)</f>
        <v>https://www.scopus.com/inward/record.uri?eid=2-s2.0-85128293669&amp;doi=10.3390%2fijms23084456&amp;partnerID=40&amp;md5=a04cf4f49f60b29fd392ed4ba12a1bbb</v>
      </c>
      <c r="Q241" t="s">
        <v>1764</v>
      </c>
      <c r="R241" t="s">
        <v>48</v>
      </c>
      <c r="S241" t="s">
        <v>225</v>
      </c>
      <c r="T241" t="s">
        <v>6</v>
      </c>
      <c r="U241" t="s">
        <v>1765</v>
      </c>
      <c r="V241" s="36">
        <v>0</v>
      </c>
      <c r="W241" s="27">
        <v>0</v>
      </c>
      <c r="X241" s="27">
        <v>0</v>
      </c>
      <c r="Y241" s="27">
        <v>0</v>
      </c>
      <c r="Z241" s="27">
        <v>0</v>
      </c>
      <c r="AA241" s="27">
        <v>0</v>
      </c>
      <c r="AB241" s="27">
        <v>0</v>
      </c>
      <c r="AC241" s="27">
        <v>0</v>
      </c>
      <c r="AD241" s="27">
        <v>0</v>
      </c>
      <c r="AE241" s="27">
        <v>0</v>
      </c>
      <c r="AF241" s="27">
        <v>0</v>
      </c>
      <c r="AG241" s="27">
        <v>0</v>
      </c>
      <c r="AH241" s="27">
        <v>1</v>
      </c>
      <c r="AJ241">
        <f t="shared" si="3"/>
        <v>1</v>
      </c>
    </row>
    <row r="242" spans="1:36">
      <c r="A242" t="s">
        <v>1766</v>
      </c>
      <c r="B242" t="s">
        <v>1767</v>
      </c>
      <c r="C242" t="s">
        <v>1768</v>
      </c>
      <c r="D242" t="s">
        <v>1769</v>
      </c>
      <c r="E242">
        <v>2023</v>
      </c>
      <c r="F242" t="s">
        <v>1770</v>
      </c>
      <c r="G242">
        <v>11</v>
      </c>
      <c r="H242">
        <v>2</v>
      </c>
      <c r="J242">
        <v>40</v>
      </c>
      <c r="K242">
        <v>60</v>
      </c>
      <c r="L242">
        <v>20</v>
      </c>
      <c r="M242">
        <v>1</v>
      </c>
      <c r="N242" t="s">
        <v>1771</v>
      </c>
      <c r="O242" t="s">
        <v>1772</v>
      </c>
      <c r="P242" s="22" t="str">
        <f>HYPERLINK(O242)</f>
        <v>https://www.scopus.com/inward/record.uri?eid=2-s2.0-85164495458&amp;doi=10.21427%2fX9C7-K225&amp;partnerID=40&amp;md5=8711c39e78554e887783c1306b39122d</v>
      </c>
      <c r="Q242" t="s">
        <v>156</v>
      </c>
      <c r="R242" t="s">
        <v>48</v>
      </c>
      <c r="T242" t="s">
        <v>6</v>
      </c>
      <c r="U242" t="s">
        <v>1773</v>
      </c>
      <c r="V242" s="36">
        <v>0</v>
      </c>
      <c r="W242" s="27">
        <v>0</v>
      </c>
      <c r="X242" s="27">
        <v>0</v>
      </c>
      <c r="Y242" s="27">
        <v>0</v>
      </c>
      <c r="Z242" s="27">
        <v>0</v>
      </c>
      <c r="AA242" s="27">
        <v>0</v>
      </c>
      <c r="AB242" s="27">
        <v>0</v>
      </c>
      <c r="AC242" s="27">
        <v>0</v>
      </c>
      <c r="AD242" s="27">
        <v>0</v>
      </c>
      <c r="AE242" s="27">
        <v>0</v>
      </c>
      <c r="AF242" s="27">
        <v>0</v>
      </c>
      <c r="AG242" s="27">
        <v>1</v>
      </c>
      <c r="AH242" s="27">
        <v>0</v>
      </c>
      <c r="AJ242">
        <f t="shared" si="3"/>
        <v>1</v>
      </c>
    </row>
    <row r="243" spans="1:36">
      <c r="A243" t="s">
        <v>1774</v>
      </c>
      <c r="B243" t="s">
        <v>1775</v>
      </c>
      <c r="C243" t="s">
        <v>1776</v>
      </c>
      <c r="D243" t="s">
        <v>1777</v>
      </c>
      <c r="E243">
        <v>2010</v>
      </c>
      <c r="F243" t="s">
        <v>1778</v>
      </c>
      <c r="G243">
        <v>13</v>
      </c>
      <c r="H243" s="32">
        <v>45750</v>
      </c>
      <c r="J243">
        <v>192</v>
      </c>
      <c r="K243">
        <v>204</v>
      </c>
      <c r="L243">
        <v>12</v>
      </c>
      <c r="M243">
        <v>3</v>
      </c>
      <c r="N243" t="s">
        <v>1779</v>
      </c>
      <c r="O243" t="s">
        <v>1780</v>
      </c>
      <c r="P243" s="22" t="str">
        <f>HYPERLINK(O243)</f>
        <v>https://www.scopus.com/inward/record.uri?eid=2-s2.0-77949718944&amp;doi=10.1504%2fijstm.2010.032077&amp;partnerID=40&amp;md5=4da31ef00aaa89a099e1645a68a295b8</v>
      </c>
      <c r="Q243" t="s">
        <v>156</v>
      </c>
      <c r="R243" t="s">
        <v>48</v>
      </c>
      <c r="T243" t="s">
        <v>6</v>
      </c>
      <c r="U243" t="s">
        <v>1781</v>
      </c>
      <c r="V243" s="36">
        <v>0</v>
      </c>
      <c r="W243" s="27">
        <v>0</v>
      </c>
      <c r="X243" s="27">
        <v>0</v>
      </c>
      <c r="Y243" s="27">
        <v>0</v>
      </c>
      <c r="Z243" s="27">
        <v>0</v>
      </c>
      <c r="AA243" s="27">
        <v>0</v>
      </c>
      <c r="AB243" s="27">
        <v>0</v>
      </c>
      <c r="AC243" s="27">
        <v>0</v>
      </c>
      <c r="AD243" s="27">
        <v>0</v>
      </c>
      <c r="AE243" s="27">
        <v>0</v>
      </c>
      <c r="AF243" s="27">
        <v>1</v>
      </c>
      <c r="AG243" s="27">
        <v>0</v>
      </c>
      <c r="AH243" s="27">
        <v>0</v>
      </c>
      <c r="AJ243">
        <f t="shared" si="3"/>
        <v>1</v>
      </c>
    </row>
    <row r="244" spans="1:36">
      <c r="A244" t="s">
        <v>1782</v>
      </c>
      <c r="B244" t="s">
        <v>1783</v>
      </c>
      <c r="C244" t="s">
        <v>1784</v>
      </c>
      <c r="D244" t="s">
        <v>1785</v>
      </c>
      <c r="E244">
        <v>2021</v>
      </c>
      <c r="F244" t="s">
        <v>1786</v>
      </c>
      <c r="G244">
        <v>12</v>
      </c>
      <c r="H244">
        <v>5</v>
      </c>
      <c r="J244">
        <v>931</v>
      </c>
      <c r="K244">
        <v>937</v>
      </c>
      <c r="L244">
        <v>6</v>
      </c>
      <c r="M244">
        <v>1</v>
      </c>
      <c r="N244" t="s">
        <v>1787</v>
      </c>
      <c r="O244" t="s">
        <v>1788</v>
      </c>
      <c r="P244" s="22" t="str">
        <f>HYPERLINK(O244)</f>
        <v>https://www.scopus.com/inward/record.uri?eid=2-s2.0-85107572780&amp;doi=10.1007%2fs13198-021-01158-z&amp;partnerID=40&amp;md5=fd249000aea393f1c2b4818cc7a4f362</v>
      </c>
      <c r="Q244" t="s">
        <v>156</v>
      </c>
      <c r="R244" t="s">
        <v>48</v>
      </c>
      <c r="T244" t="s">
        <v>6</v>
      </c>
      <c r="U244" t="s">
        <v>1789</v>
      </c>
      <c r="V244" s="36">
        <v>0</v>
      </c>
      <c r="W244" s="27">
        <v>0</v>
      </c>
      <c r="X244" s="27">
        <v>0</v>
      </c>
      <c r="Y244" s="27">
        <v>0</v>
      </c>
      <c r="Z244" s="27">
        <v>0</v>
      </c>
      <c r="AA244" s="27">
        <v>0</v>
      </c>
      <c r="AB244" s="27">
        <v>0</v>
      </c>
      <c r="AC244" s="27">
        <v>0</v>
      </c>
      <c r="AD244" s="27">
        <v>0</v>
      </c>
      <c r="AE244" s="27">
        <v>0</v>
      </c>
      <c r="AF244" s="27">
        <v>0</v>
      </c>
      <c r="AG244" s="27">
        <v>0</v>
      </c>
      <c r="AH244" s="27">
        <v>1</v>
      </c>
      <c r="AJ244">
        <f t="shared" si="3"/>
        <v>1</v>
      </c>
    </row>
    <row r="245" spans="1:36">
      <c r="A245" t="s">
        <v>1790</v>
      </c>
      <c r="B245" t="s">
        <v>1791</v>
      </c>
      <c r="C245" t="s">
        <v>1792</v>
      </c>
      <c r="D245" t="s">
        <v>1793</v>
      </c>
      <c r="E245">
        <v>2022</v>
      </c>
      <c r="F245" t="s">
        <v>1794</v>
      </c>
      <c r="G245">
        <v>14</v>
      </c>
      <c r="H245">
        <v>3</v>
      </c>
      <c r="J245">
        <v>272</v>
      </c>
      <c r="K245">
        <v>296</v>
      </c>
      <c r="L245">
        <v>24</v>
      </c>
      <c r="M245">
        <v>4</v>
      </c>
      <c r="N245" t="s">
        <v>1795</v>
      </c>
      <c r="O245" t="s">
        <v>1796</v>
      </c>
      <c r="P245" s="22" t="str">
        <f>HYPERLINK(O245)</f>
        <v>https://www.scopus.com/inward/record.uri?eid=2-s2.0-85140628304&amp;doi=10.1504%2fijtlid.2022.125694&amp;partnerID=40&amp;md5=bc8c1fd098d967d15208476df731e5ba</v>
      </c>
      <c r="Q245" t="s">
        <v>156</v>
      </c>
      <c r="R245" t="s">
        <v>48</v>
      </c>
      <c r="T245" t="s">
        <v>6</v>
      </c>
      <c r="U245" t="s">
        <v>1797</v>
      </c>
      <c r="V245" s="36">
        <v>0</v>
      </c>
      <c r="W245" s="27">
        <v>1</v>
      </c>
      <c r="X245" s="27">
        <v>0</v>
      </c>
      <c r="Y245" s="27">
        <v>0</v>
      </c>
      <c r="Z245" s="27">
        <v>0</v>
      </c>
      <c r="AA245" s="27">
        <v>0</v>
      </c>
      <c r="AB245" s="27">
        <v>0</v>
      </c>
      <c r="AC245" s="27">
        <v>0</v>
      </c>
      <c r="AD245" s="27">
        <v>0</v>
      </c>
      <c r="AE245" s="27">
        <v>0</v>
      </c>
      <c r="AF245" s="27">
        <v>0</v>
      </c>
      <c r="AG245" s="27">
        <v>0</v>
      </c>
      <c r="AH245" s="27">
        <v>0</v>
      </c>
      <c r="AJ245">
        <f t="shared" si="3"/>
        <v>1</v>
      </c>
    </row>
    <row r="246" spans="1:36">
      <c r="A246" t="s">
        <v>1798</v>
      </c>
      <c r="B246" t="s">
        <v>1799</v>
      </c>
      <c r="C246" t="s">
        <v>1800</v>
      </c>
      <c r="D246" t="s">
        <v>1801</v>
      </c>
      <c r="E246">
        <v>2014</v>
      </c>
      <c r="F246" t="s">
        <v>1802</v>
      </c>
      <c r="G246">
        <v>5</v>
      </c>
      <c r="H246">
        <v>3</v>
      </c>
      <c r="J246">
        <v>173</v>
      </c>
      <c r="K246">
        <v>191</v>
      </c>
      <c r="L246">
        <v>18</v>
      </c>
      <c r="M246">
        <v>44</v>
      </c>
      <c r="N246" t="s">
        <v>1803</v>
      </c>
      <c r="O246" t="s">
        <v>1804</v>
      </c>
      <c r="P246" s="22" t="str">
        <f>HYPERLINK(O246)</f>
        <v>https://www.scopus.com/inward/record.uri?eid=2-s2.0-84904194322&amp;doi=10.1504%2fIJTP.2014.063105&amp;partnerID=40&amp;md5=3a652bbefd8549e57141762d63d791d0</v>
      </c>
      <c r="Q246" t="s">
        <v>156</v>
      </c>
      <c r="R246" t="s">
        <v>48</v>
      </c>
      <c r="S246" t="s">
        <v>164</v>
      </c>
      <c r="T246" t="s">
        <v>6</v>
      </c>
      <c r="U246" t="s">
        <v>1805</v>
      </c>
      <c r="V246" s="36">
        <v>0</v>
      </c>
      <c r="W246" s="27">
        <v>0</v>
      </c>
      <c r="X246" s="27">
        <v>0</v>
      </c>
      <c r="Y246" s="27">
        <v>0</v>
      </c>
      <c r="Z246" s="27">
        <v>0</v>
      </c>
      <c r="AA246" s="27">
        <v>0</v>
      </c>
      <c r="AB246" s="27">
        <v>0</v>
      </c>
      <c r="AC246" s="27">
        <v>0</v>
      </c>
      <c r="AD246" s="27">
        <v>0</v>
      </c>
      <c r="AE246" s="27">
        <v>0</v>
      </c>
      <c r="AF246" s="27">
        <v>1</v>
      </c>
      <c r="AG246" s="27">
        <v>0</v>
      </c>
      <c r="AH246" s="27">
        <v>0</v>
      </c>
      <c r="AJ246">
        <f t="shared" si="3"/>
        <v>1</v>
      </c>
    </row>
    <row r="247" spans="1:36">
      <c r="A247" t="s">
        <v>1806</v>
      </c>
      <c r="B247" t="s">
        <v>1807</v>
      </c>
      <c r="C247" t="s">
        <v>1808</v>
      </c>
      <c r="D247" t="s">
        <v>1809</v>
      </c>
      <c r="E247">
        <v>2020</v>
      </c>
      <c r="F247" t="s">
        <v>1810</v>
      </c>
      <c r="G247">
        <v>22</v>
      </c>
      <c r="H247">
        <v>4</v>
      </c>
      <c r="J247">
        <v>403</v>
      </c>
      <c r="K247">
        <v>415</v>
      </c>
      <c r="L247">
        <v>12</v>
      </c>
      <c r="M247">
        <v>35</v>
      </c>
      <c r="N247" t="s">
        <v>1811</v>
      </c>
      <c r="O247" t="s">
        <v>1812</v>
      </c>
      <c r="P247" s="22" t="str">
        <f>HYPERLINK(O247)</f>
        <v>https://www.scopus.com/inward/record.uri?eid=2-s2.0-85077891449&amp;doi=10.1002%2fjtr.2344&amp;partnerID=40&amp;md5=fd8141db4f39fc07ef9a7ec244b67777</v>
      </c>
      <c r="Q247" t="s">
        <v>156</v>
      </c>
      <c r="R247" t="s">
        <v>48</v>
      </c>
      <c r="T247" t="s">
        <v>6</v>
      </c>
      <c r="U247" t="s">
        <v>1813</v>
      </c>
      <c r="V247" s="36">
        <v>1</v>
      </c>
      <c r="W247" s="27">
        <v>0</v>
      </c>
      <c r="X247" s="27">
        <v>0</v>
      </c>
      <c r="Y247" s="27">
        <v>0</v>
      </c>
      <c r="Z247" s="27">
        <v>0</v>
      </c>
      <c r="AA247" s="27">
        <v>0</v>
      </c>
      <c r="AB247" s="27">
        <v>0</v>
      </c>
      <c r="AC247" s="27">
        <v>0</v>
      </c>
      <c r="AD247" s="27">
        <v>0</v>
      </c>
      <c r="AE247" s="27">
        <v>0</v>
      </c>
      <c r="AF247" s="27">
        <v>0</v>
      </c>
      <c r="AG247" s="27">
        <v>0</v>
      </c>
      <c r="AH247" s="27">
        <v>0</v>
      </c>
      <c r="AJ247">
        <f t="shared" si="3"/>
        <v>1</v>
      </c>
    </row>
    <row r="248" spans="1:36">
      <c r="A248" t="s">
        <v>1814</v>
      </c>
      <c r="B248" t="s">
        <v>1815</v>
      </c>
      <c r="C248" t="s">
        <v>1816</v>
      </c>
      <c r="D248" t="s">
        <v>1817</v>
      </c>
      <c r="E248">
        <v>2019</v>
      </c>
      <c r="F248" t="s">
        <v>1810</v>
      </c>
      <c r="G248">
        <v>21</v>
      </c>
      <c r="H248">
        <v>5</v>
      </c>
      <c r="J248">
        <v>693</v>
      </c>
      <c r="K248">
        <v>711</v>
      </c>
      <c r="L248">
        <v>18</v>
      </c>
      <c r="M248">
        <v>26</v>
      </c>
      <c r="N248" t="s">
        <v>1818</v>
      </c>
      <c r="O248" t="s">
        <v>1819</v>
      </c>
      <c r="P248" s="22" t="str">
        <f>HYPERLINK(O248)</f>
        <v>https://www.scopus.com/inward/record.uri?eid=2-s2.0-85071762002&amp;doi=10.1002%2fjtr.2297&amp;partnerID=40&amp;md5=bd06d8aec9f63510f37c2bc4447d9652</v>
      </c>
      <c r="Q248" t="s">
        <v>156</v>
      </c>
      <c r="R248" t="s">
        <v>48</v>
      </c>
      <c r="T248" t="s">
        <v>6</v>
      </c>
      <c r="U248" t="s">
        <v>1820</v>
      </c>
      <c r="V248" s="36">
        <v>1</v>
      </c>
      <c r="W248" s="27">
        <v>0</v>
      </c>
      <c r="X248" s="27">
        <v>0</v>
      </c>
      <c r="Y248" s="27">
        <v>0</v>
      </c>
      <c r="Z248" s="27">
        <v>0</v>
      </c>
      <c r="AA248" s="27">
        <v>0</v>
      </c>
      <c r="AB248" s="27">
        <v>0</v>
      </c>
      <c r="AC248" s="27">
        <v>0</v>
      </c>
      <c r="AD248" s="27">
        <v>0</v>
      </c>
      <c r="AE248" s="27">
        <v>0</v>
      </c>
      <c r="AF248" s="27">
        <v>0</v>
      </c>
      <c r="AG248" s="27">
        <v>0</v>
      </c>
      <c r="AH248" s="27">
        <v>0</v>
      </c>
      <c r="AJ248">
        <f t="shared" si="3"/>
        <v>1</v>
      </c>
    </row>
    <row r="249" spans="1:36">
      <c r="A249" t="s">
        <v>1821</v>
      </c>
      <c r="B249" t="s">
        <v>1822</v>
      </c>
      <c r="C249" t="s">
        <v>1823</v>
      </c>
      <c r="D249" t="s">
        <v>1824</v>
      </c>
      <c r="E249">
        <v>2017</v>
      </c>
      <c r="F249" t="s">
        <v>1810</v>
      </c>
      <c r="G249">
        <v>19</v>
      </c>
      <c r="H249">
        <v>4</v>
      </c>
      <c r="J249">
        <v>412</v>
      </c>
      <c r="K249">
        <v>420</v>
      </c>
      <c r="L249">
        <v>8</v>
      </c>
      <c r="M249">
        <v>23</v>
      </c>
      <c r="N249" t="s">
        <v>1825</v>
      </c>
      <c r="O249" t="s">
        <v>1826</v>
      </c>
      <c r="P249" s="22" t="str">
        <f>HYPERLINK(O249)</f>
        <v>https://www.scopus.com/inward/record.uri?eid=2-s2.0-85020005790&amp;doi=10.1002%2fjtr.2127&amp;partnerID=40&amp;md5=8dff5b12ffcd864193c42ab24bac2b50</v>
      </c>
      <c r="Q249" t="s">
        <v>156</v>
      </c>
      <c r="R249" t="s">
        <v>48</v>
      </c>
      <c r="T249" t="s">
        <v>6</v>
      </c>
      <c r="U249" t="s">
        <v>1827</v>
      </c>
      <c r="V249" s="36">
        <v>1</v>
      </c>
      <c r="W249" s="27">
        <v>0</v>
      </c>
      <c r="X249" s="27">
        <v>0</v>
      </c>
      <c r="Y249" s="27">
        <v>0</v>
      </c>
      <c r="Z249" s="27">
        <v>0</v>
      </c>
      <c r="AA249" s="27">
        <v>0</v>
      </c>
      <c r="AB249" s="27">
        <v>0</v>
      </c>
      <c r="AC249" s="27">
        <v>0</v>
      </c>
      <c r="AD249" s="27">
        <v>0</v>
      </c>
      <c r="AE249" s="27">
        <v>0</v>
      </c>
      <c r="AF249" s="27">
        <v>0</v>
      </c>
      <c r="AG249" s="27">
        <v>0</v>
      </c>
      <c r="AH249" s="27">
        <v>0</v>
      </c>
      <c r="AJ249">
        <f t="shared" si="3"/>
        <v>1</v>
      </c>
    </row>
    <row r="250" spans="1:36">
      <c r="A250" t="s">
        <v>1828</v>
      </c>
      <c r="B250" t="s">
        <v>1829</v>
      </c>
      <c r="C250">
        <v>57217826346</v>
      </c>
      <c r="D250" t="s">
        <v>1830</v>
      </c>
      <c r="E250">
        <v>2021</v>
      </c>
      <c r="F250" t="s">
        <v>1810</v>
      </c>
      <c r="G250">
        <v>23</v>
      </c>
      <c r="H250">
        <v>1</v>
      </c>
      <c r="J250">
        <v>39</v>
      </c>
      <c r="K250">
        <v>55</v>
      </c>
      <c r="L250">
        <v>16</v>
      </c>
      <c r="M250">
        <v>17</v>
      </c>
      <c r="N250" t="s">
        <v>1831</v>
      </c>
      <c r="O250" t="s">
        <v>1832</v>
      </c>
      <c r="P250" s="22" t="str">
        <f>HYPERLINK(O250)</f>
        <v>https://www.scopus.com/inward/record.uri?eid=2-s2.0-85087645974&amp;doi=10.1002%2fjtr.2390&amp;partnerID=40&amp;md5=4ca9e5368239bb953e69b407c2381c84</v>
      </c>
      <c r="Q250" t="s">
        <v>156</v>
      </c>
      <c r="R250" t="s">
        <v>48</v>
      </c>
      <c r="T250" t="s">
        <v>6</v>
      </c>
      <c r="U250" t="s">
        <v>1833</v>
      </c>
      <c r="V250" s="36">
        <v>1</v>
      </c>
      <c r="W250" s="27">
        <v>0</v>
      </c>
      <c r="X250" s="27">
        <v>0</v>
      </c>
      <c r="Y250" s="27">
        <v>0</v>
      </c>
      <c r="Z250" s="27">
        <v>0</v>
      </c>
      <c r="AA250" s="27">
        <v>0</v>
      </c>
      <c r="AB250" s="27">
        <v>0</v>
      </c>
      <c r="AC250" s="27">
        <v>0</v>
      </c>
      <c r="AD250" s="27">
        <v>0</v>
      </c>
      <c r="AE250" s="27">
        <v>0</v>
      </c>
      <c r="AF250" s="27">
        <v>0</v>
      </c>
      <c r="AG250" s="27">
        <v>0</v>
      </c>
      <c r="AH250" s="27">
        <v>0</v>
      </c>
      <c r="AJ250">
        <f t="shared" si="3"/>
        <v>1</v>
      </c>
    </row>
    <row r="251" spans="1:36">
      <c r="A251" t="s">
        <v>1834</v>
      </c>
      <c r="B251" t="s">
        <v>1835</v>
      </c>
      <c r="C251" t="s">
        <v>1836</v>
      </c>
      <c r="D251" t="s">
        <v>1837</v>
      </c>
      <c r="E251">
        <v>2019</v>
      </c>
      <c r="F251" t="s">
        <v>1810</v>
      </c>
      <c r="G251">
        <v>21</v>
      </c>
      <c r="H251">
        <v>6</v>
      </c>
      <c r="J251">
        <v>747</v>
      </c>
      <c r="K251">
        <v>757</v>
      </c>
      <c r="L251">
        <v>10</v>
      </c>
      <c r="M251">
        <v>56</v>
      </c>
      <c r="N251" t="s">
        <v>1838</v>
      </c>
      <c r="O251" t="s">
        <v>1839</v>
      </c>
      <c r="P251" s="22" t="str">
        <f>HYPERLINK(O251)</f>
        <v>https://www.scopus.com/inward/record.uri?eid=2-s2.0-85069898487&amp;doi=10.1002%2fjtr.2301&amp;partnerID=40&amp;md5=2e9a1fc9cf1ff2314f175256cce53a65</v>
      </c>
      <c r="Q251" t="s">
        <v>156</v>
      </c>
      <c r="R251" t="s">
        <v>48</v>
      </c>
      <c r="T251" t="s">
        <v>6</v>
      </c>
      <c r="U251" t="s">
        <v>1840</v>
      </c>
      <c r="V251" s="36">
        <v>0</v>
      </c>
      <c r="W251" s="27">
        <v>0</v>
      </c>
      <c r="X251" s="27">
        <v>0</v>
      </c>
      <c r="Y251" s="27">
        <v>0</v>
      </c>
      <c r="Z251" s="27">
        <v>0</v>
      </c>
      <c r="AA251" s="27">
        <v>0</v>
      </c>
      <c r="AB251" s="27">
        <v>1</v>
      </c>
      <c r="AC251" s="27">
        <v>0</v>
      </c>
      <c r="AD251" s="27">
        <v>0</v>
      </c>
      <c r="AE251" s="27">
        <v>0</v>
      </c>
      <c r="AF251" s="27">
        <v>0</v>
      </c>
      <c r="AG251" s="27">
        <v>0</v>
      </c>
      <c r="AH251" s="27">
        <v>0</v>
      </c>
      <c r="AJ251">
        <f t="shared" si="3"/>
        <v>1</v>
      </c>
    </row>
    <row r="252" spans="1:36">
      <c r="A252" t="s">
        <v>1841</v>
      </c>
      <c r="B252" t="s">
        <v>1842</v>
      </c>
      <c r="C252" t="s">
        <v>1843</v>
      </c>
      <c r="D252" t="s">
        <v>1844</v>
      </c>
      <c r="E252">
        <v>2004</v>
      </c>
      <c r="F252" t="s">
        <v>1845</v>
      </c>
      <c r="G252">
        <v>11</v>
      </c>
      <c r="H252">
        <v>3</v>
      </c>
      <c r="J252">
        <v>87</v>
      </c>
      <c r="K252">
        <v>90</v>
      </c>
      <c r="L252">
        <v>3</v>
      </c>
      <c r="M252">
        <v>2</v>
      </c>
      <c r="O252" t="s">
        <v>1846</v>
      </c>
      <c r="P252" s="22" t="str">
        <f>HYPERLINK(O252)</f>
        <v>https://www.scopus.com/inward/record.uri?eid=2-s2.0-3042691892&amp;partnerID=40&amp;md5=2dea98cb5f230ccf350e3a3ba1dd0704</v>
      </c>
      <c r="Q252" t="s">
        <v>184</v>
      </c>
      <c r="R252" t="s">
        <v>48</v>
      </c>
      <c r="T252" t="s">
        <v>6</v>
      </c>
      <c r="U252" t="s">
        <v>1847</v>
      </c>
      <c r="V252" s="36">
        <v>0</v>
      </c>
      <c r="W252" s="27">
        <v>0</v>
      </c>
      <c r="X252" s="27">
        <v>0</v>
      </c>
      <c r="Y252" s="27">
        <v>0</v>
      </c>
      <c r="Z252" s="27">
        <v>0</v>
      </c>
      <c r="AA252" s="27">
        <v>0</v>
      </c>
      <c r="AB252" s="27">
        <v>0</v>
      </c>
      <c r="AC252" s="27">
        <v>0</v>
      </c>
      <c r="AD252" s="27">
        <v>0</v>
      </c>
      <c r="AE252" s="27">
        <v>0</v>
      </c>
      <c r="AF252" s="27">
        <v>1</v>
      </c>
      <c r="AG252" s="27">
        <v>0</v>
      </c>
      <c r="AH252" s="27">
        <v>0</v>
      </c>
      <c r="AJ252">
        <f t="shared" si="3"/>
        <v>1</v>
      </c>
    </row>
    <row r="253" spans="1:36">
      <c r="A253" t="s">
        <v>1848</v>
      </c>
      <c r="B253" t="s">
        <v>1849</v>
      </c>
      <c r="C253" t="s">
        <v>1850</v>
      </c>
      <c r="D253" t="s">
        <v>1851</v>
      </c>
      <c r="E253">
        <v>2019</v>
      </c>
      <c r="F253" t="s">
        <v>1852</v>
      </c>
      <c r="G253">
        <v>19</v>
      </c>
      <c r="H253">
        <v>1.3</v>
      </c>
      <c r="J253">
        <v>667</v>
      </c>
      <c r="K253">
        <v>675</v>
      </c>
      <c r="L253">
        <v>8</v>
      </c>
      <c r="M253">
        <v>2</v>
      </c>
      <c r="N253" t="s">
        <v>1853</v>
      </c>
      <c r="O253" t="s">
        <v>1854</v>
      </c>
      <c r="P253" s="22" t="str">
        <f>HYPERLINK(O253)</f>
        <v>https://www.scopus.com/inward/record.uri?eid=2-s2.0-85073325784&amp;doi=10.5593%2fsgem2019%2f1.3%2fS03.085&amp;partnerID=40&amp;md5=5cddfacd14adb0ab8ffaede9b2be145c</v>
      </c>
      <c r="Q253" t="s">
        <v>62</v>
      </c>
      <c r="R253" t="s">
        <v>48</v>
      </c>
      <c r="T253" t="s">
        <v>6</v>
      </c>
      <c r="U253" t="s">
        <v>1855</v>
      </c>
      <c r="V253" s="36">
        <v>0</v>
      </c>
      <c r="W253" s="27">
        <v>0</v>
      </c>
      <c r="X253" s="27">
        <v>0</v>
      </c>
      <c r="Y253" s="27">
        <v>0</v>
      </c>
      <c r="Z253" s="27">
        <v>0</v>
      </c>
      <c r="AA253" s="27">
        <v>0</v>
      </c>
      <c r="AB253" s="27">
        <v>0</v>
      </c>
      <c r="AC253" s="27">
        <v>0</v>
      </c>
      <c r="AD253" s="27">
        <v>0</v>
      </c>
      <c r="AE253" s="27">
        <v>0</v>
      </c>
      <c r="AF253" s="27">
        <v>0</v>
      </c>
      <c r="AG253" s="27">
        <v>0</v>
      </c>
      <c r="AH253" s="27">
        <v>1</v>
      </c>
      <c r="AJ253">
        <f t="shared" si="3"/>
        <v>1</v>
      </c>
    </row>
    <row r="254" spans="1:36">
      <c r="A254" t="s">
        <v>1856</v>
      </c>
      <c r="B254" t="s">
        <v>1857</v>
      </c>
      <c r="C254" t="s">
        <v>1858</v>
      </c>
      <c r="D254" t="s">
        <v>1859</v>
      </c>
      <c r="E254">
        <v>2019</v>
      </c>
      <c r="F254" t="s">
        <v>1852</v>
      </c>
      <c r="G254">
        <v>19</v>
      </c>
      <c r="H254">
        <v>2.2000000000000002</v>
      </c>
      <c r="J254">
        <v>939</v>
      </c>
      <c r="K254">
        <v>946</v>
      </c>
      <c r="L254">
        <v>7</v>
      </c>
      <c r="M254">
        <v>0</v>
      </c>
      <c r="N254" t="s">
        <v>1860</v>
      </c>
      <c r="O254" t="s">
        <v>1861</v>
      </c>
      <c r="P254" s="22" t="str">
        <f>HYPERLINK(O254)</f>
        <v>https://www.scopus.com/inward/record.uri?eid=2-s2.0-85073385602&amp;doi=10.5593%2fsgem2019%2f2.2%2fS11.116&amp;partnerID=40&amp;md5=4e787666e27bfab52c26e357abe307f1</v>
      </c>
      <c r="Q254" t="s">
        <v>62</v>
      </c>
      <c r="R254" t="s">
        <v>48</v>
      </c>
      <c r="T254" t="s">
        <v>6</v>
      </c>
      <c r="U254" t="s">
        <v>1862</v>
      </c>
      <c r="V254" s="36">
        <v>0</v>
      </c>
      <c r="W254" s="27">
        <v>1</v>
      </c>
      <c r="X254" s="27">
        <v>0</v>
      </c>
      <c r="Y254" s="27">
        <v>0</v>
      </c>
      <c r="Z254" s="27">
        <v>0</v>
      </c>
      <c r="AA254" s="27">
        <v>0</v>
      </c>
      <c r="AB254" s="27">
        <v>0</v>
      </c>
      <c r="AC254" s="27">
        <v>0</v>
      </c>
      <c r="AD254" s="27">
        <v>0</v>
      </c>
      <c r="AE254" s="27">
        <v>0</v>
      </c>
      <c r="AF254" s="27">
        <v>0</v>
      </c>
      <c r="AG254" s="27">
        <v>0</v>
      </c>
      <c r="AH254" s="27">
        <v>1</v>
      </c>
      <c r="AJ254">
        <f t="shared" si="3"/>
        <v>2</v>
      </c>
    </row>
    <row r="255" spans="1:36">
      <c r="A255" t="s">
        <v>1863</v>
      </c>
      <c r="B255" t="s">
        <v>1864</v>
      </c>
      <c r="C255" t="s">
        <v>1865</v>
      </c>
      <c r="D255" t="s">
        <v>1866</v>
      </c>
      <c r="E255">
        <v>2018</v>
      </c>
      <c r="F255" t="s">
        <v>1852</v>
      </c>
      <c r="G255">
        <v>18</v>
      </c>
      <c r="H255">
        <v>2.2999999999999998</v>
      </c>
      <c r="J255">
        <v>441</v>
      </c>
      <c r="K255">
        <v>448</v>
      </c>
      <c r="L255">
        <v>7</v>
      </c>
      <c r="M255">
        <v>0</v>
      </c>
      <c r="N255" t="s">
        <v>1867</v>
      </c>
      <c r="O255" t="s">
        <v>1868</v>
      </c>
      <c r="P255" s="22" t="str">
        <f>HYPERLINK(O255)</f>
        <v>https://www.scopus.com/inward/record.uri?eid=2-s2.0-85058880504&amp;doi=10.5593%2fsgem2018%2f2.3%2fS11.056&amp;partnerID=40&amp;md5=70f997b95046c6e88e78057bc7ad8d91</v>
      </c>
      <c r="Q255" t="s">
        <v>62</v>
      </c>
      <c r="R255" t="s">
        <v>48</v>
      </c>
      <c r="T255" t="s">
        <v>6</v>
      </c>
      <c r="U255" t="s">
        <v>1869</v>
      </c>
      <c r="V255" s="36">
        <v>0</v>
      </c>
      <c r="W255" s="27">
        <v>0</v>
      </c>
      <c r="X255" s="27">
        <v>0</v>
      </c>
      <c r="Y255" s="27">
        <v>0</v>
      </c>
      <c r="Z255" s="27">
        <v>0</v>
      </c>
      <c r="AA255" s="27">
        <v>0</v>
      </c>
      <c r="AB255" s="27">
        <v>0</v>
      </c>
      <c r="AC255" s="27">
        <v>0</v>
      </c>
      <c r="AD255" s="27">
        <v>0</v>
      </c>
      <c r="AE255" s="27">
        <v>0</v>
      </c>
      <c r="AF255" s="27">
        <v>0</v>
      </c>
      <c r="AG255" s="27">
        <v>0</v>
      </c>
      <c r="AH255" s="27">
        <v>0</v>
      </c>
      <c r="AJ255">
        <f t="shared" si="3"/>
        <v>0</v>
      </c>
    </row>
    <row r="256" spans="1:36">
      <c r="A256" t="s">
        <v>1870</v>
      </c>
      <c r="B256" t="s">
        <v>1871</v>
      </c>
      <c r="C256" t="s">
        <v>1872</v>
      </c>
      <c r="D256" t="s">
        <v>1873</v>
      </c>
      <c r="E256">
        <v>2008</v>
      </c>
      <c r="F256" t="s">
        <v>1874</v>
      </c>
      <c r="G256">
        <v>4</v>
      </c>
      <c r="J256">
        <v>2505</v>
      </c>
      <c r="K256">
        <v>2524</v>
      </c>
      <c r="L256">
        <v>19</v>
      </c>
      <c r="M256">
        <v>0</v>
      </c>
      <c r="N256" t="s">
        <v>1875</v>
      </c>
      <c r="O256" t="s">
        <v>1876</v>
      </c>
      <c r="P256" s="22" t="str">
        <f>HYPERLINK(O256)</f>
        <v>https://www.scopus.com/inward/record.uri?eid=2-s2.0-67650554788&amp;doi=10.2523%2fiptc-12803-ms&amp;partnerID=40&amp;md5=4cb2b280b6f0d945074bb0cb605158cf</v>
      </c>
      <c r="Q256" t="s">
        <v>62</v>
      </c>
      <c r="R256" t="s">
        <v>48</v>
      </c>
      <c r="T256" t="s">
        <v>6</v>
      </c>
      <c r="U256" t="s">
        <v>1877</v>
      </c>
      <c r="V256" s="36">
        <v>0</v>
      </c>
      <c r="W256" s="27">
        <v>0</v>
      </c>
      <c r="X256" s="27">
        <v>0</v>
      </c>
      <c r="Y256" s="27">
        <v>0</v>
      </c>
      <c r="Z256" s="27">
        <v>0</v>
      </c>
      <c r="AA256" s="27">
        <v>0</v>
      </c>
      <c r="AB256" s="27">
        <v>0</v>
      </c>
      <c r="AC256" s="27">
        <v>0</v>
      </c>
      <c r="AD256" s="27">
        <v>0</v>
      </c>
      <c r="AE256" s="27">
        <v>0</v>
      </c>
      <c r="AF256" s="27">
        <v>0</v>
      </c>
      <c r="AG256" s="27">
        <v>0</v>
      </c>
      <c r="AH256" s="27">
        <v>1</v>
      </c>
      <c r="AJ256">
        <f t="shared" si="3"/>
        <v>1</v>
      </c>
    </row>
    <row r="257" spans="1:36">
      <c r="A257" t="s">
        <v>1878</v>
      </c>
      <c r="B257" t="s">
        <v>1879</v>
      </c>
      <c r="C257" t="s">
        <v>1880</v>
      </c>
      <c r="D257" t="s">
        <v>1881</v>
      </c>
      <c r="E257">
        <v>2022</v>
      </c>
      <c r="F257" t="s">
        <v>1882</v>
      </c>
      <c r="G257">
        <v>36</v>
      </c>
      <c r="H257">
        <v>1</v>
      </c>
      <c r="J257">
        <v>6</v>
      </c>
      <c r="K257">
        <v>23</v>
      </c>
      <c r="L257">
        <v>17</v>
      </c>
      <c r="M257">
        <v>5</v>
      </c>
      <c r="N257" t="s">
        <v>1883</v>
      </c>
      <c r="O257" t="s">
        <v>1884</v>
      </c>
      <c r="P257" s="22" t="str">
        <f>HYPERLINK(O257)</f>
        <v>https://www.scopus.com/inward/record.uri?eid=2-s2.0-85118200582&amp;doi=10.1080%2f08853908.2021.1990165&amp;partnerID=40&amp;md5=23517ef9cb72042a9ff8db714780c881</v>
      </c>
      <c r="Q257" t="s">
        <v>156</v>
      </c>
      <c r="R257" t="s">
        <v>48</v>
      </c>
      <c r="T257" t="s">
        <v>6</v>
      </c>
      <c r="U257" t="s">
        <v>1885</v>
      </c>
      <c r="V257" s="36">
        <v>0</v>
      </c>
      <c r="W257" s="27">
        <v>0</v>
      </c>
      <c r="X257" s="27">
        <v>0</v>
      </c>
      <c r="Y257" s="27">
        <v>0</v>
      </c>
      <c r="Z257" s="27">
        <v>0</v>
      </c>
      <c r="AA257" s="27">
        <v>0</v>
      </c>
      <c r="AB257" s="27">
        <v>0</v>
      </c>
      <c r="AC257" s="27">
        <v>0</v>
      </c>
      <c r="AD257" s="27">
        <v>0</v>
      </c>
      <c r="AE257" s="27">
        <v>0</v>
      </c>
      <c r="AF257" s="27">
        <v>0</v>
      </c>
      <c r="AG257" s="27">
        <v>0</v>
      </c>
      <c r="AH257" s="27">
        <v>1</v>
      </c>
      <c r="AJ257">
        <f t="shared" si="3"/>
        <v>1</v>
      </c>
    </row>
    <row r="258" spans="1:36">
      <c r="A258" t="s">
        <v>1886</v>
      </c>
      <c r="B258" t="s">
        <v>1887</v>
      </c>
      <c r="C258" t="s">
        <v>1888</v>
      </c>
      <c r="D258" t="s">
        <v>1889</v>
      </c>
      <c r="E258">
        <v>2023</v>
      </c>
      <c r="F258" t="s">
        <v>1882</v>
      </c>
      <c r="G258">
        <v>37</v>
      </c>
      <c r="H258">
        <v>1</v>
      </c>
      <c r="J258">
        <v>27</v>
      </c>
      <c r="K258">
        <v>46</v>
      </c>
      <c r="L258">
        <v>19</v>
      </c>
      <c r="M258">
        <v>0</v>
      </c>
      <c r="N258" t="s">
        <v>1890</v>
      </c>
      <c r="O258" t="s">
        <v>1891</v>
      </c>
      <c r="P258" s="22" t="str">
        <f>HYPERLINK(O258)</f>
        <v>https://www.scopus.com/inward/record.uri?eid=2-s2.0-85139798382&amp;doi=10.1080%2f08853908.2022.2128478&amp;partnerID=40&amp;md5=7ff6d2e2f891631c880a6e3e3a2e2b10</v>
      </c>
      <c r="Q258" t="s">
        <v>156</v>
      </c>
      <c r="R258" t="s">
        <v>48</v>
      </c>
      <c r="T258" t="s">
        <v>6</v>
      </c>
      <c r="U258" t="s">
        <v>1892</v>
      </c>
      <c r="V258" s="36">
        <v>1</v>
      </c>
      <c r="W258" s="27">
        <v>0</v>
      </c>
      <c r="X258" s="27">
        <v>0</v>
      </c>
      <c r="Y258" s="27">
        <v>0</v>
      </c>
      <c r="Z258" s="27">
        <v>0</v>
      </c>
      <c r="AA258" s="27">
        <v>0</v>
      </c>
      <c r="AB258" s="27">
        <v>0</v>
      </c>
      <c r="AC258" s="27">
        <v>0</v>
      </c>
      <c r="AD258" s="27">
        <v>0</v>
      </c>
      <c r="AE258" s="27">
        <v>0</v>
      </c>
      <c r="AF258" s="27">
        <v>0</v>
      </c>
      <c r="AG258" s="27">
        <v>0</v>
      </c>
      <c r="AH258" s="27">
        <v>0</v>
      </c>
      <c r="AJ258">
        <f t="shared" ref="AJ258:AJ321" si="4">SUM(V258:AH258)</f>
        <v>1</v>
      </c>
    </row>
    <row r="259" spans="1:36">
      <c r="A259" t="s">
        <v>1893</v>
      </c>
      <c r="B259" t="s">
        <v>1894</v>
      </c>
      <c r="C259">
        <v>55693765800</v>
      </c>
      <c r="D259" t="s">
        <v>1895</v>
      </c>
      <c r="E259">
        <v>2013</v>
      </c>
      <c r="F259" t="s">
        <v>1896</v>
      </c>
      <c r="G259">
        <v>65</v>
      </c>
      <c r="H259">
        <v>4</v>
      </c>
      <c r="J259">
        <v>28</v>
      </c>
      <c r="K259">
        <v>31</v>
      </c>
      <c r="L259">
        <v>3</v>
      </c>
      <c r="M259">
        <v>0</v>
      </c>
      <c r="O259" t="s">
        <v>1897</v>
      </c>
      <c r="P259" s="22" t="str">
        <f>HYPERLINK(O259)</f>
        <v>https://www.scopus.com/inward/record.uri?eid=2-s2.0-84877596814&amp;partnerID=40&amp;md5=aba76a4c3059a8171209cf39bc3640e0</v>
      </c>
      <c r="Q259" t="s">
        <v>156</v>
      </c>
      <c r="R259" t="s">
        <v>48</v>
      </c>
      <c r="T259" t="s">
        <v>6</v>
      </c>
      <c r="U259" t="s">
        <v>1898</v>
      </c>
      <c r="V259" s="36">
        <v>0</v>
      </c>
      <c r="W259" s="27">
        <v>0</v>
      </c>
      <c r="X259" s="27">
        <v>0</v>
      </c>
      <c r="Y259" s="27">
        <v>0</v>
      </c>
      <c r="Z259" s="27">
        <v>0</v>
      </c>
      <c r="AA259" s="27">
        <v>0</v>
      </c>
      <c r="AB259" s="27">
        <v>0</v>
      </c>
      <c r="AC259" s="27">
        <v>0</v>
      </c>
      <c r="AD259" s="27">
        <v>0</v>
      </c>
      <c r="AE259" s="27">
        <v>0</v>
      </c>
      <c r="AF259" s="27">
        <v>0</v>
      </c>
      <c r="AG259" s="27">
        <v>0</v>
      </c>
      <c r="AH259" s="27">
        <v>1</v>
      </c>
      <c r="AJ259">
        <f t="shared" si="4"/>
        <v>1</v>
      </c>
    </row>
    <row r="260" spans="1:36">
      <c r="A260" t="s">
        <v>1899</v>
      </c>
      <c r="B260" t="s">
        <v>1900</v>
      </c>
      <c r="C260" t="s">
        <v>1901</v>
      </c>
      <c r="D260" t="s">
        <v>1902</v>
      </c>
      <c r="E260">
        <v>2024</v>
      </c>
      <c r="F260" t="s">
        <v>1903</v>
      </c>
      <c r="G260">
        <v>1379</v>
      </c>
      <c r="H260">
        <v>1</v>
      </c>
      <c r="I260">
        <v>12018</v>
      </c>
      <c r="M260">
        <v>0</v>
      </c>
      <c r="N260" t="s">
        <v>1904</v>
      </c>
      <c r="O260" t="s">
        <v>1905</v>
      </c>
      <c r="P260" s="22" t="str">
        <f>HYPERLINK(O260)</f>
        <v>https://www.scopus.com/inward/record.uri?eid=2-s2.0-85202639696&amp;doi=10.1088%2f1755-1315%2f1379%2f1%2f012018&amp;partnerID=40&amp;md5=5aec099ef870e7214784d6d437b437c4</v>
      </c>
      <c r="Q260" t="s">
        <v>62</v>
      </c>
      <c r="R260" t="s">
        <v>48</v>
      </c>
      <c r="S260" t="s">
        <v>185</v>
      </c>
      <c r="T260" t="s">
        <v>6</v>
      </c>
      <c r="U260" t="s">
        <v>1906</v>
      </c>
      <c r="V260" s="36">
        <v>0</v>
      </c>
      <c r="W260" s="27">
        <v>0</v>
      </c>
      <c r="X260" s="27">
        <v>0</v>
      </c>
      <c r="Y260" s="27">
        <v>0</v>
      </c>
      <c r="Z260" s="27">
        <v>0</v>
      </c>
      <c r="AA260" s="27">
        <v>0</v>
      </c>
      <c r="AB260" s="27">
        <v>0</v>
      </c>
      <c r="AC260" s="27">
        <v>0</v>
      </c>
      <c r="AD260" s="27">
        <v>0</v>
      </c>
      <c r="AE260" s="27">
        <v>0</v>
      </c>
      <c r="AF260" s="27">
        <v>0</v>
      </c>
      <c r="AG260" s="27">
        <v>0</v>
      </c>
      <c r="AH260" s="27">
        <v>1</v>
      </c>
      <c r="AJ260">
        <f t="shared" si="4"/>
        <v>1</v>
      </c>
    </row>
    <row r="261" spans="1:36">
      <c r="A261" t="s">
        <v>1907</v>
      </c>
      <c r="B261" t="s">
        <v>1908</v>
      </c>
      <c r="C261" t="s">
        <v>1909</v>
      </c>
      <c r="D261" t="s">
        <v>1910</v>
      </c>
      <c r="E261">
        <v>2018</v>
      </c>
      <c r="F261" t="s">
        <v>1903</v>
      </c>
      <c r="G261">
        <v>118</v>
      </c>
      <c r="H261">
        <v>1</v>
      </c>
      <c r="I261">
        <v>12015</v>
      </c>
      <c r="M261">
        <v>7</v>
      </c>
      <c r="N261" t="s">
        <v>1911</v>
      </c>
      <c r="O261" t="s">
        <v>1912</v>
      </c>
      <c r="P261" s="22" t="str">
        <f>HYPERLINK(O261)</f>
        <v>https://www.scopus.com/inward/record.uri?eid=2-s2.0-85043241020&amp;doi=10.1088%2f1755-1315%2f118%2f1%2f012015&amp;partnerID=40&amp;md5=f2d9ab3ecd903cf556aa08751600bdb0</v>
      </c>
      <c r="Q261" t="s">
        <v>62</v>
      </c>
      <c r="R261" t="s">
        <v>48</v>
      </c>
      <c r="S261" t="s">
        <v>185</v>
      </c>
      <c r="T261" t="s">
        <v>6</v>
      </c>
      <c r="U261" t="s">
        <v>1913</v>
      </c>
      <c r="V261" s="36">
        <v>0</v>
      </c>
      <c r="W261" s="27">
        <v>0</v>
      </c>
      <c r="X261" s="27">
        <v>0</v>
      </c>
      <c r="Y261" s="27">
        <v>0</v>
      </c>
      <c r="Z261" s="27">
        <v>0</v>
      </c>
      <c r="AA261" s="27">
        <v>0</v>
      </c>
      <c r="AB261" s="27">
        <v>0</v>
      </c>
      <c r="AC261" s="27">
        <v>0</v>
      </c>
      <c r="AD261" s="27">
        <v>0</v>
      </c>
      <c r="AE261" s="27">
        <v>0</v>
      </c>
      <c r="AF261" s="27">
        <v>0</v>
      </c>
      <c r="AG261" s="27">
        <v>0</v>
      </c>
      <c r="AH261" s="27">
        <v>1</v>
      </c>
      <c r="AJ261">
        <f t="shared" si="4"/>
        <v>1</v>
      </c>
    </row>
    <row r="262" spans="1:36">
      <c r="A262" t="s">
        <v>1914</v>
      </c>
      <c r="B262" t="s">
        <v>1915</v>
      </c>
      <c r="C262" t="s">
        <v>1916</v>
      </c>
      <c r="D262" t="s">
        <v>1917</v>
      </c>
      <c r="E262">
        <v>2024</v>
      </c>
      <c r="F262" t="s">
        <v>1903</v>
      </c>
      <c r="G262">
        <v>1356</v>
      </c>
      <c r="H262">
        <v>1</v>
      </c>
      <c r="I262">
        <v>12091</v>
      </c>
      <c r="M262">
        <v>0</v>
      </c>
      <c r="N262" t="s">
        <v>1918</v>
      </c>
      <c r="O262" t="s">
        <v>1919</v>
      </c>
      <c r="P262" s="22" t="str">
        <f>HYPERLINK(O262)</f>
        <v>https://www.scopus.com/inward/record.uri?eid=2-s2.0-85198361320&amp;doi=10.1088%2f1755-1315%2f1356%2f1%2f012091&amp;partnerID=40&amp;md5=fb375f7896a2be9ef389e63171a6798a</v>
      </c>
      <c r="Q262" t="s">
        <v>62</v>
      </c>
      <c r="R262" t="s">
        <v>48</v>
      </c>
      <c r="S262" t="s">
        <v>185</v>
      </c>
      <c r="T262" t="s">
        <v>6</v>
      </c>
      <c r="U262" t="s">
        <v>1920</v>
      </c>
      <c r="V262" s="36">
        <v>0</v>
      </c>
      <c r="W262" s="27">
        <v>0</v>
      </c>
      <c r="X262" s="27">
        <v>0</v>
      </c>
      <c r="Y262" s="27">
        <v>0</v>
      </c>
      <c r="Z262" s="27">
        <v>0</v>
      </c>
      <c r="AA262" s="27">
        <v>0</v>
      </c>
      <c r="AB262" s="27">
        <v>0</v>
      </c>
      <c r="AC262" s="27">
        <v>0</v>
      </c>
      <c r="AD262" s="27">
        <v>0</v>
      </c>
      <c r="AE262" s="27">
        <v>0</v>
      </c>
      <c r="AF262" s="27">
        <v>0</v>
      </c>
      <c r="AG262" s="27">
        <v>0</v>
      </c>
      <c r="AH262" s="27">
        <v>1</v>
      </c>
      <c r="AJ262">
        <f t="shared" si="4"/>
        <v>1</v>
      </c>
    </row>
    <row r="263" spans="1:36">
      <c r="A263" t="s">
        <v>1921</v>
      </c>
      <c r="B263" t="s">
        <v>1922</v>
      </c>
      <c r="C263" t="s">
        <v>1923</v>
      </c>
      <c r="D263" t="s">
        <v>1924</v>
      </c>
      <c r="E263">
        <v>2022</v>
      </c>
      <c r="F263" t="s">
        <v>1903</v>
      </c>
      <c r="G263">
        <v>1084</v>
      </c>
      <c r="H263">
        <v>1</v>
      </c>
      <c r="I263">
        <v>12062</v>
      </c>
      <c r="M263">
        <v>0</v>
      </c>
      <c r="N263" t="s">
        <v>1925</v>
      </c>
      <c r="O263" t="s">
        <v>1926</v>
      </c>
      <c r="P263" s="22" t="str">
        <f>HYPERLINK(O263)</f>
        <v>https://www.scopus.com/inward/record.uri?eid=2-s2.0-85141793768&amp;doi=10.1088%2f1755-1315%2f1084%2f1%2f012062&amp;partnerID=40&amp;md5=5652e2277822798050ccfde20df5559f</v>
      </c>
      <c r="Q263" t="s">
        <v>62</v>
      </c>
      <c r="R263" t="s">
        <v>48</v>
      </c>
      <c r="S263" t="s">
        <v>185</v>
      </c>
      <c r="T263" t="s">
        <v>6</v>
      </c>
      <c r="U263" t="s">
        <v>1927</v>
      </c>
      <c r="V263" s="36">
        <v>0</v>
      </c>
      <c r="W263" s="27">
        <v>0</v>
      </c>
      <c r="X263" s="27">
        <v>0</v>
      </c>
      <c r="Y263" s="27">
        <v>0</v>
      </c>
      <c r="Z263" s="27">
        <v>0</v>
      </c>
      <c r="AA263" s="27">
        <v>0</v>
      </c>
      <c r="AB263" s="27">
        <v>0</v>
      </c>
      <c r="AC263" s="27">
        <v>0</v>
      </c>
      <c r="AD263" s="27">
        <v>0</v>
      </c>
      <c r="AE263" s="27">
        <v>0</v>
      </c>
      <c r="AF263" s="27">
        <v>0</v>
      </c>
      <c r="AG263" s="27">
        <v>0</v>
      </c>
      <c r="AH263" s="27">
        <v>1</v>
      </c>
      <c r="AJ263">
        <f t="shared" si="4"/>
        <v>1</v>
      </c>
    </row>
    <row r="264" spans="1:36">
      <c r="A264" t="s">
        <v>1928</v>
      </c>
      <c r="B264" t="s">
        <v>1929</v>
      </c>
      <c r="C264">
        <v>16319641700</v>
      </c>
      <c r="D264" t="s">
        <v>1930</v>
      </c>
      <c r="E264">
        <v>2019</v>
      </c>
      <c r="F264" t="s">
        <v>1903</v>
      </c>
      <c r="G264">
        <v>248</v>
      </c>
      <c r="H264">
        <v>1</v>
      </c>
      <c r="I264">
        <v>12016</v>
      </c>
      <c r="M264">
        <v>5</v>
      </c>
      <c r="N264" t="s">
        <v>1931</v>
      </c>
      <c r="O264" t="s">
        <v>1932</v>
      </c>
      <c r="P264" s="22" t="str">
        <f>HYPERLINK(O264)</f>
        <v>https://www.scopus.com/inward/record.uri?eid=2-s2.0-85066298547&amp;doi=10.1088%2f1755-1315%2f248%2f1%2f012016&amp;partnerID=40&amp;md5=83041877ca4602b459aae44005f30a34</v>
      </c>
      <c r="Q264" t="s">
        <v>62</v>
      </c>
      <c r="R264" t="s">
        <v>48</v>
      </c>
      <c r="S264" t="s">
        <v>185</v>
      </c>
      <c r="T264" t="s">
        <v>6</v>
      </c>
      <c r="U264" t="s">
        <v>1933</v>
      </c>
      <c r="V264" s="36">
        <v>0</v>
      </c>
      <c r="W264" s="27">
        <v>0</v>
      </c>
      <c r="X264" s="27">
        <v>0</v>
      </c>
      <c r="Y264" s="27">
        <v>0</v>
      </c>
      <c r="Z264" s="27">
        <v>0</v>
      </c>
      <c r="AA264" s="27">
        <v>0</v>
      </c>
      <c r="AB264" s="27">
        <v>0</v>
      </c>
      <c r="AC264" s="27">
        <v>0</v>
      </c>
      <c r="AD264" s="27">
        <v>0</v>
      </c>
      <c r="AE264" s="27">
        <v>0</v>
      </c>
      <c r="AF264" s="27">
        <v>0</v>
      </c>
      <c r="AG264" s="27">
        <v>0</v>
      </c>
      <c r="AH264" s="27">
        <v>1</v>
      </c>
      <c r="AJ264">
        <f t="shared" si="4"/>
        <v>1</v>
      </c>
    </row>
    <row r="265" spans="1:36">
      <c r="A265" t="s">
        <v>1934</v>
      </c>
      <c r="B265" t="s">
        <v>1935</v>
      </c>
      <c r="C265" t="s">
        <v>1936</v>
      </c>
      <c r="D265" t="s">
        <v>1937</v>
      </c>
      <c r="E265">
        <v>2020</v>
      </c>
      <c r="F265" t="s">
        <v>1903</v>
      </c>
      <c r="G265">
        <v>424</v>
      </c>
      <c r="H265">
        <v>1</v>
      </c>
      <c r="I265">
        <v>12009</v>
      </c>
      <c r="M265">
        <v>1</v>
      </c>
      <c r="N265" t="s">
        <v>1938</v>
      </c>
      <c r="O265" t="s">
        <v>1939</v>
      </c>
      <c r="P265" s="22" t="str">
        <f>HYPERLINK(O265)</f>
        <v>https://www.scopus.com/inward/record.uri?eid=2-s2.0-85079773423&amp;doi=10.1088%2f1755-1315%2f424%2f1%2f012009&amp;partnerID=40&amp;md5=77d25f2beec94a7c0ccf2e50d56056e6</v>
      </c>
      <c r="Q265" t="s">
        <v>62</v>
      </c>
      <c r="R265" t="s">
        <v>48</v>
      </c>
      <c r="S265" t="s">
        <v>185</v>
      </c>
      <c r="T265" t="s">
        <v>6</v>
      </c>
      <c r="U265" t="s">
        <v>1940</v>
      </c>
      <c r="V265" s="36">
        <v>0</v>
      </c>
      <c r="W265" s="27">
        <v>0</v>
      </c>
      <c r="X265" s="27">
        <v>0</v>
      </c>
      <c r="Y265" s="27">
        <v>0</v>
      </c>
      <c r="Z265" s="27">
        <v>0</v>
      </c>
      <c r="AA265" s="27">
        <v>0</v>
      </c>
      <c r="AB265" s="27">
        <v>0</v>
      </c>
      <c r="AC265" s="27">
        <v>0</v>
      </c>
      <c r="AD265" s="27">
        <v>0</v>
      </c>
      <c r="AE265" s="27">
        <v>0</v>
      </c>
      <c r="AF265" s="27">
        <v>0</v>
      </c>
      <c r="AG265" s="27">
        <v>0</v>
      </c>
      <c r="AH265" s="27">
        <v>1</v>
      </c>
      <c r="AJ265">
        <f t="shared" si="4"/>
        <v>1</v>
      </c>
    </row>
    <row r="266" spans="1:36">
      <c r="A266" t="s">
        <v>1941</v>
      </c>
      <c r="B266" t="s">
        <v>1942</v>
      </c>
      <c r="C266" t="s">
        <v>1943</v>
      </c>
      <c r="D266" t="s">
        <v>1944</v>
      </c>
      <c r="E266">
        <v>2023</v>
      </c>
      <c r="F266" t="s">
        <v>1903</v>
      </c>
      <c r="G266">
        <v>1175</v>
      </c>
      <c r="H266">
        <v>1</v>
      </c>
      <c r="I266">
        <v>12018</v>
      </c>
      <c r="M266">
        <v>1</v>
      </c>
      <c r="N266" t="s">
        <v>1945</v>
      </c>
      <c r="O266" t="s">
        <v>1946</v>
      </c>
      <c r="P266" s="22" t="str">
        <f>HYPERLINK(O266)</f>
        <v>https://www.scopus.com/inward/record.uri?eid=2-s2.0-85160945082&amp;doi=10.1088%2f1755-1315%2f1175%2f1%2f012018&amp;partnerID=40&amp;md5=aa32f40901e93e5c87405a7712be2963</v>
      </c>
      <c r="Q266" t="s">
        <v>62</v>
      </c>
      <c r="R266" t="s">
        <v>48</v>
      </c>
      <c r="S266" t="s">
        <v>185</v>
      </c>
      <c r="T266" t="s">
        <v>6</v>
      </c>
      <c r="U266" t="s">
        <v>1947</v>
      </c>
      <c r="V266" s="36">
        <v>0</v>
      </c>
      <c r="W266" s="27">
        <v>0</v>
      </c>
      <c r="X266" s="27">
        <v>0</v>
      </c>
      <c r="Y266" s="27">
        <v>0</v>
      </c>
      <c r="Z266" s="27">
        <v>0</v>
      </c>
      <c r="AA266" s="27">
        <v>0</v>
      </c>
      <c r="AB266" s="27">
        <v>0</v>
      </c>
      <c r="AC266" s="27">
        <v>0</v>
      </c>
      <c r="AD266" s="27">
        <v>0</v>
      </c>
      <c r="AE266" s="27">
        <v>0</v>
      </c>
      <c r="AF266" s="27">
        <v>0</v>
      </c>
      <c r="AG266" s="27">
        <v>0</v>
      </c>
      <c r="AH266" s="27">
        <v>1</v>
      </c>
      <c r="AJ266">
        <f t="shared" si="4"/>
        <v>1</v>
      </c>
    </row>
    <row r="267" spans="1:36">
      <c r="D267" t="s">
        <v>1903</v>
      </c>
      <c r="E267">
        <v>2017</v>
      </c>
      <c r="F267" t="s">
        <v>1903</v>
      </c>
      <c r="G267">
        <v>98</v>
      </c>
      <c r="H267">
        <v>1</v>
      </c>
      <c r="L267">
        <v>580</v>
      </c>
      <c r="M267">
        <v>0</v>
      </c>
      <c r="O267" t="s">
        <v>1948</v>
      </c>
      <c r="P267" s="22" t="str">
        <f>HYPERLINK(O267)</f>
        <v>https://www.scopus.com/inward/record.uri?eid=2-s2.0-85039450901&amp;partnerID=40&amp;md5=34ad153495d32391efb15d093e662b35</v>
      </c>
      <c r="Q267" t="s">
        <v>47</v>
      </c>
      <c r="R267" t="s">
        <v>48</v>
      </c>
      <c r="T267" t="s">
        <v>6</v>
      </c>
      <c r="U267" t="s">
        <v>1949</v>
      </c>
      <c r="V267" s="36">
        <v>0</v>
      </c>
      <c r="W267" s="27">
        <v>0</v>
      </c>
      <c r="X267" s="27">
        <v>0</v>
      </c>
      <c r="Y267" s="27">
        <v>0</v>
      </c>
      <c r="Z267" s="27">
        <v>0</v>
      </c>
      <c r="AA267" s="27">
        <v>0</v>
      </c>
      <c r="AB267" s="27">
        <v>0</v>
      </c>
      <c r="AC267" s="27">
        <v>0</v>
      </c>
      <c r="AD267" s="27">
        <v>0</v>
      </c>
      <c r="AE267" s="27">
        <v>0</v>
      </c>
      <c r="AF267" s="27">
        <v>0</v>
      </c>
      <c r="AG267" s="27">
        <v>0</v>
      </c>
      <c r="AH267" s="27">
        <v>1</v>
      </c>
      <c r="AJ267">
        <f t="shared" si="4"/>
        <v>1</v>
      </c>
    </row>
    <row r="268" spans="1:36">
      <c r="A268" t="s">
        <v>1950</v>
      </c>
      <c r="B268" t="s">
        <v>1951</v>
      </c>
      <c r="C268" t="s">
        <v>1952</v>
      </c>
      <c r="D268" t="s">
        <v>1953</v>
      </c>
      <c r="E268">
        <v>2018</v>
      </c>
      <c r="F268" t="s">
        <v>1954</v>
      </c>
      <c r="G268">
        <v>335</v>
      </c>
      <c r="H268">
        <v>1</v>
      </c>
      <c r="I268">
        <v>12059</v>
      </c>
      <c r="M268">
        <v>1</v>
      </c>
      <c r="N268" t="s">
        <v>1955</v>
      </c>
      <c r="O268" t="s">
        <v>1956</v>
      </c>
      <c r="P268" s="22" t="str">
        <f>HYPERLINK(O268)</f>
        <v>https://www.scopus.com/inward/record.uri?eid=2-s2.0-85047760773&amp;doi=10.1088%2f1757-899X%2f335%2f1%2f012059&amp;partnerID=40&amp;md5=9351f140467cde1a56d88494e59c1291</v>
      </c>
      <c r="Q268" t="s">
        <v>62</v>
      </c>
      <c r="R268" t="s">
        <v>48</v>
      </c>
      <c r="S268" t="s">
        <v>185</v>
      </c>
      <c r="T268" t="s">
        <v>6</v>
      </c>
      <c r="U268" t="s">
        <v>1957</v>
      </c>
      <c r="V268" s="36">
        <v>0</v>
      </c>
      <c r="W268" s="27">
        <v>0</v>
      </c>
      <c r="X268" s="27">
        <v>0</v>
      </c>
      <c r="Y268" s="27">
        <v>0</v>
      </c>
      <c r="Z268" s="27">
        <v>0</v>
      </c>
      <c r="AA268" s="27">
        <v>0</v>
      </c>
      <c r="AB268" s="27">
        <v>0</v>
      </c>
      <c r="AC268" s="27">
        <v>0</v>
      </c>
      <c r="AD268" s="27">
        <v>0</v>
      </c>
      <c r="AE268" s="27">
        <v>0</v>
      </c>
      <c r="AF268" s="27">
        <v>0</v>
      </c>
      <c r="AG268" s="27">
        <v>0</v>
      </c>
      <c r="AH268" s="27">
        <v>1</v>
      </c>
      <c r="AJ268">
        <f t="shared" si="4"/>
        <v>1</v>
      </c>
    </row>
    <row r="269" spans="1:36">
      <c r="A269" t="s">
        <v>1958</v>
      </c>
      <c r="B269" t="s">
        <v>1959</v>
      </c>
      <c r="C269" t="s">
        <v>1960</v>
      </c>
      <c r="D269" t="s">
        <v>1961</v>
      </c>
      <c r="E269">
        <v>2020</v>
      </c>
      <c r="F269" t="s">
        <v>1954</v>
      </c>
      <c r="G269">
        <v>780</v>
      </c>
      <c r="H269">
        <v>6</v>
      </c>
      <c r="I269">
        <v>62001</v>
      </c>
      <c r="M269">
        <v>1</v>
      </c>
      <c r="N269" t="s">
        <v>1962</v>
      </c>
      <c r="O269" t="s">
        <v>1963</v>
      </c>
      <c r="P269" s="22" t="str">
        <f>HYPERLINK(O269)</f>
        <v>https://www.scopus.com/inward/record.uri?eid=2-s2.0-85083233671&amp;doi=10.1088%2f1757-899X%2f780%2f6%2f062001&amp;partnerID=40&amp;md5=1eadd7c789c31aa1533f4d117f2938b6</v>
      </c>
      <c r="Q269" t="s">
        <v>62</v>
      </c>
      <c r="R269" t="s">
        <v>48</v>
      </c>
      <c r="S269" t="s">
        <v>185</v>
      </c>
      <c r="T269" t="s">
        <v>6</v>
      </c>
      <c r="U269" t="s">
        <v>1964</v>
      </c>
      <c r="V269" s="36">
        <v>0</v>
      </c>
      <c r="W269" s="27">
        <v>1</v>
      </c>
      <c r="X269" s="27">
        <v>0</v>
      </c>
      <c r="Y269" s="27">
        <v>0</v>
      </c>
      <c r="Z269" s="27">
        <v>0</v>
      </c>
      <c r="AA269" s="27">
        <v>0</v>
      </c>
      <c r="AB269" s="27">
        <v>0</v>
      </c>
      <c r="AC269" s="27">
        <v>0</v>
      </c>
      <c r="AD269" s="27">
        <v>0</v>
      </c>
      <c r="AE269" s="27">
        <v>0</v>
      </c>
      <c r="AF269" s="27">
        <v>0</v>
      </c>
      <c r="AG269" s="27">
        <v>0</v>
      </c>
      <c r="AH269" s="27">
        <v>0</v>
      </c>
      <c r="AJ269">
        <f t="shared" si="4"/>
        <v>1</v>
      </c>
    </row>
    <row r="270" spans="1:36">
      <c r="A270" t="s">
        <v>1965</v>
      </c>
      <c r="B270" t="s">
        <v>1966</v>
      </c>
      <c r="C270" t="s">
        <v>1967</v>
      </c>
      <c r="D270" t="s">
        <v>1968</v>
      </c>
      <c r="E270">
        <v>2020</v>
      </c>
      <c r="F270" t="s">
        <v>1954</v>
      </c>
      <c r="G270">
        <v>846</v>
      </c>
      <c r="H270">
        <v>1</v>
      </c>
      <c r="I270">
        <v>12062</v>
      </c>
      <c r="M270">
        <v>2</v>
      </c>
      <c r="N270" t="s">
        <v>1969</v>
      </c>
      <c r="O270" t="s">
        <v>1970</v>
      </c>
      <c r="P270" s="22" t="str">
        <f>HYPERLINK(O270)</f>
        <v>https://www.scopus.com/inward/record.uri?eid=2-s2.0-85086403122&amp;doi=10.1088%2f1757-899X%2f846%2f1%2f012062&amp;partnerID=40&amp;md5=61c403e2a905dec66c56cd77885ca395</v>
      </c>
      <c r="Q270" t="s">
        <v>62</v>
      </c>
      <c r="R270" t="s">
        <v>48</v>
      </c>
      <c r="S270" t="s">
        <v>185</v>
      </c>
      <c r="T270" t="s">
        <v>6</v>
      </c>
      <c r="U270" t="s">
        <v>1971</v>
      </c>
      <c r="V270" s="36">
        <v>0</v>
      </c>
      <c r="W270" s="27">
        <v>0</v>
      </c>
      <c r="X270" s="27">
        <v>0</v>
      </c>
      <c r="Y270" s="27">
        <v>0</v>
      </c>
      <c r="Z270" s="27">
        <v>0</v>
      </c>
      <c r="AA270" s="27">
        <v>0</v>
      </c>
      <c r="AB270" s="27">
        <v>0</v>
      </c>
      <c r="AC270" s="27">
        <v>0</v>
      </c>
      <c r="AD270" s="27">
        <v>0</v>
      </c>
      <c r="AE270" s="27">
        <v>0</v>
      </c>
      <c r="AF270" s="27">
        <v>0</v>
      </c>
      <c r="AG270" s="27">
        <v>0</v>
      </c>
      <c r="AH270" s="27">
        <v>1</v>
      </c>
      <c r="AJ270">
        <f t="shared" si="4"/>
        <v>1</v>
      </c>
    </row>
    <row r="271" spans="1:36">
      <c r="A271" t="s">
        <v>1972</v>
      </c>
      <c r="B271" t="s">
        <v>1973</v>
      </c>
      <c r="C271" t="s">
        <v>1974</v>
      </c>
      <c r="D271" t="s">
        <v>1975</v>
      </c>
      <c r="E271">
        <v>2024</v>
      </c>
      <c r="F271" t="s">
        <v>1976</v>
      </c>
      <c r="G271">
        <v>57</v>
      </c>
      <c r="H271">
        <v>1</v>
      </c>
      <c r="J271">
        <v>159</v>
      </c>
      <c r="K271">
        <v>168</v>
      </c>
      <c r="L271">
        <v>9</v>
      </c>
      <c r="M271">
        <v>6</v>
      </c>
      <c r="N271" t="s">
        <v>1977</v>
      </c>
      <c r="O271" t="s">
        <v>1978</v>
      </c>
      <c r="P271" s="22" t="str">
        <f>HYPERLINK(O271)</f>
        <v>https://www.scopus.com/inward/record.uri?eid=2-s2.0-85191317780&amp;doi=10.46717%2figj.57.1A.13ms-2024-1-24&amp;partnerID=40&amp;md5=79951c2e8730cfaf8410d3af9dd68d78</v>
      </c>
      <c r="Q271" t="s">
        <v>156</v>
      </c>
      <c r="R271" t="s">
        <v>48</v>
      </c>
      <c r="S271" t="s">
        <v>185</v>
      </c>
      <c r="T271" t="s">
        <v>6</v>
      </c>
      <c r="U271" t="s">
        <v>1979</v>
      </c>
      <c r="V271" s="36">
        <v>0</v>
      </c>
      <c r="W271" s="27">
        <v>0</v>
      </c>
      <c r="X271" s="27">
        <v>0</v>
      </c>
      <c r="Y271" s="27">
        <v>0</v>
      </c>
      <c r="Z271" s="27">
        <v>0</v>
      </c>
      <c r="AA271" s="27">
        <v>0</v>
      </c>
      <c r="AB271" s="27">
        <v>0</v>
      </c>
      <c r="AC271" s="27">
        <v>0</v>
      </c>
      <c r="AD271" s="27">
        <v>0</v>
      </c>
      <c r="AE271" s="27">
        <v>0</v>
      </c>
      <c r="AF271" s="27">
        <v>0</v>
      </c>
      <c r="AG271" s="27">
        <v>0</v>
      </c>
      <c r="AH271" s="27">
        <v>1</v>
      </c>
      <c r="AJ271">
        <f t="shared" si="4"/>
        <v>1</v>
      </c>
    </row>
    <row r="272" spans="1:36">
      <c r="A272" t="s">
        <v>1980</v>
      </c>
      <c r="B272" t="s">
        <v>1981</v>
      </c>
      <c r="C272">
        <v>7103277978</v>
      </c>
      <c r="D272" t="s">
        <v>1982</v>
      </c>
      <c r="E272">
        <v>2014</v>
      </c>
      <c r="F272" t="s">
        <v>1983</v>
      </c>
      <c r="G272">
        <v>9</v>
      </c>
      <c r="H272">
        <v>2</v>
      </c>
      <c r="J272">
        <v>383</v>
      </c>
      <c r="K272">
        <v>384</v>
      </c>
      <c r="L272">
        <v>1</v>
      </c>
      <c r="M272">
        <v>0</v>
      </c>
      <c r="O272" t="s">
        <v>1984</v>
      </c>
      <c r="P272" s="22" t="str">
        <f>HYPERLINK(O272)</f>
        <v>https://www.scopus.com/inward/record.uri?eid=2-s2.0-84922787226&amp;partnerID=40&amp;md5=61b71c84fe1311670ed546b27be620a6</v>
      </c>
      <c r="Q272" t="s">
        <v>156</v>
      </c>
      <c r="R272" t="s">
        <v>48</v>
      </c>
      <c r="T272" t="s">
        <v>6</v>
      </c>
      <c r="U272" t="s">
        <v>1985</v>
      </c>
      <c r="V272" s="36">
        <v>0</v>
      </c>
      <c r="W272" s="27">
        <v>1</v>
      </c>
      <c r="X272" s="27">
        <v>0</v>
      </c>
      <c r="Y272" s="27">
        <v>0</v>
      </c>
      <c r="Z272" s="27">
        <v>0</v>
      </c>
      <c r="AA272" s="27">
        <v>0</v>
      </c>
      <c r="AB272" s="27">
        <v>0</v>
      </c>
      <c r="AC272" s="27">
        <v>0</v>
      </c>
      <c r="AD272" s="27">
        <v>0</v>
      </c>
      <c r="AE272" s="27">
        <v>0</v>
      </c>
      <c r="AF272" s="27">
        <v>0</v>
      </c>
      <c r="AG272" s="27">
        <v>0</v>
      </c>
      <c r="AH272" s="27">
        <v>0</v>
      </c>
      <c r="AJ272">
        <f t="shared" si="4"/>
        <v>1</v>
      </c>
    </row>
    <row r="273" spans="1:36">
      <c r="A273" t="s">
        <v>1986</v>
      </c>
      <c r="B273" t="s">
        <v>1987</v>
      </c>
      <c r="C273">
        <v>56333914000</v>
      </c>
      <c r="D273" t="s">
        <v>1988</v>
      </c>
      <c r="E273">
        <v>2014</v>
      </c>
      <c r="F273" t="s">
        <v>1983</v>
      </c>
      <c r="G273">
        <v>9</v>
      </c>
      <c r="H273">
        <v>2</v>
      </c>
      <c r="J273">
        <v>373</v>
      </c>
      <c r="K273">
        <v>376</v>
      </c>
      <c r="L273">
        <v>3</v>
      </c>
      <c r="M273">
        <v>3</v>
      </c>
      <c r="N273" t="s">
        <v>1989</v>
      </c>
      <c r="O273" t="s">
        <v>1990</v>
      </c>
      <c r="P273" s="22" t="str">
        <f>HYPERLINK(O273)</f>
        <v>https://www.scopus.com/inward/record.uri?eid=2-s2.0-84922817674&amp;doi=10.24043%2fisj.313&amp;partnerID=40&amp;md5=e62c05dbbd574cd6800b9c5e16c6530f</v>
      </c>
      <c r="Q273" t="s">
        <v>156</v>
      </c>
      <c r="R273" t="s">
        <v>48</v>
      </c>
      <c r="T273" t="s">
        <v>6</v>
      </c>
      <c r="U273" t="s">
        <v>1991</v>
      </c>
      <c r="V273" s="36">
        <v>0</v>
      </c>
      <c r="W273" s="27">
        <v>1</v>
      </c>
      <c r="X273" s="27">
        <v>0</v>
      </c>
      <c r="Y273" s="27">
        <v>0</v>
      </c>
      <c r="Z273" s="27">
        <v>0</v>
      </c>
      <c r="AA273" s="27">
        <v>0</v>
      </c>
      <c r="AB273" s="27">
        <v>0</v>
      </c>
      <c r="AC273" s="27">
        <v>0</v>
      </c>
      <c r="AD273" s="27">
        <v>0</v>
      </c>
      <c r="AE273" s="27">
        <v>0</v>
      </c>
      <c r="AF273" s="27">
        <v>0</v>
      </c>
      <c r="AG273" s="27">
        <v>0</v>
      </c>
      <c r="AH273" s="27">
        <v>0</v>
      </c>
      <c r="AJ273">
        <f t="shared" si="4"/>
        <v>1</v>
      </c>
    </row>
    <row r="274" spans="1:36">
      <c r="A274" t="s">
        <v>1992</v>
      </c>
      <c r="B274" t="s">
        <v>1993</v>
      </c>
      <c r="C274" t="s">
        <v>1994</v>
      </c>
      <c r="D274" t="s">
        <v>1995</v>
      </c>
      <c r="E274">
        <v>2019</v>
      </c>
      <c r="F274" t="s">
        <v>1983</v>
      </c>
      <c r="G274">
        <v>14</v>
      </c>
      <c r="H274">
        <v>2</v>
      </c>
      <c r="J274">
        <v>3</v>
      </c>
      <c r="K274">
        <v>22</v>
      </c>
      <c r="L274">
        <v>19</v>
      </c>
      <c r="M274">
        <v>13</v>
      </c>
      <c r="N274" t="s">
        <v>1996</v>
      </c>
      <c r="O274" t="s">
        <v>1997</v>
      </c>
      <c r="P274" s="22" t="str">
        <f>HYPERLINK(O274)</f>
        <v>https://www.scopus.com/inward/record.uri?eid=2-s2.0-85074877623&amp;doi=10.24043%2fisj.90&amp;partnerID=40&amp;md5=42582de0b21f1c56195e814f69065a0d</v>
      </c>
      <c r="Q274" t="s">
        <v>156</v>
      </c>
      <c r="R274" t="s">
        <v>48</v>
      </c>
      <c r="S274" t="s">
        <v>185</v>
      </c>
      <c r="T274" t="s">
        <v>6</v>
      </c>
      <c r="U274" t="s">
        <v>1998</v>
      </c>
      <c r="V274" s="36">
        <v>0</v>
      </c>
      <c r="W274" s="27">
        <v>0</v>
      </c>
      <c r="X274" s="27">
        <v>0</v>
      </c>
      <c r="Y274" s="27">
        <v>0</v>
      </c>
      <c r="Z274" s="27">
        <v>0</v>
      </c>
      <c r="AA274" s="27">
        <v>0</v>
      </c>
      <c r="AB274" s="27">
        <v>0</v>
      </c>
      <c r="AC274" s="27">
        <v>0</v>
      </c>
      <c r="AD274" s="27">
        <v>0</v>
      </c>
      <c r="AE274" s="27">
        <v>0</v>
      </c>
      <c r="AF274" s="27">
        <v>0</v>
      </c>
      <c r="AG274" s="27">
        <v>1</v>
      </c>
      <c r="AH274" s="27">
        <v>0</v>
      </c>
      <c r="AJ274">
        <f t="shared" si="4"/>
        <v>1</v>
      </c>
    </row>
    <row r="275" spans="1:36">
      <c r="A275" t="s">
        <v>1999</v>
      </c>
      <c r="B275" t="s">
        <v>2000</v>
      </c>
      <c r="C275" t="s">
        <v>2001</v>
      </c>
      <c r="D275" t="s">
        <v>2002</v>
      </c>
      <c r="E275">
        <v>2024</v>
      </c>
      <c r="F275" t="s">
        <v>2003</v>
      </c>
      <c r="G275">
        <v>13</v>
      </c>
      <c r="H275">
        <v>4</v>
      </c>
      <c r="I275">
        <v>139</v>
      </c>
      <c r="M275">
        <v>1</v>
      </c>
      <c r="N275" t="s">
        <v>2004</v>
      </c>
      <c r="O275" t="s">
        <v>2005</v>
      </c>
      <c r="P275" s="22" t="str">
        <f>HYPERLINK(O275)</f>
        <v>https://www.scopus.com/inward/record.uri?eid=2-s2.0-85191358300&amp;doi=10.3390%2fijgi13040139&amp;partnerID=40&amp;md5=d113691a9b313ef43ffa7d8b6e32e25c</v>
      </c>
      <c r="Q275" t="s">
        <v>156</v>
      </c>
      <c r="R275" t="s">
        <v>48</v>
      </c>
      <c r="S275" t="s">
        <v>185</v>
      </c>
      <c r="T275" t="s">
        <v>6</v>
      </c>
      <c r="U275" t="s">
        <v>2006</v>
      </c>
      <c r="V275" s="36">
        <v>0</v>
      </c>
      <c r="W275" s="27">
        <v>1</v>
      </c>
      <c r="X275" s="27">
        <v>0</v>
      </c>
      <c r="Y275" s="27">
        <v>0</v>
      </c>
      <c r="Z275" s="27">
        <v>0</v>
      </c>
      <c r="AA275" s="27">
        <v>0</v>
      </c>
      <c r="AB275" s="27">
        <v>0</v>
      </c>
      <c r="AC275" s="27">
        <v>0</v>
      </c>
      <c r="AD275" s="27">
        <v>0</v>
      </c>
      <c r="AE275" s="27">
        <v>0</v>
      </c>
      <c r="AF275" s="27">
        <v>0</v>
      </c>
      <c r="AG275" s="27">
        <v>0</v>
      </c>
      <c r="AH275" s="27">
        <v>0</v>
      </c>
      <c r="AJ275">
        <f t="shared" si="4"/>
        <v>1</v>
      </c>
    </row>
    <row r="276" spans="1:36">
      <c r="A276" t="s">
        <v>2007</v>
      </c>
      <c r="B276" t="s">
        <v>2008</v>
      </c>
      <c r="C276" t="s">
        <v>2009</v>
      </c>
      <c r="D276" t="s">
        <v>2010</v>
      </c>
      <c r="E276">
        <v>2010</v>
      </c>
      <c r="F276" t="s">
        <v>2011</v>
      </c>
      <c r="J276">
        <v>331</v>
      </c>
      <c r="K276">
        <v>337</v>
      </c>
      <c r="L276">
        <v>6</v>
      </c>
      <c r="M276">
        <v>0</v>
      </c>
      <c r="N276" t="s">
        <v>2012</v>
      </c>
      <c r="O276" t="s">
        <v>2013</v>
      </c>
      <c r="P276" s="22" t="str">
        <f>HYPERLINK(O276)</f>
        <v>https://www.scopus.com/inward/record.uri?eid=2-s2.0-85059050771&amp;doi=10.1201%2fb10549-48&amp;partnerID=40&amp;md5=69baf619520328e376c5ccf1dbf997f1</v>
      </c>
      <c r="Q276" t="s">
        <v>62</v>
      </c>
      <c r="R276" t="s">
        <v>48</v>
      </c>
      <c r="T276" t="s">
        <v>6</v>
      </c>
      <c r="U276" t="s">
        <v>2014</v>
      </c>
      <c r="V276" s="36">
        <v>0</v>
      </c>
      <c r="W276" s="27">
        <v>1</v>
      </c>
      <c r="X276" s="27">
        <v>0</v>
      </c>
      <c r="Y276" s="27">
        <v>0</v>
      </c>
      <c r="Z276" s="27">
        <v>0</v>
      </c>
      <c r="AA276" s="27">
        <v>0</v>
      </c>
      <c r="AB276" s="27">
        <v>0</v>
      </c>
      <c r="AC276" s="27">
        <v>0</v>
      </c>
      <c r="AD276" s="27">
        <v>0</v>
      </c>
      <c r="AE276" s="27">
        <v>0</v>
      </c>
      <c r="AF276" s="27">
        <v>0</v>
      </c>
      <c r="AG276" s="27">
        <v>0</v>
      </c>
      <c r="AH276" s="27">
        <v>0</v>
      </c>
      <c r="AJ276">
        <f t="shared" si="4"/>
        <v>1</v>
      </c>
    </row>
    <row r="277" spans="1:36">
      <c r="A277" t="s">
        <v>2015</v>
      </c>
      <c r="B277" t="s">
        <v>2016</v>
      </c>
      <c r="C277">
        <v>57198673798</v>
      </c>
      <c r="D277" t="s">
        <v>2017</v>
      </c>
      <c r="E277">
        <v>2002</v>
      </c>
      <c r="F277" t="s">
        <v>2018</v>
      </c>
      <c r="G277">
        <v>55</v>
      </c>
      <c r="H277" s="32">
        <v>45813</v>
      </c>
      <c r="J277">
        <v>160</v>
      </c>
      <c r="K277">
        <v>164</v>
      </c>
      <c r="L277">
        <v>4</v>
      </c>
      <c r="M277">
        <v>0</v>
      </c>
      <c r="O277" t="s">
        <v>2019</v>
      </c>
      <c r="P277" s="22" t="str">
        <f>HYPERLINK(O277)</f>
        <v>https://www.scopus.com/inward/record.uri?eid=2-s2.0-70450032869&amp;partnerID=40&amp;md5=48068476f0540de3409ac759d84d6d9c</v>
      </c>
      <c r="Q277" t="s">
        <v>156</v>
      </c>
      <c r="R277" t="s">
        <v>48</v>
      </c>
      <c r="T277" t="s">
        <v>6</v>
      </c>
      <c r="U277" t="s">
        <v>2020</v>
      </c>
      <c r="V277" s="36">
        <v>0</v>
      </c>
      <c r="W277" s="27">
        <v>1</v>
      </c>
      <c r="X277" s="27">
        <v>0</v>
      </c>
      <c r="Y277" s="27">
        <v>0</v>
      </c>
      <c r="Z277" s="27">
        <v>0</v>
      </c>
      <c r="AA277" s="27">
        <v>0</v>
      </c>
      <c r="AB277" s="27">
        <v>0</v>
      </c>
      <c r="AC277" s="27">
        <v>0</v>
      </c>
      <c r="AD277" s="27">
        <v>0</v>
      </c>
      <c r="AE277" s="27">
        <v>0</v>
      </c>
      <c r="AF277" s="27">
        <v>0</v>
      </c>
      <c r="AG277" s="27">
        <v>0</v>
      </c>
      <c r="AH277" s="27">
        <v>0</v>
      </c>
      <c r="AJ277">
        <f t="shared" si="4"/>
        <v>1</v>
      </c>
    </row>
    <row r="278" spans="1:36">
      <c r="A278" t="s">
        <v>2021</v>
      </c>
      <c r="B278" t="s">
        <v>2022</v>
      </c>
      <c r="C278" t="s">
        <v>2023</v>
      </c>
      <c r="D278" t="s">
        <v>2024</v>
      </c>
      <c r="E278">
        <v>2014</v>
      </c>
      <c r="F278" t="s">
        <v>2018</v>
      </c>
      <c r="G278">
        <v>67</v>
      </c>
      <c r="H278">
        <v>2</v>
      </c>
      <c r="J278">
        <v>82</v>
      </c>
      <c r="K278">
        <v>89</v>
      </c>
      <c r="L278">
        <v>7</v>
      </c>
      <c r="M278">
        <v>9</v>
      </c>
      <c r="O278" t="s">
        <v>2025</v>
      </c>
      <c r="P278" s="22" t="str">
        <f>HYPERLINK(O278)</f>
        <v>https://www.scopus.com/inward/record.uri?eid=2-s2.0-84903200614&amp;partnerID=40&amp;md5=87f7f5062c11cedf0643c1383d28522f</v>
      </c>
      <c r="Q278" t="s">
        <v>62</v>
      </c>
      <c r="R278" t="s">
        <v>48</v>
      </c>
      <c r="T278" t="s">
        <v>6</v>
      </c>
      <c r="U278" t="s">
        <v>2026</v>
      </c>
      <c r="V278" s="36">
        <v>0</v>
      </c>
      <c r="W278" s="27">
        <v>1</v>
      </c>
      <c r="X278" s="27">
        <v>0</v>
      </c>
      <c r="Y278" s="27">
        <v>0</v>
      </c>
      <c r="Z278" s="27">
        <v>0</v>
      </c>
      <c r="AA278" s="27">
        <v>0</v>
      </c>
      <c r="AB278" s="27">
        <v>0</v>
      </c>
      <c r="AC278" s="27">
        <v>0</v>
      </c>
      <c r="AD278" s="27">
        <v>0</v>
      </c>
      <c r="AE278" s="27">
        <v>0</v>
      </c>
      <c r="AF278" s="27">
        <v>0</v>
      </c>
      <c r="AG278" s="27">
        <v>0</v>
      </c>
      <c r="AH278" s="27">
        <v>0</v>
      </c>
      <c r="AJ278">
        <f t="shared" si="4"/>
        <v>1</v>
      </c>
    </row>
    <row r="279" spans="1:36">
      <c r="A279" t="s">
        <v>2027</v>
      </c>
      <c r="B279" t="s">
        <v>2028</v>
      </c>
      <c r="C279">
        <v>6506617917</v>
      </c>
      <c r="D279" t="s">
        <v>2029</v>
      </c>
      <c r="E279">
        <v>2002</v>
      </c>
      <c r="F279" t="s">
        <v>2018</v>
      </c>
      <c r="G279">
        <v>55</v>
      </c>
      <c r="H279" s="32">
        <v>45813</v>
      </c>
      <c r="J279">
        <v>188</v>
      </c>
      <c r="K279">
        <v>192</v>
      </c>
      <c r="L279">
        <v>4</v>
      </c>
      <c r="M279">
        <v>0</v>
      </c>
      <c r="O279" t="s">
        <v>2030</v>
      </c>
      <c r="P279" s="22" t="str">
        <f>HYPERLINK(O279)</f>
        <v>https://www.scopus.com/inward/record.uri?eid=2-s2.0-70450092798&amp;partnerID=40&amp;md5=e626dc718d4786d476674d30541349af</v>
      </c>
      <c r="Q279" t="s">
        <v>156</v>
      </c>
      <c r="R279" t="s">
        <v>48</v>
      </c>
      <c r="T279" t="s">
        <v>6</v>
      </c>
      <c r="U279" t="s">
        <v>2031</v>
      </c>
      <c r="V279" s="36">
        <v>0</v>
      </c>
      <c r="W279" s="27">
        <v>1</v>
      </c>
      <c r="X279" s="27">
        <v>0</v>
      </c>
      <c r="Y279" s="27">
        <v>0</v>
      </c>
      <c r="Z279" s="27">
        <v>0</v>
      </c>
      <c r="AA279" s="27">
        <v>0</v>
      </c>
      <c r="AB279" s="27">
        <v>0</v>
      </c>
      <c r="AC279" s="27">
        <v>0</v>
      </c>
      <c r="AD279" s="27">
        <v>0</v>
      </c>
      <c r="AE279" s="27">
        <v>0</v>
      </c>
      <c r="AF279" s="27">
        <v>0</v>
      </c>
      <c r="AG279" s="27">
        <v>0</v>
      </c>
      <c r="AH279" s="27">
        <v>0</v>
      </c>
      <c r="AJ279">
        <f t="shared" si="4"/>
        <v>1</v>
      </c>
    </row>
    <row r="280" spans="1:36">
      <c r="A280" t="s">
        <v>2032</v>
      </c>
      <c r="B280" t="s">
        <v>2033</v>
      </c>
      <c r="C280">
        <v>57191500383</v>
      </c>
      <c r="D280" t="s">
        <v>2034</v>
      </c>
      <c r="E280">
        <v>2002</v>
      </c>
      <c r="F280" t="s">
        <v>2035</v>
      </c>
      <c r="G280">
        <v>15</v>
      </c>
      <c r="H280">
        <v>1</v>
      </c>
      <c r="J280">
        <v>10</v>
      </c>
      <c r="K280">
        <v>19</v>
      </c>
      <c r="L280">
        <v>9</v>
      </c>
      <c r="M280">
        <v>6</v>
      </c>
      <c r="N280" t="s">
        <v>2036</v>
      </c>
      <c r="O280" t="s">
        <v>2037</v>
      </c>
      <c r="P280" s="22" t="str">
        <f>HYPERLINK(O280)</f>
        <v>https://www.scopus.com/inward/record.uri?eid=2-s2.0-0036170095&amp;doi=10.1061%2f%28ASCE%290893-1321%282002%2915%3a1%2810%29&amp;partnerID=40&amp;md5=8b501b3e08c3abe06b2d4e80220296f1</v>
      </c>
      <c r="Q280" t="s">
        <v>156</v>
      </c>
      <c r="R280" t="s">
        <v>48</v>
      </c>
      <c r="T280" t="s">
        <v>6</v>
      </c>
      <c r="U280" t="s">
        <v>2038</v>
      </c>
      <c r="V280" s="36">
        <v>0</v>
      </c>
      <c r="W280" s="27">
        <v>1</v>
      </c>
      <c r="X280" s="27">
        <v>0</v>
      </c>
      <c r="Y280" s="27">
        <v>0</v>
      </c>
      <c r="Z280" s="27">
        <v>0</v>
      </c>
      <c r="AA280" s="27">
        <v>0</v>
      </c>
      <c r="AB280" s="27">
        <v>0</v>
      </c>
      <c r="AC280" s="27">
        <v>0</v>
      </c>
      <c r="AD280" s="27">
        <v>0</v>
      </c>
      <c r="AE280" s="27">
        <v>0</v>
      </c>
      <c r="AF280" s="27">
        <v>0</v>
      </c>
      <c r="AG280" s="27">
        <v>0</v>
      </c>
      <c r="AH280" s="27">
        <v>0</v>
      </c>
      <c r="AJ280">
        <f t="shared" si="4"/>
        <v>1</v>
      </c>
    </row>
    <row r="281" spans="1:36">
      <c r="A281" t="s">
        <v>2039</v>
      </c>
      <c r="B281" t="s">
        <v>2040</v>
      </c>
      <c r="C281" t="s">
        <v>2041</v>
      </c>
      <c r="D281" t="s">
        <v>2042</v>
      </c>
      <c r="E281">
        <v>1997</v>
      </c>
      <c r="F281" t="s">
        <v>2035</v>
      </c>
      <c r="G281">
        <v>10</v>
      </c>
      <c r="H281">
        <v>2</v>
      </c>
      <c r="J281">
        <v>94</v>
      </c>
      <c r="K281">
        <v>103</v>
      </c>
      <c r="L281">
        <v>9</v>
      </c>
      <c r="M281">
        <v>7</v>
      </c>
      <c r="N281" t="s">
        <v>2043</v>
      </c>
      <c r="O281" t="s">
        <v>2044</v>
      </c>
      <c r="P281" s="22" t="str">
        <f>HYPERLINK(O281)</f>
        <v>https://www.scopus.com/inward/record.uri?eid=2-s2.0-0031125924&amp;doi=10.1061%2f%28asce%290893-1321%281997%2910%3a2%2894%29&amp;partnerID=40&amp;md5=ce452fc8f2b042fe7706ec0f614be212</v>
      </c>
      <c r="Q281" t="s">
        <v>156</v>
      </c>
      <c r="R281" t="s">
        <v>48</v>
      </c>
      <c r="T281" t="s">
        <v>6</v>
      </c>
      <c r="U281" t="s">
        <v>2045</v>
      </c>
      <c r="V281" s="36">
        <v>0</v>
      </c>
      <c r="W281" s="27">
        <v>1</v>
      </c>
      <c r="X281" s="27">
        <v>0</v>
      </c>
      <c r="Y281" s="27">
        <v>0</v>
      </c>
      <c r="Z281" s="27">
        <v>0</v>
      </c>
      <c r="AA281" s="27">
        <v>0</v>
      </c>
      <c r="AB281" s="27">
        <v>0</v>
      </c>
      <c r="AC281" s="27">
        <v>0</v>
      </c>
      <c r="AD281" s="27">
        <v>0</v>
      </c>
      <c r="AE281" s="27">
        <v>0</v>
      </c>
      <c r="AF281" s="27">
        <v>0</v>
      </c>
      <c r="AG281" s="27">
        <v>0</v>
      </c>
      <c r="AH281" s="27">
        <v>0</v>
      </c>
      <c r="AJ281">
        <f t="shared" si="4"/>
        <v>1</v>
      </c>
    </row>
    <row r="282" spans="1:36">
      <c r="A282" t="s">
        <v>2046</v>
      </c>
      <c r="B282" t="s">
        <v>2047</v>
      </c>
      <c r="C282" t="s">
        <v>2048</v>
      </c>
      <c r="D282" t="s">
        <v>2049</v>
      </c>
      <c r="E282">
        <v>2018</v>
      </c>
      <c r="F282" t="s">
        <v>2050</v>
      </c>
      <c r="G282">
        <v>145</v>
      </c>
      <c r="J282">
        <v>284</v>
      </c>
      <c r="K282">
        <v>296</v>
      </c>
      <c r="L282">
        <v>12</v>
      </c>
      <c r="M282">
        <v>4</v>
      </c>
      <c r="N282" t="s">
        <v>2051</v>
      </c>
      <c r="O282" t="s">
        <v>2052</v>
      </c>
      <c r="P282" s="22" t="str">
        <f>HYPERLINK(O282)</f>
        <v>https://www.scopus.com/inward/record.uri?eid=2-s2.0-85048303133&amp;doi=10.1016%2fj.jafrearsci.2018.05.021&amp;partnerID=40&amp;md5=ec90037c8ac06d098ff9758551f18e58</v>
      </c>
      <c r="Q282" t="s">
        <v>156</v>
      </c>
      <c r="R282" t="s">
        <v>48</v>
      </c>
      <c r="T282" t="s">
        <v>6</v>
      </c>
      <c r="U282" t="s">
        <v>2053</v>
      </c>
      <c r="V282" s="36">
        <v>0</v>
      </c>
      <c r="W282" s="27">
        <v>0</v>
      </c>
      <c r="X282" s="27">
        <v>0</v>
      </c>
      <c r="Y282" s="27">
        <v>0</v>
      </c>
      <c r="Z282" s="27">
        <v>0</v>
      </c>
      <c r="AA282" s="27">
        <v>0</v>
      </c>
      <c r="AB282" s="27">
        <v>0</v>
      </c>
      <c r="AC282" s="27">
        <v>0</v>
      </c>
      <c r="AD282" s="27">
        <v>0</v>
      </c>
      <c r="AE282" s="27">
        <v>0</v>
      </c>
      <c r="AF282" s="27">
        <v>0</v>
      </c>
      <c r="AG282" s="27">
        <v>0</v>
      </c>
      <c r="AH282" s="27">
        <v>1</v>
      </c>
      <c r="AJ282">
        <f t="shared" si="4"/>
        <v>1</v>
      </c>
    </row>
    <row r="283" spans="1:36">
      <c r="A283" t="s">
        <v>2054</v>
      </c>
      <c r="B283" t="s">
        <v>2055</v>
      </c>
      <c r="C283" t="s">
        <v>2056</v>
      </c>
      <c r="D283" t="s">
        <v>2057</v>
      </c>
      <c r="E283">
        <v>2016</v>
      </c>
      <c r="F283" t="s">
        <v>2058</v>
      </c>
      <c r="G283">
        <v>55</v>
      </c>
      <c r="J283">
        <v>76</v>
      </c>
      <c r="K283">
        <v>83</v>
      </c>
      <c r="L283">
        <v>7</v>
      </c>
      <c r="M283">
        <v>7</v>
      </c>
      <c r="N283" t="s">
        <v>2059</v>
      </c>
      <c r="O283" t="s">
        <v>2060</v>
      </c>
      <c r="P283" s="22" t="str">
        <f>HYPERLINK(O283)</f>
        <v>https://www.scopus.com/inward/record.uri?eid=2-s2.0-84965138676&amp;doi=10.1016%2fj.jairtraman.2016.04.011&amp;partnerID=40&amp;md5=4f0f80713af376f4f9de1a0402238fff</v>
      </c>
      <c r="Q283" t="s">
        <v>156</v>
      </c>
      <c r="R283" t="s">
        <v>48</v>
      </c>
      <c r="T283" t="s">
        <v>6</v>
      </c>
      <c r="U283" t="s">
        <v>2061</v>
      </c>
      <c r="V283" s="36">
        <v>1</v>
      </c>
      <c r="W283" s="27">
        <v>0</v>
      </c>
      <c r="X283" s="27">
        <v>0</v>
      </c>
      <c r="Y283" s="27">
        <v>0</v>
      </c>
      <c r="Z283" s="27">
        <v>0</v>
      </c>
      <c r="AA283" s="27">
        <v>0</v>
      </c>
      <c r="AB283" s="27">
        <v>0</v>
      </c>
      <c r="AC283" s="27">
        <v>0</v>
      </c>
      <c r="AD283" s="27">
        <v>0</v>
      </c>
      <c r="AE283" s="27">
        <v>0</v>
      </c>
      <c r="AF283" s="27">
        <v>0</v>
      </c>
      <c r="AG283" s="27">
        <v>0</v>
      </c>
      <c r="AH283" s="27">
        <v>0</v>
      </c>
      <c r="AJ283">
        <f t="shared" si="4"/>
        <v>1</v>
      </c>
    </row>
    <row r="284" spans="1:36">
      <c r="A284" t="s">
        <v>2062</v>
      </c>
      <c r="B284" t="s">
        <v>2063</v>
      </c>
      <c r="C284" t="s">
        <v>2064</v>
      </c>
      <c r="D284" t="s">
        <v>2065</v>
      </c>
      <c r="E284">
        <v>2016</v>
      </c>
      <c r="F284" t="s">
        <v>2058</v>
      </c>
      <c r="G284">
        <v>50</v>
      </c>
      <c r="J284">
        <v>1</v>
      </c>
      <c r="K284">
        <v>11</v>
      </c>
      <c r="L284">
        <v>10</v>
      </c>
      <c r="M284">
        <v>20</v>
      </c>
      <c r="N284" t="s">
        <v>2066</v>
      </c>
      <c r="O284" t="s">
        <v>2067</v>
      </c>
      <c r="P284" s="22" t="str">
        <f>HYPERLINK(O284)</f>
        <v>https://www.scopus.com/inward/record.uri?eid=2-s2.0-84941709853&amp;doi=10.1016%2fj.jairtraman.2015.09.001&amp;partnerID=40&amp;md5=c507af615d28a352220294c0e90f6b68</v>
      </c>
      <c r="Q284" t="s">
        <v>156</v>
      </c>
      <c r="R284" t="s">
        <v>48</v>
      </c>
      <c r="S284" t="s">
        <v>164</v>
      </c>
      <c r="T284" t="s">
        <v>6</v>
      </c>
      <c r="U284" t="s">
        <v>2068</v>
      </c>
      <c r="V284" s="36">
        <v>0</v>
      </c>
      <c r="W284" s="27">
        <v>0</v>
      </c>
      <c r="X284" s="27">
        <v>0</v>
      </c>
      <c r="Y284" s="27">
        <v>0</v>
      </c>
      <c r="Z284" s="27">
        <v>0</v>
      </c>
      <c r="AA284" s="27">
        <v>0</v>
      </c>
      <c r="AB284" s="27">
        <v>0</v>
      </c>
      <c r="AC284" s="27">
        <v>0</v>
      </c>
      <c r="AD284" s="27">
        <v>0</v>
      </c>
      <c r="AE284" s="27">
        <v>0</v>
      </c>
      <c r="AF284" s="27">
        <v>0</v>
      </c>
      <c r="AG284" s="27">
        <v>0</v>
      </c>
      <c r="AH284" s="27">
        <v>1</v>
      </c>
      <c r="AJ284">
        <f t="shared" si="4"/>
        <v>1</v>
      </c>
    </row>
    <row r="285" spans="1:36">
      <c r="A285" t="s">
        <v>2069</v>
      </c>
      <c r="B285" t="s">
        <v>2070</v>
      </c>
      <c r="C285" t="s">
        <v>2071</v>
      </c>
      <c r="D285" t="s">
        <v>2072</v>
      </c>
      <c r="E285">
        <v>2018</v>
      </c>
      <c r="F285" t="s">
        <v>2058</v>
      </c>
      <c r="G285">
        <v>70</v>
      </c>
      <c r="J285">
        <v>91</v>
      </c>
      <c r="K285">
        <v>103</v>
      </c>
      <c r="L285">
        <v>12</v>
      </c>
      <c r="M285">
        <v>16</v>
      </c>
      <c r="N285" t="s">
        <v>2073</v>
      </c>
      <c r="O285" t="s">
        <v>2074</v>
      </c>
      <c r="P285" s="22" t="str">
        <f>HYPERLINK(O285)</f>
        <v>https://www.scopus.com/inward/record.uri?eid=2-s2.0-85047057330&amp;doi=10.1016%2fj.jairtraman.2018.05.001&amp;partnerID=40&amp;md5=f7bb1c97ba95b587f8d3fa8f214c1621</v>
      </c>
      <c r="Q285" t="s">
        <v>156</v>
      </c>
      <c r="R285" t="s">
        <v>48</v>
      </c>
      <c r="T285" t="s">
        <v>6</v>
      </c>
      <c r="U285" t="s">
        <v>2075</v>
      </c>
      <c r="V285" s="36">
        <v>0</v>
      </c>
      <c r="W285" s="27">
        <v>0</v>
      </c>
      <c r="X285" s="27">
        <v>0</v>
      </c>
      <c r="Y285" s="27">
        <v>0</v>
      </c>
      <c r="Z285" s="27">
        <v>0</v>
      </c>
      <c r="AA285" s="27">
        <v>0</v>
      </c>
      <c r="AB285" s="27">
        <v>0</v>
      </c>
      <c r="AC285" s="27">
        <v>0</v>
      </c>
      <c r="AD285" s="27">
        <v>0</v>
      </c>
      <c r="AE285" s="27">
        <v>0</v>
      </c>
      <c r="AF285" s="27">
        <v>0</v>
      </c>
      <c r="AG285" s="27">
        <v>0</v>
      </c>
      <c r="AH285" s="27">
        <v>1</v>
      </c>
      <c r="AJ285">
        <f t="shared" si="4"/>
        <v>1</v>
      </c>
    </row>
    <row r="286" spans="1:36">
      <c r="A286" t="s">
        <v>2076</v>
      </c>
      <c r="B286" t="s">
        <v>2077</v>
      </c>
      <c r="C286">
        <v>6603545874</v>
      </c>
      <c r="D286" t="s">
        <v>2078</v>
      </c>
      <c r="E286">
        <v>2012</v>
      </c>
      <c r="F286" t="s">
        <v>2079</v>
      </c>
      <c r="G286">
        <v>18</v>
      </c>
      <c r="H286">
        <v>1</v>
      </c>
      <c r="J286">
        <v>83</v>
      </c>
      <c r="K286">
        <v>92</v>
      </c>
      <c r="L286">
        <v>9</v>
      </c>
      <c r="M286">
        <v>5</v>
      </c>
      <c r="N286" t="s">
        <v>2080</v>
      </c>
      <c r="O286" t="s">
        <v>2081</v>
      </c>
      <c r="P286" s="22" t="str">
        <f>HYPERLINK(O286)</f>
        <v>https://www.scopus.com/inward/record.uri?eid=2-s2.0-84856246115&amp;doi=10.1089%2facm.2011.0604&amp;partnerID=40&amp;md5=eee42441cf4ce26ed5032c70cf7d5ac5</v>
      </c>
      <c r="Q286" t="s">
        <v>156</v>
      </c>
      <c r="R286" t="s">
        <v>48</v>
      </c>
      <c r="T286" t="s">
        <v>6</v>
      </c>
      <c r="U286" t="s">
        <v>2082</v>
      </c>
      <c r="V286" s="36">
        <v>0</v>
      </c>
      <c r="W286" s="27">
        <v>0</v>
      </c>
      <c r="X286" s="27">
        <v>0</v>
      </c>
      <c r="Y286" s="27">
        <v>0</v>
      </c>
      <c r="Z286" s="27">
        <v>0</v>
      </c>
      <c r="AA286" s="27">
        <v>0</v>
      </c>
      <c r="AB286" s="27">
        <v>0</v>
      </c>
      <c r="AC286" s="27">
        <v>0</v>
      </c>
      <c r="AD286" s="27">
        <v>0</v>
      </c>
      <c r="AE286" s="27">
        <v>0</v>
      </c>
      <c r="AF286" s="27">
        <v>0</v>
      </c>
      <c r="AG286" s="27">
        <v>0</v>
      </c>
      <c r="AH286" s="27">
        <v>1</v>
      </c>
      <c r="AJ286">
        <f t="shared" si="4"/>
        <v>1</v>
      </c>
    </row>
    <row r="287" spans="1:36">
      <c r="A287" t="s">
        <v>2083</v>
      </c>
      <c r="B287" t="s">
        <v>2084</v>
      </c>
      <c r="C287" t="s">
        <v>2085</v>
      </c>
      <c r="D287" t="s">
        <v>2086</v>
      </c>
      <c r="E287">
        <v>2002</v>
      </c>
      <c r="F287" t="s">
        <v>2087</v>
      </c>
      <c r="G287">
        <v>49</v>
      </c>
      <c r="H287" s="32">
        <v>45689</v>
      </c>
      <c r="J287">
        <v>33</v>
      </c>
      <c r="K287">
        <v>46</v>
      </c>
      <c r="L287">
        <v>13</v>
      </c>
      <c r="M287">
        <v>19</v>
      </c>
      <c r="N287" t="s">
        <v>2088</v>
      </c>
      <c r="O287" t="s">
        <v>2089</v>
      </c>
      <c r="P287" s="22" t="str">
        <f>HYPERLINK(O287)</f>
        <v>https://www.scopus.com/inward/record.uri?eid=2-s2.0-0036109633&amp;doi=10.1016%2fS0926-9851%2801%2900097-0&amp;partnerID=40&amp;md5=c864e27969a4054a675c2bedf09b5eb7</v>
      </c>
      <c r="Q287" t="s">
        <v>156</v>
      </c>
      <c r="R287" t="s">
        <v>48</v>
      </c>
      <c r="T287" t="s">
        <v>6</v>
      </c>
      <c r="U287" t="s">
        <v>2090</v>
      </c>
      <c r="V287" s="36">
        <v>0</v>
      </c>
      <c r="W287" s="27">
        <v>0</v>
      </c>
      <c r="X287" s="27">
        <v>0</v>
      </c>
      <c r="Y287" s="27">
        <v>0</v>
      </c>
      <c r="Z287" s="27">
        <v>0</v>
      </c>
      <c r="AA287" s="27">
        <v>0</v>
      </c>
      <c r="AB287" s="27">
        <v>0</v>
      </c>
      <c r="AC287" s="27">
        <v>0</v>
      </c>
      <c r="AD287" s="27">
        <v>0</v>
      </c>
      <c r="AE287" s="27">
        <v>0</v>
      </c>
      <c r="AF287" s="27">
        <v>0</v>
      </c>
      <c r="AG287" s="27">
        <v>0</v>
      </c>
      <c r="AH287" s="27">
        <v>1</v>
      </c>
      <c r="AJ287">
        <f t="shared" si="4"/>
        <v>1</v>
      </c>
    </row>
    <row r="288" spans="1:36">
      <c r="A288" t="s">
        <v>2091</v>
      </c>
      <c r="B288" t="s">
        <v>2092</v>
      </c>
      <c r="C288" t="s">
        <v>2093</v>
      </c>
      <c r="D288" t="s">
        <v>2094</v>
      </c>
      <c r="E288">
        <v>2014</v>
      </c>
      <c r="F288" t="s">
        <v>2087</v>
      </c>
      <c r="G288">
        <v>109</v>
      </c>
      <c r="J288">
        <v>15</v>
      </c>
      <c r="K288">
        <v>26</v>
      </c>
      <c r="L288">
        <v>11</v>
      </c>
      <c r="M288">
        <v>13</v>
      </c>
      <c r="N288" t="s">
        <v>2095</v>
      </c>
      <c r="O288" t="s">
        <v>2096</v>
      </c>
      <c r="P288" s="22" t="str">
        <f>HYPERLINK(O288)</f>
        <v>https://www.scopus.com/inward/record.uri?eid=2-s2.0-84905252078&amp;doi=10.1016%2fj.jappgeo.2014.07.009&amp;partnerID=40&amp;md5=fe33eb3a41e25b900031a494ba525f25</v>
      </c>
      <c r="Q288" t="s">
        <v>156</v>
      </c>
      <c r="R288" t="s">
        <v>48</v>
      </c>
      <c r="T288" t="s">
        <v>6</v>
      </c>
      <c r="U288" t="s">
        <v>2097</v>
      </c>
      <c r="V288" s="36">
        <v>0</v>
      </c>
      <c r="W288" s="27">
        <v>0</v>
      </c>
      <c r="X288" s="27">
        <v>0</v>
      </c>
      <c r="Y288" s="27">
        <v>0</v>
      </c>
      <c r="Z288" s="27">
        <v>0</v>
      </c>
      <c r="AA288" s="27">
        <v>0</v>
      </c>
      <c r="AB288" s="27">
        <v>0</v>
      </c>
      <c r="AC288" s="27">
        <v>0</v>
      </c>
      <c r="AD288" s="27">
        <v>0</v>
      </c>
      <c r="AE288" s="27">
        <v>0</v>
      </c>
      <c r="AF288" s="27">
        <v>0</v>
      </c>
      <c r="AG288" s="27">
        <v>0</v>
      </c>
      <c r="AH288" s="27">
        <v>1</v>
      </c>
      <c r="AJ288">
        <f t="shared" si="4"/>
        <v>1</v>
      </c>
    </row>
    <row r="289" spans="1:36">
      <c r="A289" t="s">
        <v>2098</v>
      </c>
      <c r="B289" t="s">
        <v>2099</v>
      </c>
      <c r="C289" t="s">
        <v>2100</v>
      </c>
      <c r="D289" t="s">
        <v>2101</v>
      </c>
      <c r="E289">
        <v>2013</v>
      </c>
      <c r="F289" t="s">
        <v>2087</v>
      </c>
      <c r="G289">
        <v>88</v>
      </c>
      <c r="J289">
        <v>131</v>
      </c>
      <c r="K289">
        <v>138</v>
      </c>
      <c r="L289">
        <v>7</v>
      </c>
      <c r="M289">
        <v>11</v>
      </c>
      <c r="N289" t="s">
        <v>2102</v>
      </c>
      <c r="O289" t="s">
        <v>2103</v>
      </c>
      <c r="P289" s="22" t="str">
        <f>HYPERLINK(O289)</f>
        <v>https://www.scopus.com/inward/record.uri?eid=2-s2.0-84874746772&amp;doi=10.1016%2fj.jappgeo.2012.11.003&amp;partnerID=40&amp;md5=9563f7e79d619d6c5c52d29e9ab975a5</v>
      </c>
      <c r="Q289" t="s">
        <v>156</v>
      </c>
      <c r="R289" t="s">
        <v>48</v>
      </c>
      <c r="T289" t="s">
        <v>6</v>
      </c>
      <c r="U289" t="s">
        <v>2104</v>
      </c>
      <c r="V289" s="36">
        <v>0</v>
      </c>
      <c r="W289" s="27">
        <v>0</v>
      </c>
      <c r="X289" s="27">
        <v>0</v>
      </c>
      <c r="Y289" s="27">
        <v>0</v>
      </c>
      <c r="Z289" s="27">
        <v>0</v>
      </c>
      <c r="AA289" s="27">
        <v>0</v>
      </c>
      <c r="AB289" s="27">
        <v>0</v>
      </c>
      <c r="AC289" s="27">
        <v>0</v>
      </c>
      <c r="AD289" s="27">
        <v>0</v>
      </c>
      <c r="AE289" s="27">
        <v>0</v>
      </c>
      <c r="AF289" s="27">
        <v>0</v>
      </c>
      <c r="AG289" s="27">
        <v>0</v>
      </c>
      <c r="AH289" s="27">
        <v>1</v>
      </c>
      <c r="AJ289">
        <f t="shared" si="4"/>
        <v>1</v>
      </c>
    </row>
    <row r="290" spans="1:36">
      <c r="A290" t="s">
        <v>2105</v>
      </c>
      <c r="B290" t="s">
        <v>2106</v>
      </c>
      <c r="C290" t="s">
        <v>2107</v>
      </c>
      <c r="D290" t="s">
        <v>2108</v>
      </c>
      <c r="E290">
        <v>2022</v>
      </c>
      <c r="F290" t="s">
        <v>2109</v>
      </c>
      <c r="G290">
        <v>28</v>
      </c>
      <c r="H290">
        <v>2</v>
      </c>
      <c r="J290">
        <v>102</v>
      </c>
      <c r="K290">
        <v>114</v>
      </c>
      <c r="L290">
        <v>12</v>
      </c>
      <c r="M290">
        <v>2</v>
      </c>
      <c r="N290" t="s">
        <v>2110</v>
      </c>
      <c r="O290" t="s">
        <v>2111</v>
      </c>
      <c r="P290" s="22" t="str">
        <f>HYPERLINK(O290)</f>
        <v>https://www.scopus.com/inward/record.uri?eid=2-s2.0-85129190693&amp;doi=10.1080%2f13556207.2022.2061140&amp;partnerID=40&amp;md5=478cf2491a20cf624b9f049fc8a50fb3</v>
      </c>
      <c r="Q290" t="s">
        <v>156</v>
      </c>
      <c r="R290" t="s">
        <v>48</v>
      </c>
      <c r="T290" t="s">
        <v>6</v>
      </c>
      <c r="U290" t="s">
        <v>2112</v>
      </c>
      <c r="V290" s="36">
        <v>0</v>
      </c>
      <c r="W290" s="27">
        <v>0</v>
      </c>
      <c r="X290" s="27">
        <v>0</v>
      </c>
      <c r="Y290" s="27">
        <v>0</v>
      </c>
      <c r="Z290" s="27">
        <v>0</v>
      </c>
      <c r="AA290" s="27">
        <v>0</v>
      </c>
      <c r="AB290" s="27">
        <v>0</v>
      </c>
      <c r="AC290" s="27">
        <v>0</v>
      </c>
      <c r="AD290" s="27">
        <v>0</v>
      </c>
      <c r="AE290" s="27">
        <v>0</v>
      </c>
      <c r="AF290" s="27">
        <v>0</v>
      </c>
      <c r="AG290" s="27">
        <v>0</v>
      </c>
      <c r="AH290" s="27">
        <v>1</v>
      </c>
      <c r="AJ290">
        <f t="shared" si="4"/>
        <v>1</v>
      </c>
    </row>
    <row r="291" spans="1:36">
      <c r="A291" t="s">
        <v>2113</v>
      </c>
      <c r="B291" t="s">
        <v>2114</v>
      </c>
      <c r="C291" t="s">
        <v>2115</v>
      </c>
      <c r="D291" t="s">
        <v>2116</v>
      </c>
      <c r="E291">
        <v>2019</v>
      </c>
      <c r="F291" t="s">
        <v>2117</v>
      </c>
      <c r="G291">
        <v>15</v>
      </c>
      <c r="H291">
        <v>1</v>
      </c>
      <c r="J291">
        <v>1</v>
      </c>
      <c r="K291">
        <v>14</v>
      </c>
      <c r="L291">
        <v>13</v>
      </c>
      <c r="M291">
        <v>7</v>
      </c>
      <c r="N291" t="s">
        <v>2118</v>
      </c>
      <c r="O291" t="s">
        <v>2119</v>
      </c>
      <c r="P291" s="22" t="str">
        <f>HYPERLINK(O291)</f>
        <v>https://www.scopus.com/inward/record.uri?eid=2-s2.0-85053543557&amp;doi=10.1080%2f19388160.2018.1515139&amp;partnerID=40&amp;md5=ea7cb1327fae22009c4bc32aab8d7bc4</v>
      </c>
      <c r="Q291" t="s">
        <v>156</v>
      </c>
      <c r="R291" t="s">
        <v>48</v>
      </c>
      <c r="T291" t="s">
        <v>6</v>
      </c>
      <c r="U291" t="s">
        <v>2120</v>
      </c>
      <c r="V291" s="36">
        <v>1</v>
      </c>
      <c r="W291" s="27">
        <v>0</v>
      </c>
      <c r="X291" s="27">
        <v>0</v>
      </c>
      <c r="Y291" s="27">
        <v>0</v>
      </c>
      <c r="Z291" s="27">
        <v>0</v>
      </c>
      <c r="AA291" s="27">
        <v>0</v>
      </c>
      <c r="AB291" s="27">
        <v>0</v>
      </c>
      <c r="AC291" s="27">
        <v>0</v>
      </c>
      <c r="AD291" s="27">
        <v>0</v>
      </c>
      <c r="AE291" s="27">
        <v>0</v>
      </c>
      <c r="AF291" s="27">
        <v>0</v>
      </c>
      <c r="AG291" s="27">
        <v>0</v>
      </c>
      <c r="AH291" s="27">
        <v>0</v>
      </c>
      <c r="AJ291">
        <f t="shared" si="4"/>
        <v>1</v>
      </c>
    </row>
    <row r="292" spans="1:36">
      <c r="A292" t="s">
        <v>2121</v>
      </c>
      <c r="B292" t="s">
        <v>2122</v>
      </c>
      <c r="C292" t="s">
        <v>2123</v>
      </c>
      <c r="D292" t="s">
        <v>2124</v>
      </c>
      <c r="E292">
        <v>2024</v>
      </c>
      <c r="F292" t="s">
        <v>2125</v>
      </c>
      <c r="G292">
        <v>470</v>
      </c>
      <c r="I292">
        <v>143320</v>
      </c>
      <c r="M292">
        <v>6</v>
      </c>
      <c r="N292" t="s">
        <v>2126</v>
      </c>
      <c r="O292" t="s">
        <v>2127</v>
      </c>
      <c r="P292" s="22" t="str">
        <f>HYPERLINK(O292)</f>
        <v>https://www.scopus.com/inward/record.uri?eid=2-s2.0-85200397543&amp;doi=10.1016%2fj.jclepro.2024.143320&amp;partnerID=40&amp;md5=de46bb95989cdc098adafedc751c0260</v>
      </c>
      <c r="Q292" t="s">
        <v>156</v>
      </c>
      <c r="R292" t="s">
        <v>48</v>
      </c>
      <c r="T292" t="s">
        <v>6</v>
      </c>
      <c r="U292" t="s">
        <v>2128</v>
      </c>
      <c r="V292" s="36">
        <v>0</v>
      </c>
      <c r="W292" s="27">
        <v>1</v>
      </c>
      <c r="X292" s="27">
        <v>0</v>
      </c>
      <c r="Y292" s="27">
        <v>0</v>
      </c>
      <c r="Z292" s="27">
        <v>0</v>
      </c>
      <c r="AA292" s="27">
        <v>0</v>
      </c>
      <c r="AB292" s="27">
        <v>0</v>
      </c>
      <c r="AC292" s="27">
        <v>0</v>
      </c>
      <c r="AD292" s="27">
        <v>0</v>
      </c>
      <c r="AE292" s="27">
        <v>0</v>
      </c>
      <c r="AF292" s="27">
        <v>0</v>
      </c>
      <c r="AG292" s="27">
        <v>0</v>
      </c>
      <c r="AH292" s="27">
        <v>1</v>
      </c>
      <c r="AJ292">
        <f t="shared" si="4"/>
        <v>2</v>
      </c>
    </row>
    <row r="293" spans="1:36">
      <c r="A293" t="s">
        <v>2129</v>
      </c>
      <c r="B293" t="s">
        <v>2130</v>
      </c>
      <c r="C293" t="s">
        <v>2131</v>
      </c>
      <c r="D293" t="s">
        <v>2132</v>
      </c>
      <c r="E293">
        <v>2016</v>
      </c>
      <c r="F293" t="s">
        <v>2125</v>
      </c>
      <c r="G293">
        <v>112</v>
      </c>
      <c r="J293">
        <v>4683</v>
      </c>
      <c r="K293">
        <v>4690</v>
      </c>
      <c r="L293">
        <v>7</v>
      </c>
      <c r="M293">
        <v>38</v>
      </c>
      <c r="N293" t="s">
        <v>2133</v>
      </c>
      <c r="O293" t="s">
        <v>2134</v>
      </c>
      <c r="P293" s="22" t="str">
        <f>HYPERLINK(O293)</f>
        <v>https://www.scopus.com/inward/record.uri?eid=2-s2.0-84959523357&amp;doi=10.1016%2fj.jclepro.2015.07.080&amp;partnerID=40&amp;md5=157820d6a8aec8d7722a87309f00a172</v>
      </c>
      <c r="Q293" t="s">
        <v>156</v>
      </c>
      <c r="R293" t="s">
        <v>48</v>
      </c>
      <c r="T293" t="s">
        <v>6</v>
      </c>
      <c r="U293" t="s">
        <v>2135</v>
      </c>
      <c r="V293" s="36">
        <v>0</v>
      </c>
      <c r="W293" s="27">
        <v>0</v>
      </c>
      <c r="X293" s="27">
        <v>0</v>
      </c>
      <c r="Y293" s="27">
        <v>0</v>
      </c>
      <c r="Z293" s="27">
        <v>0</v>
      </c>
      <c r="AA293" s="27">
        <v>0</v>
      </c>
      <c r="AB293" s="27">
        <v>0</v>
      </c>
      <c r="AC293" s="27">
        <v>0</v>
      </c>
      <c r="AD293" s="27">
        <v>0</v>
      </c>
      <c r="AE293" s="27">
        <v>0</v>
      </c>
      <c r="AF293" s="27">
        <v>0</v>
      </c>
      <c r="AG293" s="27">
        <v>0</v>
      </c>
      <c r="AH293" s="27">
        <v>0</v>
      </c>
      <c r="AJ293">
        <f t="shared" si="4"/>
        <v>0</v>
      </c>
    </row>
    <row r="294" spans="1:36">
      <c r="A294" t="s">
        <v>2136</v>
      </c>
      <c r="B294" t="s">
        <v>2137</v>
      </c>
      <c r="C294" t="s">
        <v>2138</v>
      </c>
      <c r="D294" t="s">
        <v>2139</v>
      </c>
      <c r="E294">
        <v>2019</v>
      </c>
      <c r="F294" t="s">
        <v>2140</v>
      </c>
      <c r="G294">
        <v>23</v>
      </c>
      <c r="H294">
        <v>2</v>
      </c>
      <c r="J294">
        <v>417</v>
      </c>
      <c r="K294">
        <v>434</v>
      </c>
      <c r="L294">
        <v>17</v>
      </c>
      <c r="M294">
        <v>3</v>
      </c>
      <c r="N294" t="s">
        <v>2141</v>
      </c>
      <c r="O294" t="s">
        <v>2142</v>
      </c>
      <c r="P294" s="22" t="str">
        <f>HYPERLINK(O294)</f>
        <v>https://www.scopus.com/inward/record.uri?eid=2-s2.0-85056707134&amp;doi=10.1007%2fs11852-018-0672-3&amp;partnerID=40&amp;md5=87caa094c96752f1a34594762cd72d1f</v>
      </c>
      <c r="Q294" t="s">
        <v>156</v>
      </c>
      <c r="R294" t="s">
        <v>48</v>
      </c>
      <c r="T294" t="s">
        <v>6</v>
      </c>
      <c r="U294" t="s">
        <v>2143</v>
      </c>
      <c r="V294" s="36">
        <v>0</v>
      </c>
      <c r="W294" s="27">
        <v>0</v>
      </c>
      <c r="X294" s="27">
        <v>0</v>
      </c>
      <c r="Y294" s="27">
        <v>0</v>
      </c>
      <c r="Z294" s="27">
        <v>0</v>
      </c>
      <c r="AA294" s="27">
        <v>0</v>
      </c>
      <c r="AB294" s="27">
        <v>0</v>
      </c>
      <c r="AC294" s="27">
        <v>0</v>
      </c>
      <c r="AD294" s="27">
        <v>0</v>
      </c>
      <c r="AE294" s="27">
        <v>0</v>
      </c>
      <c r="AF294" s="27">
        <v>0</v>
      </c>
      <c r="AG294" s="27">
        <v>0</v>
      </c>
      <c r="AH294" s="27">
        <v>1</v>
      </c>
      <c r="AJ294">
        <f t="shared" si="4"/>
        <v>1</v>
      </c>
    </row>
    <row r="295" spans="1:36">
      <c r="A295" t="s">
        <v>2144</v>
      </c>
      <c r="B295" t="s">
        <v>2145</v>
      </c>
      <c r="C295">
        <v>8508337200</v>
      </c>
      <c r="D295" t="s">
        <v>2146</v>
      </c>
      <c r="E295">
        <v>2005</v>
      </c>
      <c r="F295" t="s">
        <v>2147</v>
      </c>
      <c r="G295">
        <v>21</v>
      </c>
      <c r="H295" t="s">
        <v>2148</v>
      </c>
      <c r="J295">
        <v>294</v>
      </c>
      <c r="K295">
        <v>302</v>
      </c>
      <c r="L295">
        <v>8</v>
      </c>
      <c r="M295">
        <v>2</v>
      </c>
      <c r="O295" t="s">
        <v>2149</v>
      </c>
      <c r="P295" s="22" t="str">
        <f>HYPERLINK(O295)</f>
        <v>https://www.scopus.com/inward/record.uri?eid=2-s2.0-22444435805&amp;partnerID=40&amp;md5=f8ed2903ad5c5cc64fbaa2ccd805e540</v>
      </c>
      <c r="Q295" t="s">
        <v>156</v>
      </c>
      <c r="R295" t="s">
        <v>48</v>
      </c>
      <c r="T295" t="s">
        <v>6</v>
      </c>
      <c r="U295" t="s">
        <v>2150</v>
      </c>
      <c r="V295" s="36">
        <v>0</v>
      </c>
      <c r="W295" s="27">
        <v>0</v>
      </c>
      <c r="X295" s="27">
        <v>0</v>
      </c>
      <c r="Y295" s="27">
        <v>0</v>
      </c>
      <c r="Z295" s="27">
        <v>0</v>
      </c>
      <c r="AA295" s="27">
        <v>0</v>
      </c>
      <c r="AB295" s="27">
        <v>0</v>
      </c>
      <c r="AC295" s="27">
        <v>0</v>
      </c>
      <c r="AD295" s="27">
        <v>0</v>
      </c>
      <c r="AE295" s="27">
        <v>0</v>
      </c>
      <c r="AF295" s="27">
        <v>0</v>
      </c>
      <c r="AG295" s="27">
        <v>0</v>
      </c>
      <c r="AH295" s="27">
        <v>1</v>
      </c>
      <c r="AJ295">
        <f t="shared" si="4"/>
        <v>1</v>
      </c>
    </row>
    <row r="296" spans="1:36">
      <c r="A296" t="s">
        <v>2151</v>
      </c>
      <c r="B296" t="s">
        <v>2152</v>
      </c>
      <c r="C296" t="s">
        <v>2153</v>
      </c>
      <c r="D296" t="s">
        <v>2154</v>
      </c>
      <c r="E296">
        <v>2020</v>
      </c>
      <c r="F296" t="s">
        <v>2147</v>
      </c>
      <c r="G296">
        <v>95</v>
      </c>
      <c r="H296" t="s">
        <v>2155</v>
      </c>
      <c r="J296">
        <v>118</v>
      </c>
      <c r="K296">
        <v>122</v>
      </c>
      <c r="L296">
        <v>4</v>
      </c>
      <c r="M296">
        <v>5</v>
      </c>
      <c r="N296" t="s">
        <v>2156</v>
      </c>
      <c r="O296" t="s">
        <v>2157</v>
      </c>
      <c r="P296" s="22" t="str">
        <f>HYPERLINK(O296)</f>
        <v>https://www.scopus.com/inward/record.uri?eid=2-s2.0-85085503763&amp;doi=10.2112%2fSI95-023.1&amp;partnerID=40&amp;md5=5278879d44512652041aaf2d9001e2be</v>
      </c>
      <c r="Q296" t="s">
        <v>156</v>
      </c>
      <c r="R296" t="s">
        <v>48</v>
      </c>
      <c r="T296" t="s">
        <v>6</v>
      </c>
      <c r="U296" t="s">
        <v>2158</v>
      </c>
      <c r="V296" s="36">
        <v>0</v>
      </c>
      <c r="W296" s="27">
        <v>0</v>
      </c>
      <c r="X296" s="27">
        <v>0</v>
      </c>
      <c r="Y296" s="27">
        <v>0</v>
      </c>
      <c r="Z296" s="27">
        <v>0</v>
      </c>
      <c r="AA296" s="27">
        <v>0</v>
      </c>
      <c r="AB296" s="27">
        <v>0</v>
      </c>
      <c r="AC296" s="27">
        <v>0</v>
      </c>
      <c r="AD296" s="27">
        <v>0</v>
      </c>
      <c r="AE296" s="27">
        <v>0</v>
      </c>
      <c r="AF296" s="27">
        <v>0</v>
      </c>
      <c r="AG296" s="27">
        <v>0</v>
      </c>
      <c r="AH296" s="27">
        <v>1</v>
      </c>
      <c r="AJ296">
        <f t="shared" si="4"/>
        <v>1</v>
      </c>
    </row>
    <row r="297" spans="1:36">
      <c r="A297" t="s">
        <v>2159</v>
      </c>
      <c r="B297" t="s">
        <v>2160</v>
      </c>
      <c r="C297" t="s">
        <v>2161</v>
      </c>
      <c r="D297" t="s">
        <v>2162</v>
      </c>
      <c r="E297">
        <v>2020</v>
      </c>
      <c r="F297" t="s">
        <v>2147</v>
      </c>
      <c r="G297">
        <v>99</v>
      </c>
      <c r="H297" t="s">
        <v>2155</v>
      </c>
      <c r="J297">
        <v>197</v>
      </c>
      <c r="K297">
        <v>202</v>
      </c>
      <c r="L297">
        <v>5</v>
      </c>
      <c r="M297">
        <v>6</v>
      </c>
      <c r="N297" t="s">
        <v>2163</v>
      </c>
      <c r="O297" t="s">
        <v>2164</v>
      </c>
      <c r="P297" s="22" t="str">
        <f>HYPERLINK(O297)</f>
        <v>https://www.scopus.com/inward/record.uri?eid=2-s2.0-85085048044&amp;doi=10.2112%2fSI99-028.1&amp;partnerID=40&amp;md5=52e1ebda336226f2715940bb9f58eb37</v>
      </c>
      <c r="Q297" t="s">
        <v>156</v>
      </c>
      <c r="R297" t="s">
        <v>48</v>
      </c>
      <c r="T297" t="s">
        <v>6</v>
      </c>
      <c r="U297" t="s">
        <v>2165</v>
      </c>
      <c r="V297" s="36">
        <v>0</v>
      </c>
      <c r="W297" s="27">
        <v>0</v>
      </c>
      <c r="X297" s="27">
        <v>0</v>
      </c>
      <c r="Y297" s="27">
        <v>0</v>
      </c>
      <c r="Z297" s="27">
        <v>0</v>
      </c>
      <c r="AA297" s="27">
        <v>0</v>
      </c>
      <c r="AB297" s="27">
        <v>0</v>
      </c>
      <c r="AC297" s="27">
        <v>0</v>
      </c>
      <c r="AD297" s="27">
        <v>0</v>
      </c>
      <c r="AE297" s="27">
        <v>0</v>
      </c>
      <c r="AF297" s="27">
        <v>0</v>
      </c>
      <c r="AG297" s="27">
        <v>0</v>
      </c>
      <c r="AH297" s="27">
        <v>1</v>
      </c>
      <c r="AJ297">
        <f t="shared" si="4"/>
        <v>1</v>
      </c>
    </row>
    <row r="298" spans="1:36">
      <c r="A298" t="s">
        <v>2166</v>
      </c>
      <c r="B298" t="s">
        <v>2167</v>
      </c>
      <c r="C298" t="s">
        <v>2168</v>
      </c>
      <c r="D298" t="s">
        <v>2169</v>
      </c>
      <c r="E298">
        <v>2018</v>
      </c>
      <c r="F298" t="s">
        <v>2170</v>
      </c>
      <c r="G298">
        <v>33</v>
      </c>
      <c r="J298">
        <v>285</v>
      </c>
      <c r="K298">
        <v>292</v>
      </c>
      <c r="L298">
        <v>7</v>
      </c>
      <c r="M298">
        <v>33</v>
      </c>
      <c r="N298" t="s">
        <v>2171</v>
      </c>
      <c r="O298" t="s">
        <v>2172</v>
      </c>
      <c r="P298" s="22" t="str">
        <f>HYPERLINK(O298)</f>
        <v>https://www.scopus.com/inward/record.uri?eid=2-s2.0-85049638064&amp;doi=10.1016%2fj.culher.2018.06.005&amp;partnerID=40&amp;md5=e31eec393801a81eec31f95b667d6bae</v>
      </c>
      <c r="Q298" t="s">
        <v>156</v>
      </c>
      <c r="R298" t="s">
        <v>48</v>
      </c>
      <c r="T298" t="s">
        <v>6</v>
      </c>
      <c r="U298" t="s">
        <v>2173</v>
      </c>
      <c r="V298" s="36">
        <v>1</v>
      </c>
      <c r="W298" s="27">
        <v>0</v>
      </c>
      <c r="X298" s="27">
        <v>0</v>
      </c>
      <c r="Y298" s="27">
        <v>0</v>
      </c>
      <c r="Z298" s="27">
        <v>0</v>
      </c>
      <c r="AA298" s="27">
        <v>0</v>
      </c>
      <c r="AB298" s="27">
        <v>0</v>
      </c>
      <c r="AC298" s="27">
        <v>0</v>
      </c>
      <c r="AD298" s="27">
        <v>0</v>
      </c>
      <c r="AE298" s="27">
        <v>0</v>
      </c>
      <c r="AF298" s="27">
        <v>0</v>
      </c>
      <c r="AG298" s="27">
        <v>0</v>
      </c>
      <c r="AH298" s="27">
        <v>0</v>
      </c>
      <c r="AJ298">
        <f t="shared" si="4"/>
        <v>1</v>
      </c>
    </row>
    <row r="299" spans="1:36">
      <c r="A299" t="s">
        <v>2174</v>
      </c>
      <c r="B299" t="s">
        <v>2175</v>
      </c>
      <c r="C299" t="s">
        <v>2176</v>
      </c>
      <c r="D299" t="s">
        <v>2177</v>
      </c>
      <c r="E299">
        <v>2024</v>
      </c>
      <c r="F299" t="s">
        <v>2178</v>
      </c>
      <c r="G299">
        <v>32</v>
      </c>
      <c r="I299">
        <v>100853</v>
      </c>
      <c r="M299">
        <v>0</v>
      </c>
      <c r="N299" t="s">
        <v>2179</v>
      </c>
      <c r="O299" t="s">
        <v>2180</v>
      </c>
      <c r="P299" s="22" t="str">
        <f>HYPERLINK(O299)</f>
        <v>https://www.scopus.com/inward/record.uri?eid=2-s2.0-85190939588&amp;doi=10.1016%2fj.jdmm.2024.100853&amp;partnerID=40&amp;md5=f890b7d8640ddd9f797d3a686ad4629f</v>
      </c>
      <c r="Q299" t="s">
        <v>156</v>
      </c>
      <c r="R299" t="s">
        <v>48</v>
      </c>
      <c r="T299" t="s">
        <v>6</v>
      </c>
      <c r="U299" t="s">
        <v>2181</v>
      </c>
      <c r="V299" s="36">
        <v>0</v>
      </c>
      <c r="W299" s="27">
        <v>0</v>
      </c>
      <c r="X299" s="27">
        <v>0</v>
      </c>
      <c r="Y299" s="27">
        <v>0</v>
      </c>
      <c r="Z299" s="27">
        <v>1</v>
      </c>
      <c r="AA299" s="27">
        <v>0</v>
      </c>
      <c r="AB299" s="27">
        <v>0</v>
      </c>
      <c r="AC299" s="27">
        <v>0</v>
      </c>
      <c r="AD299" s="27">
        <v>0</v>
      </c>
      <c r="AE299" s="27">
        <v>0</v>
      </c>
      <c r="AF299" s="27">
        <v>0</v>
      </c>
      <c r="AG299" s="27">
        <v>0</v>
      </c>
      <c r="AH299" s="27">
        <v>0</v>
      </c>
      <c r="AJ299">
        <f t="shared" si="4"/>
        <v>1</v>
      </c>
    </row>
    <row r="300" spans="1:36">
      <c r="A300" t="s">
        <v>2182</v>
      </c>
      <c r="B300" t="s">
        <v>2183</v>
      </c>
      <c r="C300">
        <v>24491492300</v>
      </c>
      <c r="D300" t="s">
        <v>2184</v>
      </c>
      <c r="E300">
        <v>2021</v>
      </c>
      <c r="F300" t="s">
        <v>2185</v>
      </c>
      <c r="G300">
        <v>153</v>
      </c>
      <c r="I300">
        <v>102708</v>
      </c>
      <c r="M300">
        <v>39</v>
      </c>
      <c r="N300" t="s">
        <v>2186</v>
      </c>
      <c r="O300" t="s">
        <v>2187</v>
      </c>
      <c r="P300" s="22" t="str">
        <f>HYPERLINK(O300)</f>
        <v>https://www.scopus.com/inward/record.uri?eid=2-s2.0-85111824854&amp;doi=10.1016%2fj.jdeveco.2021.102708&amp;partnerID=40&amp;md5=c88d671f6d0f1a859c8e427eecaa73e8</v>
      </c>
      <c r="Q300" t="s">
        <v>156</v>
      </c>
      <c r="R300" t="s">
        <v>48</v>
      </c>
      <c r="T300" t="s">
        <v>6</v>
      </c>
      <c r="U300" t="s">
        <v>2188</v>
      </c>
      <c r="V300" s="36">
        <v>0</v>
      </c>
      <c r="W300" s="27">
        <v>0</v>
      </c>
      <c r="X300" s="27">
        <v>0</v>
      </c>
      <c r="Y300" s="27">
        <v>0</v>
      </c>
      <c r="Z300" s="27">
        <v>0</v>
      </c>
      <c r="AA300" s="27">
        <v>0</v>
      </c>
      <c r="AB300" s="27">
        <v>0</v>
      </c>
      <c r="AC300" s="27">
        <v>0</v>
      </c>
      <c r="AD300" s="27">
        <v>0</v>
      </c>
      <c r="AE300" s="27">
        <v>0</v>
      </c>
      <c r="AF300" s="27">
        <v>0</v>
      </c>
      <c r="AG300" s="27">
        <v>0</v>
      </c>
      <c r="AH300" s="27">
        <v>1</v>
      </c>
      <c r="AJ300">
        <f t="shared" si="4"/>
        <v>1</v>
      </c>
    </row>
    <row r="301" spans="1:36">
      <c r="A301" t="s">
        <v>2189</v>
      </c>
      <c r="B301" t="s">
        <v>2190</v>
      </c>
      <c r="C301" t="s">
        <v>2191</v>
      </c>
      <c r="D301" t="s">
        <v>2192</v>
      </c>
      <c r="E301">
        <v>2018</v>
      </c>
      <c r="F301" t="s">
        <v>2193</v>
      </c>
      <c r="G301">
        <v>13</v>
      </c>
      <c r="H301">
        <v>4</v>
      </c>
      <c r="J301">
        <v>624</v>
      </c>
      <c r="K301">
        <v>636</v>
      </c>
      <c r="L301">
        <v>12</v>
      </c>
      <c r="M301">
        <v>0</v>
      </c>
      <c r="N301" t="s">
        <v>2194</v>
      </c>
      <c r="O301" t="s">
        <v>2195</v>
      </c>
      <c r="P301" s="22" t="str">
        <f>HYPERLINK(O301)</f>
        <v>https://www.scopus.com/inward/record.uri?eid=2-s2.0-85052223229&amp;doi=10.20965%2fjdr.2018.p0624&amp;partnerID=40&amp;md5=3ca8797251cf88e215abb913cecdd899</v>
      </c>
      <c r="Q301" t="s">
        <v>156</v>
      </c>
      <c r="R301" t="s">
        <v>48</v>
      </c>
      <c r="S301" t="s">
        <v>185</v>
      </c>
      <c r="T301" t="s">
        <v>6</v>
      </c>
      <c r="U301" t="s">
        <v>2196</v>
      </c>
      <c r="V301" s="36">
        <v>0</v>
      </c>
      <c r="W301" s="27">
        <v>0</v>
      </c>
      <c r="X301" s="27">
        <v>0</v>
      </c>
      <c r="Y301" s="27">
        <v>0</v>
      </c>
      <c r="Z301" s="27">
        <v>0</v>
      </c>
      <c r="AA301" s="27">
        <v>0</v>
      </c>
      <c r="AB301" s="27">
        <v>0</v>
      </c>
      <c r="AC301" s="27">
        <v>0</v>
      </c>
      <c r="AD301" s="27">
        <v>0</v>
      </c>
      <c r="AE301" s="27">
        <v>0</v>
      </c>
      <c r="AF301" s="27">
        <v>0</v>
      </c>
      <c r="AG301" s="27">
        <v>0</v>
      </c>
      <c r="AH301" s="27">
        <v>1</v>
      </c>
      <c r="AJ301">
        <f t="shared" si="4"/>
        <v>1</v>
      </c>
    </row>
    <row r="302" spans="1:36">
      <c r="A302" t="s">
        <v>2197</v>
      </c>
      <c r="B302" t="s">
        <v>2198</v>
      </c>
      <c r="C302">
        <v>57205703173</v>
      </c>
      <c r="D302" t="s">
        <v>2199</v>
      </c>
      <c r="E302">
        <v>2019</v>
      </c>
      <c r="F302" t="s">
        <v>2200</v>
      </c>
      <c r="G302">
        <v>40</v>
      </c>
      <c r="H302">
        <v>3</v>
      </c>
      <c r="J302">
        <v>25</v>
      </c>
      <c r="K302">
        <v>36</v>
      </c>
      <c r="L302">
        <v>11</v>
      </c>
      <c r="M302">
        <v>3</v>
      </c>
      <c r="O302" t="s">
        <v>2201</v>
      </c>
      <c r="P302" s="22" t="str">
        <f>HYPERLINK(O302)</f>
        <v>https://www.scopus.com/inward/record.uri?eid=2-s2.0-85077899037&amp;partnerID=40&amp;md5=b4b547349eeb6976da66fc9bbdc7fe8d</v>
      </c>
      <c r="Q302" t="s">
        <v>156</v>
      </c>
      <c r="R302" t="s">
        <v>48</v>
      </c>
      <c r="T302" t="s">
        <v>6</v>
      </c>
      <c r="U302" t="s">
        <v>2202</v>
      </c>
      <c r="V302" s="36">
        <v>1</v>
      </c>
      <c r="W302" s="27">
        <v>0</v>
      </c>
      <c r="X302" s="27">
        <v>0</v>
      </c>
      <c r="Y302" s="27">
        <v>0</v>
      </c>
      <c r="Z302" s="27">
        <v>0</v>
      </c>
      <c r="AA302" s="27">
        <v>0</v>
      </c>
      <c r="AB302" s="27">
        <v>0</v>
      </c>
      <c r="AC302" s="27">
        <v>0</v>
      </c>
      <c r="AD302" s="27">
        <v>0</v>
      </c>
      <c r="AE302" s="27">
        <v>0</v>
      </c>
      <c r="AF302" s="27">
        <v>0</v>
      </c>
      <c r="AG302" s="27">
        <v>0</v>
      </c>
      <c r="AH302" s="27">
        <v>0</v>
      </c>
      <c r="AJ302">
        <f t="shared" si="4"/>
        <v>1</v>
      </c>
    </row>
    <row r="303" spans="1:36">
      <c r="A303" t="s">
        <v>2203</v>
      </c>
      <c r="B303" t="s">
        <v>2204</v>
      </c>
      <c r="C303" t="s">
        <v>2205</v>
      </c>
      <c r="D303" t="s">
        <v>2206</v>
      </c>
      <c r="E303">
        <v>2022</v>
      </c>
      <c r="F303" t="s">
        <v>2200</v>
      </c>
      <c r="G303">
        <v>43</v>
      </c>
      <c r="H303">
        <v>3</v>
      </c>
      <c r="M303">
        <v>2</v>
      </c>
      <c r="O303" t="s">
        <v>2207</v>
      </c>
      <c r="P303" s="22" t="str">
        <f>HYPERLINK(O303)</f>
        <v>https://www.scopus.com/inward/record.uri?eid=2-s2.0-85146456458&amp;partnerID=40&amp;md5=92729486171eaf34034381d3a002add6</v>
      </c>
      <c r="Q303" t="s">
        <v>156</v>
      </c>
      <c r="R303" t="s">
        <v>48</v>
      </c>
      <c r="T303" t="s">
        <v>6</v>
      </c>
      <c r="U303" t="s">
        <v>2208</v>
      </c>
      <c r="V303" s="36">
        <v>1</v>
      </c>
      <c r="W303" s="27">
        <v>0</v>
      </c>
      <c r="X303" s="27">
        <v>0</v>
      </c>
      <c r="Y303" s="27">
        <v>0</v>
      </c>
      <c r="Z303" s="27">
        <v>0</v>
      </c>
      <c r="AA303" s="27">
        <v>0</v>
      </c>
      <c r="AB303" s="27">
        <v>0</v>
      </c>
      <c r="AC303" s="27">
        <v>0</v>
      </c>
      <c r="AD303" s="27">
        <v>0</v>
      </c>
      <c r="AE303" s="27">
        <v>0</v>
      </c>
      <c r="AF303" s="27">
        <v>0</v>
      </c>
      <c r="AG303" s="27">
        <v>0</v>
      </c>
      <c r="AH303" s="27">
        <v>0</v>
      </c>
      <c r="AJ303">
        <f t="shared" si="4"/>
        <v>1</v>
      </c>
    </row>
    <row r="304" spans="1:36">
      <c r="A304" t="s">
        <v>2209</v>
      </c>
      <c r="B304" t="s">
        <v>2210</v>
      </c>
      <c r="C304">
        <v>57209784820</v>
      </c>
      <c r="D304" t="s">
        <v>2211</v>
      </c>
      <c r="E304">
        <v>2020</v>
      </c>
      <c r="F304" t="s">
        <v>2212</v>
      </c>
      <c r="G304">
        <v>48</v>
      </c>
      <c r="H304">
        <v>7</v>
      </c>
      <c r="J304">
        <v>1388</v>
      </c>
      <c r="K304">
        <v>1400</v>
      </c>
      <c r="L304">
        <v>12</v>
      </c>
      <c r="M304">
        <v>9</v>
      </c>
      <c r="N304" t="s">
        <v>2213</v>
      </c>
      <c r="O304" t="s">
        <v>2214</v>
      </c>
      <c r="P304" s="22" t="str">
        <f>HYPERLINK(O304)</f>
        <v>https://www.scopus.com/inward/record.uri?eid=2-s2.0-85095457664&amp;doi=10.1108%2fJES-04-2020-0186&amp;partnerID=40&amp;md5=b70a4a53dbd63fe00f246a227417aa3c</v>
      </c>
      <c r="Q304" t="s">
        <v>156</v>
      </c>
      <c r="R304" t="s">
        <v>48</v>
      </c>
      <c r="T304" t="s">
        <v>6</v>
      </c>
      <c r="U304" t="s">
        <v>2215</v>
      </c>
      <c r="V304" s="36">
        <v>0</v>
      </c>
      <c r="W304" s="27">
        <v>1</v>
      </c>
      <c r="X304" s="27">
        <v>0</v>
      </c>
      <c r="Y304" s="27">
        <v>0</v>
      </c>
      <c r="Z304" s="27">
        <v>0</v>
      </c>
      <c r="AA304" s="27">
        <v>0</v>
      </c>
      <c r="AB304" s="27">
        <v>0</v>
      </c>
      <c r="AC304" s="27">
        <v>0</v>
      </c>
      <c r="AD304" s="27">
        <v>0</v>
      </c>
      <c r="AE304" s="27">
        <v>0</v>
      </c>
      <c r="AF304" s="27">
        <v>0</v>
      </c>
      <c r="AG304" s="27">
        <v>0</v>
      </c>
      <c r="AH304" s="27">
        <v>0</v>
      </c>
      <c r="AJ304">
        <f t="shared" si="4"/>
        <v>1</v>
      </c>
    </row>
    <row r="305" spans="1:36">
      <c r="A305" t="s">
        <v>2216</v>
      </c>
      <c r="B305" t="s">
        <v>2217</v>
      </c>
      <c r="C305" t="s">
        <v>1142</v>
      </c>
      <c r="D305" t="s">
        <v>2218</v>
      </c>
      <c r="E305">
        <v>2022</v>
      </c>
      <c r="F305" t="s">
        <v>2219</v>
      </c>
      <c r="G305">
        <v>36</v>
      </c>
      <c r="H305">
        <v>5</v>
      </c>
      <c r="J305">
        <v>1358</v>
      </c>
      <c r="K305">
        <v>1409</v>
      </c>
      <c r="L305">
        <v>51</v>
      </c>
      <c r="M305">
        <v>36</v>
      </c>
      <c r="N305" t="s">
        <v>2220</v>
      </c>
      <c r="O305" t="s">
        <v>2221</v>
      </c>
      <c r="P305" s="22" t="str">
        <f>HYPERLINK(O305)</f>
        <v>https://www.scopus.com/inward/record.uri?eid=2-s2.0-85127229220&amp;doi=10.1111%2fjoes.12502&amp;partnerID=40&amp;md5=b63c510116d34a1e9ce4d812ce268312</v>
      </c>
      <c r="Q305" t="s">
        <v>156</v>
      </c>
      <c r="R305" t="s">
        <v>48</v>
      </c>
      <c r="S305" t="s">
        <v>172</v>
      </c>
      <c r="T305" t="s">
        <v>6</v>
      </c>
      <c r="U305" t="s">
        <v>2222</v>
      </c>
      <c r="V305" s="36">
        <v>0</v>
      </c>
      <c r="W305" s="27">
        <v>1</v>
      </c>
      <c r="X305" s="27">
        <v>0</v>
      </c>
      <c r="Y305" s="27">
        <v>0</v>
      </c>
      <c r="Z305" s="27">
        <v>0</v>
      </c>
      <c r="AA305" s="27">
        <v>0</v>
      </c>
      <c r="AB305" s="27">
        <v>0</v>
      </c>
      <c r="AC305" s="27">
        <v>0</v>
      </c>
      <c r="AD305" s="27">
        <v>0</v>
      </c>
      <c r="AE305" s="27">
        <v>0</v>
      </c>
      <c r="AF305" s="27">
        <v>0</v>
      </c>
      <c r="AG305" s="27">
        <v>0</v>
      </c>
      <c r="AH305" s="27">
        <v>0</v>
      </c>
      <c r="AJ305">
        <f t="shared" si="4"/>
        <v>1</v>
      </c>
    </row>
    <row r="306" spans="1:36">
      <c r="A306" t="s">
        <v>2223</v>
      </c>
      <c r="B306" t="s">
        <v>2224</v>
      </c>
      <c r="C306" t="s">
        <v>2225</v>
      </c>
      <c r="D306" t="s">
        <v>2226</v>
      </c>
      <c r="E306">
        <v>2022</v>
      </c>
      <c r="F306" t="s">
        <v>2227</v>
      </c>
      <c r="G306">
        <v>23</v>
      </c>
      <c r="H306">
        <v>5</v>
      </c>
      <c r="J306">
        <v>2203</v>
      </c>
      <c r="K306">
        <v>2211</v>
      </c>
      <c r="L306">
        <v>8</v>
      </c>
      <c r="M306">
        <v>2</v>
      </c>
      <c r="O306" t="s">
        <v>2228</v>
      </c>
      <c r="P306" s="22" t="str">
        <f>HYPERLINK(O306)</f>
        <v>https://www.scopus.com/inward/record.uri?eid=2-s2.0-85137774716&amp;partnerID=40&amp;md5=263a75783a6234733ba4c7e02f3ae2c3</v>
      </c>
      <c r="Q306" t="s">
        <v>156</v>
      </c>
      <c r="R306" t="s">
        <v>48</v>
      </c>
      <c r="T306" t="s">
        <v>6</v>
      </c>
      <c r="U306" t="s">
        <v>2229</v>
      </c>
      <c r="V306" s="36">
        <v>0</v>
      </c>
      <c r="W306" s="27">
        <v>0</v>
      </c>
      <c r="X306" s="27">
        <v>0</v>
      </c>
      <c r="Y306" s="27">
        <v>0</v>
      </c>
      <c r="Z306" s="27">
        <v>0</v>
      </c>
      <c r="AA306" s="27">
        <v>0</v>
      </c>
      <c r="AB306" s="27">
        <v>0</v>
      </c>
      <c r="AC306" s="27">
        <v>0</v>
      </c>
      <c r="AD306" s="27">
        <v>0</v>
      </c>
      <c r="AE306" s="27">
        <v>0</v>
      </c>
      <c r="AF306" s="27">
        <v>0</v>
      </c>
      <c r="AG306" s="27">
        <v>0</v>
      </c>
      <c r="AH306" s="27">
        <v>1</v>
      </c>
      <c r="AJ306">
        <f t="shared" si="4"/>
        <v>1</v>
      </c>
    </row>
    <row r="307" spans="1:36">
      <c r="A307" t="s">
        <v>2230</v>
      </c>
      <c r="B307" t="s">
        <v>2231</v>
      </c>
      <c r="C307" t="s">
        <v>2232</v>
      </c>
      <c r="D307" t="s">
        <v>2233</v>
      </c>
      <c r="E307">
        <v>2011</v>
      </c>
      <c r="F307" t="s">
        <v>2234</v>
      </c>
      <c r="G307">
        <v>17</v>
      </c>
      <c r="H307" s="32">
        <v>45718</v>
      </c>
      <c r="J307">
        <v>355</v>
      </c>
      <c r="K307">
        <v>372</v>
      </c>
      <c r="L307">
        <v>17</v>
      </c>
      <c r="M307">
        <v>19</v>
      </c>
      <c r="N307" t="s">
        <v>2235</v>
      </c>
      <c r="O307" t="s">
        <v>2236</v>
      </c>
      <c r="P307" s="22" t="str">
        <f>HYPERLINK(O307)</f>
        <v>https://www.scopus.com/inward/record.uri?eid=2-s2.0-79957448961&amp;doi=10.1080%2f10454446.2011.548721&amp;partnerID=40&amp;md5=b5613db101c4e2adc1fc9dd09de9f971</v>
      </c>
      <c r="Q307" t="s">
        <v>156</v>
      </c>
      <c r="R307" t="s">
        <v>48</v>
      </c>
      <c r="T307" t="s">
        <v>6</v>
      </c>
      <c r="U307" t="s">
        <v>2237</v>
      </c>
      <c r="V307" s="36">
        <v>0</v>
      </c>
      <c r="W307" s="27">
        <v>0</v>
      </c>
      <c r="X307" s="27">
        <v>0</v>
      </c>
      <c r="Y307" s="27">
        <v>0</v>
      </c>
      <c r="Z307" s="27">
        <v>0</v>
      </c>
      <c r="AA307" s="27">
        <v>0</v>
      </c>
      <c r="AB307" s="27">
        <v>0</v>
      </c>
      <c r="AC307" s="27">
        <v>0</v>
      </c>
      <c r="AD307" s="27">
        <v>0</v>
      </c>
      <c r="AE307" s="27">
        <v>0</v>
      </c>
      <c r="AF307" s="27">
        <v>0</v>
      </c>
      <c r="AG307" s="27">
        <v>0</v>
      </c>
      <c r="AH307" s="27">
        <v>1</v>
      </c>
      <c r="AJ307">
        <f t="shared" si="4"/>
        <v>1</v>
      </c>
    </row>
    <row r="308" spans="1:36">
      <c r="A308" t="s">
        <v>2238</v>
      </c>
      <c r="B308" t="s">
        <v>2239</v>
      </c>
      <c r="C308" t="s">
        <v>2240</v>
      </c>
      <c r="D308" t="s">
        <v>2241</v>
      </c>
      <c r="E308">
        <v>1985</v>
      </c>
      <c r="F308" t="s">
        <v>2242</v>
      </c>
      <c r="G308">
        <v>4</v>
      </c>
      <c r="H308">
        <v>2</v>
      </c>
      <c r="J308">
        <v>183</v>
      </c>
      <c r="K308">
        <v>195</v>
      </c>
      <c r="L308">
        <v>12</v>
      </c>
      <c r="M308">
        <v>87</v>
      </c>
      <c r="N308" t="s">
        <v>2243</v>
      </c>
      <c r="O308" t="s">
        <v>2244</v>
      </c>
      <c r="P308" s="22" t="str">
        <f>HYPERLINK(O308)</f>
        <v>https://www.scopus.com/inward/record.uri?eid=2-s2.0-84984526179&amp;doi=10.1002%2ffor.3980040207&amp;partnerID=40&amp;md5=ab90fadccb7ddc511feec2ac253ab853</v>
      </c>
      <c r="Q308" t="s">
        <v>156</v>
      </c>
      <c r="R308" t="s">
        <v>48</v>
      </c>
      <c r="T308" t="s">
        <v>6</v>
      </c>
      <c r="U308" t="s">
        <v>2245</v>
      </c>
      <c r="V308" s="36">
        <v>0</v>
      </c>
      <c r="W308" s="27">
        <v>0</v>
      </c>
      <c r="X308" s="27">
        <v>0</v>
      </c>
      <c r="Y308" s="27">
        <v>0</v>
      </c>
      <c r="Z308" s="27">
        <v>0</v>
      </c>
      <c r="AA308" s="27">
        <v>0</v>
      </c>
      <c r="AB308" s="27">
        <v>0</v>
      </c>
      <c r="AC308" s="27">
        <v>0</v>
      </c>
      <c r="AD308" s="27">
        <v>0</v>
      </c>
      <c r="AE308" s="27">
        <v>0</v>
      </c>
      <c r="AF308" s="27">
        <v>1</v>
      </c>
      <c r="AG308" s="27">
        <v>0</v>
      </c>
      <c r="AH308" s="27">
        <v>0</v>
      </c>
      <c r="AJ308">
        <f t="shared" si="4"/>
        <v>1</v>
      </c>
    </row>
    <row r="309" spans="1:36">
      <c r="A309" t="s">
        <v>2246</v>
      </c>
      <c r="B309" t="s">
        <v>2247</v>
      </c>
      <c r="C309" t="s">
        <v>2248</v>
      </c>
      <c r="D309" t="s">
        <v>2249</v>
      </c>
      <c r="E309">
        <v>2013</v>
      </c>
      <c r="F309" t="s">
        <v>2250</v>
      </c>
      <c r="G309">
        <v>132</v>
      </c>
      <c r="J309">
        <v>90</v>
      </c>
      <c r="K309">
        <v>110</v>
      </c>
      <c r="L309">
        <v>20</v>
      </c>
      <c r="M309">
        <v>12</v>
      </c>
      <c r="N309" t="s">
        <v>2251</v>
      </c>
      <c r="O309" t="s">
        <v>2252</v>
      </c>
      <c r="P309" s="22" t="str">
        <f>HYPERLINK(O309)</f>
        <v>https://www.scopus.com/inward/record.uri?eid=2-s2.0-84881555868&amp;doi=10.1016%2fj.gexplo.2013.06.007&amp;partnerID=40&amp;md5=7ca41160983f4d4798b9bd54d8319c9f</v>
      </c>
      <c r="Q309" t="s">
        <v>156</v>
      </c>
      <c r="R309" t="s">
        <v>48</v>
      </c>
      <c r="T309" t="s">
        <v>6</v>
      </c>
      <c r="U309" t="s">
        <v>2253</v>
      </c>
      <c r="V309" s="36">
        <v>0</v>
      </c>
      <c r="W309" s="27">
        <v>0</v>
      </c>
      <c r="X309" s="27">
        <v>0</v>
      </c>
      <c r="Y309" s="27">
        <v>0</v>
      </c>
      <c r="Z309" s="27">
        <v>0</v>
      </c>
      <c r="AA309" s="27">
        <v>0</v>
      </c>
      <c r="AB309" s="27">
        <v>0</v>
      </c>
      <c r="AC309" s="27">
        <v>0</v>
      </c>
      <c r="AD309" s="27">
        <v>0</v>
      </c>
      <c r="AE309" s="27">
        <v>0</v>
      </c>
      <c r="AF309" s="27">
        <v>0</v>
      </c>
      <c r="AG309" s="27">
        <v>0</v>
      </c>
      <c r="AH309" s="27">
        <v>1</v>
      </c>
      <c r="AJ309">
        <f t="shared" si="4"/>
        <v>1</v>
      </c>
    </row>
    <row r="310" spans="1:36">
      <c r="A310" t="s">
        <v>2254</v>
      </c>
      <c r="B310" t="s">
        <v>2255</v>
      </c>
      <c r="C310" t="s">
        <v>2256</v>
      </c>
      <c r="D310" t="s">
        <v>2257</v>
      </c>
      <c r="E310">
        <v>2024</v>
      </c>
      <c r="F310" t="s">
        <v>2258</v>
      </c>
      <c r="G310">
        <v>34</v>
      </c>
      <c r="H310">
        <v>9</v>
      </c>
      <c r="J310">
        <v>1761</v>
      </c>
      <c r="K310">
        <v>1796</v>
      </c>
      <c r="L310">
        <v>35</v>
      </c>
      <c r="M310">
        <v>0</v>
      </c>
      <c r="N310" t="s">
        <v>2259</v>
      </c>
      <c r="O310" t="s">
        <v>2260</v>
      </c>
      <c r="P310" s="22" t="str">
        <f>HYPERLINK(O310)</f>
        <v>https://www.scopus.com/inward/record.uri?eid=2-s2.0-85204289415&amp;doi=10.1007%2fs11442-024-2270-7&amp;partnerID=40&amp;md5=edb2c4e2541a83e4a2d957668c82ba99</v>
      </c>
      <c r="Q310" t="s">
        <v>156</v>
      </c>
      <c r="R310" t="s">
        <v>48</v>
      </c>
      <c r="T310" t="s">
        <v>6</v>
      </c>
      <c r="U310" t="s">
        <v>2261</v>
      </c>
      <c r="V310" s="36">
        <v>0</v>
      </c>
      <c r="W310" s="27">
        <v>1</v>
      </c>
      <c r="X310" s="27">
        <v>0</v>
      </c>
      <c r="Y310" s="27">
        <v>0</v>
      </c>
      <c r="Z310" s="27">
        <v>0</v>
      </c>
      <c r="AA310" s="27">
        <v>0</v>
      </c>
      <c r="AB310" s="27">
        <v>0</v>
      </c>
      <c r="AC310" s="27">
        <v>0</v>
      </c>
      <c r="AD310" s="27">
        <v>0</v>
      </c>
      <c r="AE310" s="27">
        <v>0</v>
      </c>
      <c r="AF310" s="27">
        <v>0</v>
      </c>
      <c r="AG310" s="27">
        <v>0</v>
      </c>
      <c r="AH310" s="27">
        <v>0</v>
      </c>
      <c r="AJ310">
        <f t="shared" si="4"/>
        <v>1</v>
      </c>
    </row>
    <row r="311" spans="1:36">
      <c r="A311" t="s">
        <v>2262</v>
      </c>
      <c r="B311" t="s">
        <v>2263</v>
      </c>
      <c r="C311" t="s">
        <v>2264</v>
      </c>
      <c r="D311" t="s">
        <v>2265</v>
      </c>
      <c r="E311">
        <v>2013</v>
      </c>
      <c r="F311" t="s">
        <v>2266</v>
      </c>
      <c r="G311">
        <v>15</v>
      </c>
      <c r="H311">
        <v>3</v>
      </c>
      <c r="J311">
        <v>319</v>
      </c>
      <c r="K311">
        <v>367</v>
      </c>
      <c r="L311">
        <v>48</v>
      </c>
      <c r="M311">
        <v>19</v>
      </c>
      <c r="N311" t="s">
        <v>2267</v>
      </c>
      <c r="O311" t="s">
        <v>2268</v>
      </c>
      <c r="P311" s="22" t="str">
        <f>HYPERLINK(O311)</f>
        <v>https://www.scopus.com/inward/record.uri?eid=2-s2.0-84879460311&amp;doi=10.1007%2fs10109-013-0183-6&amp;partnerID=40&amp;md5=2099c97a31cc52b7f68fa9a6aa49ed3c</v>
      </c>
      <c r="Q311" t="s">
        <v>156</v>
      </c>
      <c r="R311" t="s">
        <v>48</v>
      </c>
      <c r="S311" t="s">
        <v>164</v>
      </c>
      <c r="T311" t="s">
        <v>6</v>
      </c>
      <c r="U311" t="s">
        <v>2269</v>
      </c>
      <c r="V311" s="36">
        <v>0</v>
      </c>
      <c r="W311" s="27">
        <v>1</v>
      </c>
      <c r="X311" s="27">
        <v>0</v>
      </c>
      <c r="Y311" s="27">
        <v>0</v>
      </c>
      <c r="Z311" s="27">
        <v>0</v>
      </c>
      <c r="AA311" s="27">
        <v>0</v>
      </c>
      <c r="AB311" s="27">
        <v>0</v>
      </c>
      <c r="AC311" s="27">
        <v>0</v>
      </c>
      <c r="AD311" s="27">
        <v>0</v>
      </c>
      <c r="AE311" s="27">
        <v>0</v>
      </c>
      <c r="AF311" s="27">
        <v>0</v>
      </c>
      <c r="AG311" s="27">
        <v>0</v>
      </c>
      <c r="AH311" s="27">
        <v>0</v>
      </c>
      <c r="AJ311">
        <f t="shared" si="4"/>
        <v>1</v>
      </c>
    </row>
    <row r="312" spans="1:36">
      <c r="A312" t="s">
        <v>2270</v>
      </c>
      <c r="B312" t="s">
        <v>2271</v>
      </c>
      <c r="C312" t="s">
        <v>2272</v>
      </c>
      <c r="D312" t="s">
        <v>2273</v>
      </c>
      <c r="E312">
        <v>2021</v>
      </c>
      <c r="F312" t="s">
        <v>2274</v>
      </c>
      <c r="G312">
        <v>47</v>
      </c>
      <c r="J312">
        <v>124</v>
      </c>
      <c r="K312">
        <v>133</v>
      </c>
      <c r="L312">
        <v>9</v>
      </c>
      <c r="M312">
        <v>119</v>
      </c>
      <c r="N312" t="s">
        <v>2275</v>
      </c>
      <c r="O312" t="s">
        <v>2276</v>
      </c>
      <c r="P312" s="22" t="str">
        <f>HYPERLINK(O312)</f>
        <v>https://www.scopus.com/inward/record.uri?eid=2-s2.0-85102572617&amp;doi=10.1016%2fj.jhtm.2021.03.009&amp;partnerID=40&amp;md5=ecfa81c6b092b9e97c6f4bdce4867b05</v>
      </c>
      <c r="Q312" t="s">
        <v>156</v>
      </c>
      <c r="R312" t="s">
        <v>48</v>
      </c>
      <c r="T312" t="s">
        <v>6</v>
      </c>
      <c r="U312" t="s">
        <v>2277</v>
      </c>
      <c r="V312" s="36">
        <v>0</v>
      </c>
      <c r="W312" s="27">
        <v>1</v>
      </c>
      <c r="X312" s="27">
        <v>0</v>
      </c>
      <c r="Y312" s="27">
        <v>0</v>
      </c>
      <c r="Z312" s="27">
        <v>0</v>
      </c>
      <c r="AA312" s="27">
        <v>0</v>
      </c>
      <c r="AB312" s="27">
        <v>0</v>
      </c>
      <c r="AC312" s="27">
        <v>0</v>
      </c>
      <c r="AD312" s="27">
        <v>0</v>
      </c>
      <c r="AE312" s="27">
        <v>0</v>
      </c>
      <c r="AF312" s="27">
        <v>0</v>
      </c>
      <c r="AG312" s="27">
        <v>0</v>
      </c>
      <c r="AH312" s="27">
        <v>0</v>
      </c>
      <c r="AJ312">
        <f t="shared" si="4"/>
        <v>1</v>
      </c>
    </row>
    <row r="313" spans="1:36">
      <c r="A313" t="s">
        <v>2278</v>
      </c>
      <c r="B313" t="s">
        <v>2279</v>
      </c>
      <c r="C313" t="s">
        <v>2280</v>
      </c>
      <c r="D313" t="s">
        <v>2281</v>
      </c>
      <c r="E313">
        <v>2021</v>
      </c>
      <c r="F313" t="s">
        <v>2274</v>
      </c>
      <c r="G313">
        <v>49</v>
      </c>
      <c r="J313">
        <v>54</v>
      </c>
      <c r="K313">
        <v>64</v>
      </c>
      <c r="L313">
        <v>10</v>
      </c>
      <c r="M313">
        <v>15</v>
      </c>
      <c r="N313" t="s">
        <v>2282</v>
      </c>
      <c r="O313" t="s">
        <v>2283</v>
      </c>
      <c r="P313" s="22" t="str">
        <f>HYPERLINK(O313)</f>
        <v>https://www.scopus.com/inward/record.uri?eid=2-s2.0-85114446429&amp;doi=10.1016%2fj.jhtm.2021.08.019&amp;partnerID=40&amp;md5=0a2f48982646485e246db4471dbeea75</v>
      </c>
      <c r="Q313" t="s">
        <v>156</v>
      </c>
      <c r="R313" t="s">
        <v>48</v>
      </c>
      <c r="T313" t="s">
        <v>6</v>
      </c>
      <c r="U313" t="s">
        <v>2284</v>
      </c>
      <c r="V313" s="36">
        <v>1</v>
      </c>
      <c r="W313" s="27">
        <v>0</v>
      </c>
      <c r="X313" s="27">
        <v>0</v>
      </c>
      <c r="Y313" s="27">
        <v>0</v>
      </c>
      <c r="Z313" s="27">
        <v>0</v>
      </c>
      <c r="AA313" s="27">
        <v>0</v>
      </c>
      <c r="AB313" s="27">
        <v>0</v>
      </c>
      <c r="AC313" s="27">
        <v>0</v>
      </c>
      <c r="AD313" s="27">
        <v>0</v>
      </c>
      <c r="AE313" s="27">
        <v>0</v>
      </c>
      <c r="AF313" s="27">
        <v>0</v>
      </c>
      <c r="AG313" s="27">
        <v>0</v>
      </c>
      <c r="AH313" s="27">
        <v>0</v>
      </c>
      <c r="AJ313">
        <f t="shared" si="4"/>
        <v>1</v>
      </c>
    </row>
    <row r="314" spans="1:36">
      <c r="A314" t="s">
        <v>2285</v>
      </c>
      <c r="B314" t="s">
        <v>2286</v>
      </c>
      <c r="C314" t="s">
        <v>2287</v>
      </c>
      <c r="D314" t="s">
        <v>2288</v>
      </c>
      <c r="E314">
        <v>2021</v>
      </c>
      <c r="F314" t="s">
        <v>2274</v>
      </c>
      <c r="G314">
        <v>49</v>
      </c>
      <c r="J314">
        <v>614</v>
      </c>
      <c r="K314">
        <v>623</v>
      </c>
      <c r="L314">
        <v>9</v>
      </c>
      <c r="M314">
        <v>38</v>
      </c>
      <c r="N314" t="s">
        <v>2289</v>
      </c>
      <c r="O314" t="s">
        <v>2290</v>
      </c>
      <c r="P314" s="22" t="str">
        <f>HYPERLINK(O314)</f>
        <v>https://www.scopus.com/inward/record.uri?eid=2-s2.0-85119609667&amp;doi=10.1016%2fj.jhtm.2021.11.012&amp;partnerID=40&amp;md5=1ebd72e68d4a5f4f890f8a5aeb480984</v>
      </c>
      <c r="Q314" t="s">
        <v>156</v>
      </c>
      <c r="R314" t="s">
        <v>48</v>
      </c>
      <c r="T314" t="s">
        <v>6</v>
      </c>
      <c r="U314" t="s">
        <v>2291</v>
      </c>
      <c r="V314" s="36">
        <v>0</v>
      </c>
      <c r="W314" s="27">
        <v>1</v>
      </c>
      <c r="X314" s="27">
        <v>0</v>
      </c>
      <c r="Y314" s="27">
        <v>0</v>
      </c>
      <c r="Z314" s="27">
        <v>0</v>
      </c>
      <c r="AA314" s="27">
        <v>0</v>
      </c>
      <c r="AB314" s="27">
        <v>0</v>
      </c>
      <c r="AC314" s="27">
        <v>0</v>
      </c>
      <c r="AD314" s="27">
        <v>0</v>
      </c>
      <c r="AE314" s="27">
        <v>0</v>
      </c>
      <c r="AF314" s="27">
        <v>0</v>
      </c>
      <c r="AG314" s="27">
        <v>0</v>
      </c>
      <c r="AH314" s="27">
        <v>0</v>
      </c>
      <c r="AJ314">
        <f t="shared" si="4"/>
        <v>1</v>
      </c>
    </row>
    <row r="315" spans="1:36">
      <c r="A315" t="s">
        <v>2292</v>
      </c>
      <c r="B315" t="s">
        <v>2293</v>
      </c>
      <c r="C315" t="s">
        <v>2294</v>
      </c>
      <c r="D315" t="s">
        <v>2295</v>
      </c>
      <c r="E315">
        <v>2020</v>
      </c>
      <c r="F315" t="s">
        <v>2296</v>
      </c>
      <c r="G315">
        <v>44</v>
      </c>
      <c r="H315">
        <v>8</v>
      </c>
      <c r="J315">
        <v>1183</v>
      </c>
      <c r="K315">
        <v>1202</v>
      </c>
      <c r="L315">
        <v>19</v>
      </c>
      <c r="M315">
        <v>20</v>
      </c>
      <c r="N315" t="s">
        <v>2297</v>
      </c>
      <c r="O315" t="s">
        <v>2298</v>
      </c>
      <c r="P315" s="22" t="str">
        <f>HYPERLINK(O315)</f>
        <v>https://www.scopus.com/inward/record.uri?eid=2-s2.0-85089180761&amp;doi=10.1177%2f1096348020945370&amp;partnerID=40&amp;md5=894f203098912ca0b5e485760970c4ab</v>
      </c>
      <c r="Q315" t="s">
        <v>156</v>
      </c>
      <c r="R315" t="s">
        <v>48</v>
      </c>
      <c r="T315" t="s">
        <v>6</v>
      </c>
      <c r="U315" t="s">
        <v>2299</v>
      </c>
      <c r="V315" s="36">
        <v>0</v>
      </c>
      <c r="W315" s="27">
        <v>1</v>
      </c>
      <c r="X315" s="27">
        <v>0</v>
      </c>
      <c r="Y315" s="27">
        <v>0</v>
      </c>
      <c r="Z315" s="27">
        <v>0</v>
      </c>
      <c r="AA315" s="27">
        <v>0</v>
      </c>
      <c r="AB315" s="27">
        <v>0</v>
      </c>
      <c r="AC315" s="27">
        <v>0</v>
      </c>
      <c r="AD315" s="27">
        <v>0</v>
      </c>
      <c r="AE315" s="27">
        <v>0</v>
      </c>
      <c r="AF315" s="27">
        <v>0</v>
      </c>
      <c r="AG315" s="27">
        <v>0</v>
      </c>
      <c r="AH315" s="27">
        <v>0</v>
      </c>
      <c r="AJ315">
        <f t="shared" si="4"/>
        <v>1</v>
      </c>
    </row>
    <row r="316" spans="1:36">
      <c r="A316" t="s">
        <v>2300</v>
      </c>
      <c r="B316" t="s">
        <v>2301</v>
      </c>
      <c r="C316" t="s">
        <v>2302</v>
      </c>
      <c r="D316" t="s">
        <v>2303</v>
      </c>
      <c r="E316">
        <v>2013</v>
      </c>
      <c r="F316" t="s">
        <v>2304</v>
      </c>
      <c r="G316">
        <v>24</v>
      </c>
      <c r="H316">
        <v>1</v>
      </c>
      <c r="J316">
        <v>1</v>
      </c>
      <c r="K316">
        <v>17</v>
      </c>
      <c r="L316">
        <v>16</v>
      </c>
      <c r="M316">
        <v>1</v>
      </c>
      <c r="N316" t="s">
        <v>2305</v>
      </c>
      <c r="O316" t="s">
        <v>2306</v>
      </c>
      <c r="P316" s="22" t="str">
        <f>HYPERLINK(O316)</f>
        <v>https://www.scopus.com/inward/record.uri?eid=2-s2.0-84900452040&amp;doi=10.4197%2fEar.24-1.1&amp;partnerID=40&amp;md5=e1db5885ca3e51724a612e54bc0f6d09</v>
      </c>
      <c r="Q316" t="s">
        <v>156</v>
      </c>
      <c r="R316" t="s">
        <v>48</v>
      </c>
      <c r="T316" t="s">
        <v>6</v>
      </c>
      <c r="U316" t="s">
        <v>2307</v>
      </c>
      <c r="V316" s="36">
        <v>0</v>
      </c>
      <c r="W316" s="27">
        <v>0</v>
      </c>
      <c r="X316" s="27">
        <v>0</v>
      </c>
      <c r="Y316" s="27">
        <v>0</v>
      </c>
      <c r="Z316" s="27">
        <v>0</v>
      </c>
      <c r="AA316" s="27">
        <v>0</v>
      </c>
      <c r="AB316" s="27">
        <v>0</v>
      </c>
      <c r="AC316" s="27">
        <v>0</v>
      </c>
      <c r="AD316" s="27">
        <v>0</v>
      </c>
      <c r="AE316" s="27">
        <v>0</v>
      </c>
      <c r="AF316" s="27">
        <v>0</v>
      </c>
      <c r="AG316" s="27">
        <v>0</v>
      </c>
      <c r="AH316" s="27">
        <v>1</v>
      </c>
      <c r="AJ316">
        <f t="shared" si="4"/>
        <v>1</v>
      </c>
    </row>
    <row r="317" spans="1:36">
      <c r="A317" t="s">
        <v>2308</v>
      </c>
      <c r="B317" t="s">
        <v>2309</v>
      </c>
      <c r="C317" t="s">
        <v>2310</v>
      </c>
      <c r="D317" t="s">
        <v>2311</v>
      </c>
      <c r="E317">
        <v>2023</v>
      </c>
      <c r="F317" t="s">
        <v>2312</v>
      </c>
      <c r="G317">
        <v>11</v>
      </c>
      <c r="H317">
        <v>7</v>
      </c>
      <c r="I317">
        <v>1264</v>
      </c>
      <c r="M317">
        <v>2</v>
      </c>
      <c r="N317" t="s">
        <v>2313</v>
      </c>
      <c r="O317" t="s">
        <v>2314</v>
      </c>
      <c r="P317" s="22" t="str">
        <f>HYPERLINK(O317)</f>
        <v>https://www.scopus.com/inward/record.uri?eid=2-s2.0-85166176625&amp;doi=10.3390%2fjmse11071264&amp;partnerID=40&amp;md5=b40c3355dfc2378d4618fd771e946a25</v>
      </c>
      <c r="Q317" t="s">
        <v>156</v>
      </c>
      <c r="R317" t="s">
        <v>48</v>
      </c>
      <c r="S317" t="s">
        <v>185</v>
      </c>
      <c r="T317" t="s">
        <v>6</v>
      </c>
      <c r="U317" t="s">
        <v>2315</v>
      </c>
      <c r="V317" s="36">
        <v>0</v>
      </c>
      <c r="W317" s="27">
        <v>0</v>
      </c>
      <c r="X317" s="27">
        <v>0</v>
      </c>
      <c r="Y317" s="27">
        <v>0</v>
      </c>
      <c r="Z317" s="27">
        <v>0</v>
      </c>
      <c r="AA317" s="27">
        <v>0</v>
      </c>
      <c r="AB317" s="27">
        <v>0</v>
      </c>
      <c r="AC317" s="27">
        <v>0</v>
      </c>
      <c r="AD317" s="27">
        <v>0</v>
      </c>
      <c r="AE317" s="27">
        <v>0</v>
      </c>
      <c r="AF317" s="27">
        <v>0</v>
      </c>
      <c r="AG317" s="27">
        <v>0</v>
      </c>
      <c r="AH317" s="27">
        <v>1</v>
      </c>
      <c r="AJ317">
        <f t="shared" si="4"/>
        <v>1</v>
      </c>
    </row>
    <row r="318" spans="1:36">
      <c r="A318" t="s">
        <v>2316</v>
      </c>
      <c r="B318" t="s">
        <v>2317</v>
      </c>
      <c r="C318" t="s">
        <v>2318</v>
      </c>
      <c r="D318" t="s">
        <v>2319</v>
      </c>
      <c r="E318">
        <v>2024</v>
      </c>
      <c r="F318" t="s">
        <v>2320</v>
      </c>
      <c r="G318">
        <v>21</v>
      </c>
      <c r="H318">
        <v>2</v>
      </c>
      <c r="J318">
        <v>304</v>
      </c>
      <c r="K318">
        <v>312</v>
      </c>
      <c r="L318">
        <v>8</v>
      </c>
      <c r="M318">
        <v>0</v>
      </c>
      <c r="O318" t="s">
        <v>2321</v>
      </c>
      <c r="P318" s="22" t="str">
        <f>HYPERLINK(O318)</f>
        <v>https://www.scopus.com/inward/record.uri?eid=2-s2.0-85205946046&amp;partnerID=40&amp;md5=39ecc6e2ef7be1bac3628ebea2b5b9fd</v>
      </c>
      <c r="Q318" t="s">
        <v>156</v>
      </c>
      <c r="R318" t="s">
        <v>48</v>
      </c>
      <c r="T318" t="s">
        <v>6</v>
      </c>
      <c r="U318" t="s">
        <v>2322</v>
      </c>
      <c r="V318" s="36">
        <v>0</v>
      </c>
      <c r="W318" s="27">
        <v>0</v>
      </c>
      <c r="X318" s="27">
        <v>0</v>
      </c>
      <c r="Y318" s="27">
        <v>0</v>
      </c>
      <c r="Z318" s="27">
        <v>0</v>
      </c>
      <c r="AA318" s="27">
        <v>0</v>
      </c>
      <c r="AB318" s="27">
        <v>0</v>
      </c>
      <c r="AC318" s="27">
        <v>0</v>
      </c>
      <c r="AD318" s="27">
        <v>0</v>
      </c>
      <c r="AE318" s="27">
        <v>0</v>
      </c>
      <c r="AF318" s="27">
        <v>0</v>
      </c>
      <c r="AG318" s="27">
        <v>0</v>
      </c>
      <c r="AH318" s="27">
        <v>1</v>
      </c>
      <c r="AJ318">
        <f t="shared" si="4"/>
        <v>1</v>
      </c>
    </row>
    <row r="319" spans="1:36">
      <c r="A319" t="s">
        <v>2323</v>
      </c>
      <c r="B319" t="s">
        <v>2324</v>
      </c>
      <c r="C319">
        <v>7201866676</v>
      </c>
      <c r="D319" t="s">
        <v>2325</v>
      </c>
      <c r="E319">
        <v>2001</v>
      </c>
      <c r="F319" t="s">
        <v>2326</v>
      </c>
      <c r="G319">
        <v>49</v>
      </c>
      <c r="H319" s="32">
        <v>45908</v>
      </c>
      <c r="J319">
        <v>329</v>
      </c>
      <c r="K319">
        <v>336</v>
      </c>
      <c r="L319">
        <v>7</v>
      </c>
      <c r="M319">
        <v>0</v>
      </c>
      <c r="O319" t="s">
        <v>2327</v>
      </c>
      <c r="P319" s="22" t="str">
        <f>HYPERLINK(O319)</f>
        <v>https://www.scopus.com/inward/record.uri?eid=2-s2.0-28644450378&amp;partnerID=40&amp;md5=0ceaa1c069445217c00f6d2cfc5770b0</v>
      </c>
      <c r="Q319" t="s">
        <v>156</v>
      </c>
      <c r="R319" t="s">
        <v>48</v>
      </c>
      <c r="T319" t="s">
        <v>6</v>
      </c>
      <c r="U319" t="s">
        <v>2328</v>
      </c>
      <c r="V319" s="36">
        <v>0</v>
      </c>
      <c r="W319" s="27">
        <v>0</v>
      </c>
      <c r="X319" s="27">
        <v>0</v>
      </c>
      <c r="Y319" s="27">
        <v>0</v>
      </c>
      <c r="Z319" s="27">
        <v>0</v>
      </c>
      <c r="AA319" s="27">
        <v>0</v>
      </c>
      <c r="AB319" s="27">
        <v>0</v>
      </c>
      <c r="AC319" s="27">
        <v>0</v>
      </c>
      <c r="AD319" s="27">
        <v>0</v>
      </c>
      <c r="AE319" s="27">
        <v>0</v>
      </c>
      <c r="AF319" s="27">
        <v>0</v>
      </c>
      <c r="AG319" s="27">
        <v>0</v>
      </c>
      <c r="AH319" s="27">
        <v>1</v>
      </c>
      <c r="AJ319">
        <f t="shared" si="4"/>
        <v>1</v>
      </c>
    </row>
    <row r="320" spans="1:36">
      <c r="A320" t="s">
        <v>2329</v>
      </c>
      <c r="B320" t="s">
        <v>2330</v>
      </c>
      <c r="C320">
        <v>55588111400</v>
      </c>
      <c r="D320" t="s">
        <v>2331</v>
      </c>
      <c r="E320">
        <v>2019</v>
      </c>
      <c r="F320" t="s">
        <v>2332</v>
      </c>
      <c r="G320">
        <v>24</v>
      </c>
      <c r="H320">
        <v>5</v>
      </c>
      <c r="J320">
        <v>807</v>
      </c>
      <c r="K320">
        <v>829</v>
      </c>
      <c r="L320">
        <v>22</v>
      </c>
      <c r="M320">
        <v>3</v>
      </c>
      <c r="N320" t="s">
        <v>2333</v>
      </c>
      <c r="O320" t="s">
        <v>2334</v>
      </c>
      <c r="P320" s="22" t="str">
        <f>HYPERLINK(O320)</f>
        <v>https://www.scopus.com/inward/record.uri?eid=2-s2.0-85048041966&amp;doi=10.1080%2f13629387.2018.1480945&amp;partnerID=40&amp;md5=fbe3e1e9c6e9c6ee338691e2aadece19</v>
      </c>
      <c r="Q320" t="s">
        <v>156</v>
      </c>
      <c r="R320" t="s">
        <v>48</v>
      </c>
      <c r="T320" t="s">
        <v>6</v>
      </c>
      <c r="U320" t="s">
        <v>2335</v>
      </c>
      <c r="V320" s="36">
        <v>0</v>
      </c>
      <c r="W320" s="27">
        <v>0</v>
      </c>
      <c r="X320" s="27">
        <v>0</v>
      </c>
      <c r="Y320" s="27">
        <v>0</v>
      </c>
      <c r="Z320" s="27">
        <v>0</v>
      </c>
      <c r="AA320" s="27">
        <v>0</v>
      </c>
      <c r="AB320" s="27">
        <v>0</v>
      </c>
      <c r="AC320" s="27">
        <v>0</v>
      </c>
      <c r="AD320" s="27">
        <v>0</v>
      </c>
      <c r="AE320" s="27">
        <v>0</v>
      </c>
      <c r="AF320" s="27">
        <v>0</v>
      </c>
      <c r="AG320" s="27">
        <v>0</v>
      </c>
      <c r="AH320" s="27">
        <v>1</v>
      </c>
      <c r="AJ320">
        <f t="shared" si="4"/>
        <v>1</v>
      </c>
    </row>
    <row r="321" spans="1:36">
      <c r="A321" t="s">
        <v>2336</v>
      </c>
      <c r="B321" t="s">
        <v>2337</v>
      </c>
      <c r="C321" t="s">
        <v>2338</v>
      </c>
      <c r="D321" t="s">
        <v>2339</v>
      </c>
      <c r="E321">
        <v>2021</v>
      </c>
      <c r="F321" t="s">
        <v>2340</v>
      </c>
      <c r="G321">
        <v>1816</v>
      </c>
      <c r="H321">
        <v>1</v>
      </c>
      <c r="I321">
        <v>12100</v>
      </c>
      <c r="M321">
        <v>3</v>
      </c>
      <c r="N321" t="s">
        <v>2341</v>
      </c>
      <c r="O321" t="s">
        <v>2342</v>
      </c>
      <c r="P321" s="22" t="str">
        <f>HYPERLINK(O321)</f>
        <v>https://www.scopus.com/inward/record.uri?eid=2-s2.0-85103100124&amp;doi=10.1088%2f1742-6596%2f1816%2f1%2f012100&amp;partnerID=40&amp;md5=2435d92db091570efac330ae63243ca3</v>
      </c>
      <c r="Q321" t="s">
        <v>62</v>
      </c>
      <c r="R321" t="s">
        <v>48</v>
      </c>
      <c r="S321" t="s">
        <v>185</v>
      </c>
      <c r="T321" t="s">
        <v>6</v>
      </c>
      <c r="U321" t="s">
        <v>2343</v>
      </c>
      <c r="V321" s="36">
        <v>0</v>
      </c>
      <c r="W321" s="27">
        <v>0</v>
      </c>
      <c r="X321" s="27">
        <v>0</v>
      </c>
      <c r="Y321" s="27">
        <v>0</v>
      </c>
      <c r="Z321" s="27">
        <v>0</v>
      </c>
      <c r="AA321" s="27">
        <v>0</v>
      </c>
      <c r="AB321" s="27">
        <v>0</v>
      </c>
      <c r="AC321" s="27">
        <v>0</v>
      </c>
      <c r="AD321" s="27">
        <v>0</v>
      </c>
      <c r="AE321" s="27">
        <v>0</v>
      </c>
      <c r="AF321" s="27">
        <v>0</v>
      </c>
      <c r="AG321" s="27">
        <v>0</v>
      </c>
      <c r="AH321" s="27">
        <v>0</v>
      </c>
      <c r="AJ321">
        <f t="shared" si="4"/>
        <v>0</v>
      </c>
    </row>
    <row r="322" spans="1:36">
      <c r="A322" t="s">
        <v>2344</v>
      </c>
      <c r="B322" t="s">
        <v>2345</v>
      </c>
      <c r="C322" t="s">
        <v>2346</v>
      </c>
      <c r="D322" t="s">
        <v>2347</v>
      </c>
      <c r="E322">
        <v>2019</v>
      </c>
      <c r="F322" t="s">
        <v>2340</v>
      </c>
      <c r="G322">
        <v>1423</v>
      </c>
      <c r="H322">
        <v>1</v>
      </c>
      <c r="I322">
        <v>12021</v>
      </c>
      <c r="M322">
        <v>1</v>
      </c>
      <c r="N322" t="s">
        <v>2348</v>
      </c>
      <c r="O322" t="s">
        <v>2349</v>
      </c>
      <c r="P322" s="22" t="str">
        <f>HYPERLINK(O322)</f>
        <v>https://www.scopus.com/inward/record.uri?eid=2-s2.0-85078132272&amp;doi=10.1088%2f1742-6596%2f1423%2f1%2f012021&amp;partnerID=40&amp;md5=29e1cc72276d1b443faa00c04d1de8ad</v>
      </c>
      <c r="Q322" t="s">
        <v>62</v>
      </c>
      <c r="R322" t="s">
        <v>48</v>
      </c>
      <c r="S322" t="s">
        <v>185</v>
      </c>
      <c r="T322" t="s">
        <v>6</v>
      </c>
      <c r="U322" t="s">
        <v>2350</v>
      </c>
      <c r="V322" s="36">
        <v>0</v>
      </c>
      <c r="W322" s="27">
        <v>1</v>
      </c>
      <c r="X322" s="27">
        <v>0</v>
      </c>
      <c r="Y322" s="27">
        <v>0</v>
      </c>
      <c r="Z322" s="27">
        <v>0</v>
      </c>
      <c r="AA322" s="27">
        <v>0</v>
      </c>
      <c r="AB322" s="27">
        <v>0</v>
      </c>
      <c r="AC322" s="27">
        <v>0</v>
      </c>
      <c r="AD322" s="27">
        <v>0</v>
      </c>
      <c r="AE322" s="27">
        <v>0</v>
      </c>
      <c r="AF322" s="27">
        <v>0</v>
      </c>
      <c r="AG322" s="27">
        <v>0</v>
      </c>
      <c r="AH322" s="27">
        <v>1</v>
      </c>
      <c r="AJ322">
        <f t="shared" ref="AJ322:AJ385" si="5">SUM(V322:AH322)</f>
        <v>2</v>
      </c>
    </row>
    <row r="323" spans="1:36">
      <c r="A323" t="s">
        <v>2351</v>
      </c>
      <c r="B323" t="s">
        <v>2352</v>
      </c>
      <c r="C323" t="s">
        <v>2353</v>
      </c>
      <c r="D323" t="s">
        <v>2354</v>
      </c>
      <c r="E323">
        <v>2020</v>
      </c>
      <c r="F323" t="s">
        <v>2340</v>
      </c>
      <c r="G323">
        <v>1599</v>
      </c>
      <c r="H323">
        <v>1</v>
      </c>
      <c r="I323">
        <v>12058</v>
      </c>
      <c r="M323">
        <v>3</v>
      </c>
      <c r="N323" t="s">
        <v>2355</v>
      </c>
      <c r="O323" t="s">
        <v>2356</v>
      </c>
      <c r="P323" s="22" t="str">
        <f>HYPERLINK(O323)</f>
        <v>https://www.scopus.com/inward/record.uri?eid=2-s2.0-85092378505&amp;doi=10.1088%2f1742-6596%2f1599%2f1%2f012058&amp;partnerID=40&amp;md5=9c7f7a9205acd20f2928e42fe3bfaf32</v>
      </c>
      <c r="Q323" t="s">
        <v>62</v>
      </c>
      <c r="R323" t="s">
        <v>48</v>
      </c>
      <c r="S323" t="s">
        <v>185</v>
      </c>
      <c r="T323" t="s">
        <v>6</v>
      </c>
      <c r="U323" t="s">
        <v>2357</v>
      </c>
      <c r="V323" s="36">
        <v>0</v>
      </c>
      <c r="W323" s="27">
        <v>0</v>
      </c>
      <c r="X323" s="27">
        <v>0</v>
      </c>
      <c r="Y323" s="27">
        <v>0</v>
      </c>
      <c r="Z323" s="27">
        <v>0</v>
      </c>
      <c r="AA323" s="27">
        <v>0</v>
      </c>
      <c r="AB323" s="27">
        <v>0</v>
      </c>
      <c r="AC323" s="27">
        <v>0</v>
      </c>
      <c r="AD323" s="27">
        <v>0</v>
      </c>
      <c r="AE323" s="27">
        <v>0</v>
      </c>
      <c r="AF323" s="27">
        <v>0</v>
      </c>
      <c r="AG323" s="27">
        <v>0</v>
      </c>
      <c r="AH323" s="27">
        <v>1</v>
      </c>
      <c r="AJ323">
        <f t="shared" si="5"/>
        <v>1</v>
      </c>
    </row>
    <row r="324" spans="1:36">
      <c r="A324" t="s">
        <v>2358</v>
      </c>
      <c r="B324" t="s">
        <v>2359</v>
      </c>
      <c r="C324" t="s">
        <v>2360</v>
      </c>
      <c r="D324" t="s">
        <v>2361</v>
      </c>
      <c r="E324">
        <v>2020</v>
      </c>
      <c r="F324" t="s">
        <v>2362</v>
      </c>
      <c r="G324">
        <v>12</v>
      </c>
      <c r="H324">
        <v>2</v>
      </c>
      <c r="J324">
        <v>142</v>
      </c>
      <c r="K324">
        <v>151</v>
      </c>
      <c r="L324">
        <v>9</v>
      </c>
      <c r="M324">
        <v>12</v>
      </c>
      <c r="N324" t="s">
        <v>2363</v>
      </c>
      <c r="O324" t="s">
        <v>2364</v>
      </c>
      <c r="P324" s="22" t="str">
        <f>HYPERLINK(O324)</f>
        <v>https://www.scopus.com/inward/record.uri?eid=2-s2.0-85059345825&amp;doi=10.1080%2f19407963.2018.1556671&amp;partnerID=40&amp;md5=c089b24706cdee473189efa399a54b64</v>
      </c>
      <c r="Q324" t="s">
        <v>156</v>
      </c>
      <c r="R324" t="s">
        <v>48</v>
      </c>
      <c r="S324" t="s">
        <v>164</v>
      </c>
      <c r="T324" t="s">
        <v>6</v>
      </c>
      <c r="U324" t="s">
        <v>2365</v>
      </c>
      <c r="V324" s="36">
        <v>0</v>
      </c>
      <c r="W324" s="27">
        <v>0</v>
      </c>
      <c r="X324" s="27">
        <v>0</v>
      </c>
      <c r="Y324" s="27">
        <v>0</v>
      </c>
      <c r="Z324" s="27">
        <v>0</v>
      </c>
      <c r="AA324" s="27">
        <v>0</v>
      </c>
      <c r="AB324" s="27">
        <v>0</v>
      </c>
      <c r="AC324" s="27">
        <v>0</v>
      </c>
      <c r="AD324" s="27">
        <v>0</v>
      </c>
      <c r="AE324" s="27">
        <v>0</v>
      </c>
      <c r="AF324" s="27">
        <v>0</v>
      </c>
      <c r="AG324" s="27">
        <v>1</v>
      </c>
      <c r="AH324" s="27">
        <v>0</v>
      </c>
      <c r="AJ324">
        <f t="shared" si="5"/>
        <v>1</v>
      </c>
    </row>
    <row r="325" spans="1:36">
      <c r="A325" t="s">
        <v>2366</v>
      </c>
      <c r="B325" t="s">
        <v>2367</v>
      </c>
      <c r="C325" t="s">
        <v>2368</v>
      </c>
      <c r="D325" t="s">
        <v>2369</v>
      </c>
      <c r="E325">
        <v>2025</v>
      </c>
      <c r="F325" t="s">
        <v>2362</v>
      </c>
      <c r="G325">
        <v>17</v>
      </c>
      <c r="H325">
        <v>1</v>
      </c>
      <c r="J325">
        <v>264</v>
      </c>
      <c r="K325">
        <v>274</v>
      </c>
      <c r="L325">
        <v>10</v>
      </c>
      <c r="M325">
        <v>3</v>
      </c>
      <c r="N325" t="s">
        <v>2370</v>
      </c>
      <c r="O325" t="s">
        <v>2371</v>
      </c>
      <c r="P325" s="22" t="str">
        <f>HYPERLINK(O325)</f>
        <v>https://www.scopus.com/inward/record.uri?eid=2-s2.0-85141018599&amp;doi=10.1080%2f19407963.2022.2137807&amp;partnerID=40&amp;md5=442e22a0cd8ed12aa5973bc8840c5d7f</v>
      </c>
      <c r="Q325" t="s">
        <v>425</v>
      </c>
      <c r="R325" t="s">
        <v>48</v>
      </c>
      <c r="T325" t="s">
        <v>6</v>
      </c>
      <c r="U325" t="s">
        <v>2372</v>
      </c>
      <c r="V325" s="36">
        <v>1</v>
      </c>
      <c r="W325" s="27">
        <v>0</v>
      </c>
      <c r="X325" s="27">
        <v>0</v>
      </c>
      <c r="Y325" s="27">
        <v>0</v>
      </c>
      <c r="Z325" s="27">
        <v>0</v>
      </c>
      <c r="AA325" s="27">
        <v>0</v>
      </c>
      <c r="AB325" s="27">
        <v>0</v>
      </c>
      <c r="AC325" s="27">
        <v>0</v>
      </c>
      <c r="AD325" s="27">
        <v>0</v>
      </c>
      <c r="AE325" s="27">
        <v>0</v>
      </c>
      <c r="AF325" s="27">
        <v>0</v>
      </c>
      <c r="AG325" s="27">
        <v>0</v>
      </c>
      <c r="AH325" s="27">
        <v>0</v>
      </c>
      <c r="AJ325">
        <f t="shared" si="5"/>
        <v>1</v>
      </c>
    </row>
    <row r="326" spans="1:36">
      <c r="A326" t="s">
        <v>2373</v>
      </c>
      <c r="B326" t="s">
        <v>2374</v>
      </c>
      <c r="C326">
        <v>57216590206</v>
      </c>
      <c r="D326" t="s">
        <v>2375</v>
      </c>
      <c r="E326">
        <v>2023</v>
      </c>
      <c r="F326" t="s">
        <v>2362</v>
      </c>
      <c r="M326">
        <v>1</v>
      </c>
      <c r="N326" t="s">
        <v>2376</v>
      </c>
      <c r="O326" t="s">
        <v>2377</v>
      </c>
      <c r="P326" s="22" t="str">
        <f>HYPERLINK(O326)</f>
        <v>https://www.scopus.com/inward/record.uri?eid=2-s2.0-85161878732&amp;doi=10.1080%2f19407963.2023.2221032&amp;partnerID=40&amp;md5=a564c3754e98b0760819c99439b718e8</v>
      </c>
      <c r="Q326" t="s">
        <v>156</v>
      </c>
      <c r="R326" t="s">
        <v>973</v>
      </c>
      <c r="T326" t="s">
        <v>6</v>
      </c>
      <c r="U326" t="s">
        <v>2378</v>
      </c>
      <c r="V326" s="36">
        <v>0</v>
      </c>
      <c r="W326" s="27">
        <v>0</v>
      </c>
      <c r="X326" s="27">
        <v>0</v>
      </c>
      <c r="Y326" s="27">
        <v>0</v>
      </c>
      <c r="Z326" s="27">
        <v>0</v>
      </c>
      <c r="AA326" s="27">
        <v>0</v>
      </c>
      <c r="AB326" s="27">
        <v>0</v>
      </c>
      <c r="AC326" s="27">
        <v>0</v>
      </c>
      <c r="AD326" s="27">
        <v>0</v>
      </c>
      <c r="AE326" s="27">
        <v>0</v>
      </c>
      <c r="AF326" s="27">
        <v>1</v>
      </c>
      <c r="AG326" s="27">
        <v>0</v>
      </c>
      <c r="AH326" s="27">
        <v>0</v>
      </c>
      <c r="AJ326">
        <f t="shared" si="5"/>
        <v>1</v>
      </c>
    </row>
    <row r="327" spans="1:36">
      <c r="A327" t="s">
        <v>2379</v>
      </c>
      <c r="B327" t="s">
        <v>2380</v>
      </c>
      <c r="C327" t="s">
        <v>2381</v>
      </c>
      <c r="D327" t="s">
        <v>2382</v>
      </c>
      <c r="E327">
        <v>2024</v>
      </c>
      <c r="F327" t="s">
        <v>2362</v>
      </c>
      <c r="M327">
        <v>1</v>
      </c>
      <c r="N327" t="s">
        <v>2383</v>
      </c>
      <c r="O327" t="s">
        <v>2384</v>
      </c>
      <c r="P327" s="22" t="str">
        <f>HYPERLINK(O327)</f>
        <v>https://www.scopus.com/inward/record.uri?eid=2-s2.0-85211094208&amp;doi=10.1080%2f19407963.2024.2432634&amp;partnerID=40&amp;md5=76c45bfde08caffaaeec3b11fb441eb2</v>
      </c>
      <c r="Q327" t="s">
        <v>156</v>
      </c>
      <c r="R327" t="s">
        <v>973</v>
      </c>
      <c r="T327" t="s">
        <v>6</v>
      </c>
      <c r="U327" t="s">
        <v>2385</v>
      </c>
      <c r="V327" s="36">
        <v>0</v>
      </c>
      <c r="W327" s="27">
        <v>0</v>
      </c>
      <c r="X327" s="27">
        <v>0</v>
      </c>
      <c r="Y327" s="27">
        <v>0</v>
      </c>
      <c r="Z327" s="27">
        <v>0</v>
      </c>
      <c r="AA327" s="27">
        <v>0</v>
      </c>
      <c r="AB327" s="27">
        <v>0</v>
      </c>
      <c r="AC327" s="27">
        <v>0</v>
      </c>
      <c r="AD327" s="27">
        <v>0</v>
      </c>
      <c r="AE327" s="27">
        <v>0</v>
      </c>
      <c r="AF327" s="27">
        <v>1</v>
      </c>
      <c r="AG327" s="27">
        <v>0</v>
      </c>
      <c r="AH327" s="27">
        <v>0</v>
      </c>
      <c r="AJ327">
        <f t="shared" si="5"/>
        <v>1</v>
      </c>
    </row>
    <row r="328" spans="1:36">
      <c r="A328" t="s">
        <v>2386</v>
      </c>
      <c r="B328" t="s">
        <v>2387</v>
      </c>
      <c r="C328" t="s">
        <v>2388</v>
      </c>
      <c r="D328" t="s">
        <v>2389</v>
      </c>
      <c r="E328">
        <v>2025</v>
      </c>
      <c r="F328" t="s">
        <v>2390</v>
      </c>
      <c r="M328">
        <v>0</v>
      </c>
      <c r="N328" t="s">
        <v>2391</v>
      </c>
      <c r="O328" t="s">
        <v>2392</v>
      </c>
      <c r="P328" s="22" t="str">
        <f>HYPERLINK(O328)</f>
        <v>https://www.scopus.com/inward/record.uri?eid=2-s2.0-85214361640&amp;doi=10.1080%2f1528008X.2024.2449535&amp;partnerID=40&amp;md5=d9f363589f890f9e17a1ff020040411c</v>
      </c>
      <c r="Q328" t="s">
        <v>156</v>
      </c>
      <c r="R328" t="s">
        <v>973</v>
      </c>
      <c r="T328" t="s">
        <v>6</v>
      </c>
      <c r="U328" t="s">
        <v>2393</v>
      </c>
      <c r="V328" s="36">
        <v>0</v>
      </c>
      <c r="W328" s="27">
        <v>0</v>
      </c>
      <c r="X328" s="27">
        <v>0</v>
      </c>
      <c r="Y328" s="27">
        <v>0</v>
      </c>
      <c r="Z328" s="27">
        <v>1</v>
      </c>
      <c r="AA328" s="27">
        <v>0</v>
      </c>
      <c r="AB328" s="27">
        <v>0</v>
      </c>
      <c r="AC328" s="27">
        <v>0</v>
      </c>
      <c r="AD328" s="27">
        <v>0</v>
      </c>
      <c r="AE328" s="27">
        <v>0</v>
      </c>
      <c r="AF328" s="27">
        <v>0</v>
      </c>
      <c r="AG328" s="27">
        <v>0</v>
      </c>
      <c r="AH328" s="27">
        <v>0</v>
      </c>
      <c r="AJ328">
        <f t="shared" si="5"/>
        <v>1</v>
      </c>
    </row>
    <row r="329" spans="1:36">
      <c r="A329" t="s">
        <v>2394</v>
      </c>
      <c r="B329" t="s">
        <v>2395</v>
      </c>
      <c r="C329" t="s">
        <v>2396</v>
      </c>
      <c r="D329" t="s">
        <v>2397</v>
      </c>
      <c r="E329">
        <v>2024</v>
      </c>
      <c r="F329" t="s">
        <v>2398</v>
      </c>
      <c r="G329">
        <v>15</v>
      </c>
      <c r="H329">
        <v>6</v>
      </c>
      <c r="J329">
        <v>1722</v>
      </c>
      <c r="K329">
        <v>1732</v>
      </c>
      <c r="L329">
        <v>10</v>
      </c>
      <c r="M329">
        <v>0</v>
      </c>
      <c r="N329" t="s">
        <v>2399</v>
      </c>
      <c r="O329" t="s">
        <v>2400</v>
      </c>
      <c r="P329" s="22" t="str">
        <f>HYPERLINK(O329)</f>
        <v>https://www.scopus.com/inward/record.uri?eid=2-s2.0-85212269095&amp;doi=10.5814%2fj.issn.1674-764x.2024.06.026&amp;partnerID=40&amp;md5=378229ab5252153af7b110502a43d38b</v>
      </c>
      <c r="Q329" t="s">
        <v>156</v>
      </c>
      <c r="R329" t="s">
        <v>48</v>
      </c>
      <c r="T329" t="s">
        <v>6</v>
      </c>
      <c r="U329" t="s">
        <v>2401</v>
      </c>
      <c r="V329" s="36">
        <v>0</v>
      </c>
      <c r="W329" s="27">
        <v>1</v>
      </c>
      <c r="X329" s="27">
        <v>0</v>
      </c>
      <c r="Y329" s="27">
        <v>0</v>
      </c>
      <c r="Z329" s="27">
        <v>0</v>
      </c>
      <c r="AA329" s="27">
        <v>0</v>
      </c>
      <c r="AB329" s="27">
        <v>0</v>
      </c>
      <c r="AC329" s="27">
        <v>0</v>
      </c>
      <c r="AD329" s="27">
        <v>0</v>
      </c>
      <c r="AE329" s="27">
        <v>0</v>
      </c>
      <c r="AF329" s="27">
        <v>0</v>
      </c>
      <c r="AG329" s="27">
        <v>0</v>
      </c>
      <c r="AH329" s="27">
        <v>0</v>
      </c>
      <c r="AJ329">
        <f t="shared" si="5"/>
        <v>1</v>
      </c>
    </row>
    <row r="330" spans="1:36">
      <c r="A330" t="s">
        <v>2402</v>
      </c>
      <c r="B330" t="s">
        <v>2403</v>
      </c>
      <c r="C330" t="s">
        <v>2404</v>
      </c>
      <c r="D330" t="s">
        <v>2405</v>
      </c>
      <c r="E330">
        <v>2024</v>
      </c>
      <c r="F330" t="s">
        <v>2398</v>
      </c>
      <c r="G330">
        <v>15</v>
      </c>
      <c r="H330">
        <v>4</v>
      </c>
      <c r="J330">
        <v>1054</v>
      </c>
      <c r="K330">
        <v>1067</v>
      </c>
      <c r="L330">
        <v>13</v>
      </c>
      <c r="M330">
        <v>0</v>
      </c>
      <c r="N330" t="s">
        <v>2406</v>
      </c>
      <c r="O330" t="s">
        <v>2407</v>
      </c>
      <c r="P330" s="22" t="str">
        <f>HYPERLINK(O330)</f>
        <v>https://www.scopus.com/inward/record.uri?eid=2-s2.0-85200838639&amp;doi=10.5814%2fj.issn.1674-764x.2024.04.024&amp;partnerID=40&amp;md5=6505cc16a35e9fdc355a349ab6e0c0b5</v>
      </c>
      <c r="Q330" t="s">
        <v>156</v>
      </c>
      <c r="R330" t="s">
        <v>48</v>
      </c>
      <c r="T330" t="s">
        <v>6</v>
      </c>
      <c r="U330" t="s">
        <v>2408</v>
      </c>
      <c r="V330" s="36">
        <v>0</v>
      </c>
      <c r="W330" s="27">
        <v>1</v>
      </c>
      <c r="X330" s="27">
        <v>0</v>
      </c>
      <c r="Y330" s="27">
        <v>0</v>
      </c>
      <c r="Z330" s="27">
        <v>0</v>
      </c>
      <c r="AA330" s="27">
        <v>0</v>
      </c>
      <c r="AB330" s="27">
        <v>0</v>
      </c>
      <c r="AC330" s="27">
        <v>0</v>
      </c>
      <c r="AD330" s="27">
        <v>0</v>
      </c>
      <c r="AE330" s="27">
        <v>0</v>
      </c>
      <c r="AF330" s="27">
        <v>0</v>
      </c>
      <c r="AG330" s="27">
        <v>0</v>
      </c>
      <c r="AH330" s="27">
        <v>0</v>
      </c>
      <c r="AJ330">
        <f t="shared" si="5"/>
        <v>1</v>
      </c>
    </row>
    <row r="331" spans="1:36">
      <c r="A331" t="s">
        <v>2409</v>
      </c>
      <c r="B331" t="s">
        <v>2410</v>
      </c>
      <c r="C331" t="s">
        <v>2411</v>
      </c>
      <c r="D331" t="s">
        <v>2412</v>
      </c>
      <c r="E331">
        <v>1993</v>
      </c>
      <c r="F331" t="s">
        <v>2413</v>
      </c>
      <c r="G331">
        <v>9</v>
      </c>
      <c r="H331">
        <v>4</v>
      </c>
      <c r="J331">
        <v>339</v>
      </c>
      <c r="K331">
        <v>349</v>
      </c>
      <c r="L331">
        <v>10</v>
      </c>
      <c r="M331">
        <v>23</v>
      </c>
      <c r="N331" t="s">
        <v>2414</v>
      </c>
      <c r="O331" t="s">
        <v>2415</v>
      </c>
      <c r="P331" s="22" t="str">
        <f>HYPERLINK(O331)</f>
        <v>https://www.scopus.com/inward/record.uri?eid=2-s2.0-0027758247&amp;doi=10.1016%2f0743-0167%2893%2990046-M&amp;partnerID=40&amp;md5=041399a5bef1fe7cfa9b46545843c403</v>
      </c>
      <c r="Q331" t="s">
        <v>156</v>
      </c>
      <c r="R331" t="s">
        <v>48</v>
      </c>
      <c r="T331" t="s">
        <v>6</v>
      </c>
      <c r="U331" t="s">
        <v>2416</v>
      </c>
      <c r="V331" s="36">
        <v>0</v>
      </c>
      <c r="W331" s="27">
        <v>1</v>
      </c>
      <c r="X331" s="27">
        <v>0</v>
      </c>
      <c r="Y331" s="27">
        <v>0</v>
      </c>
      <c r="Z331" s="27">
        <v>0</v>
      </c>
      <c r="AA331" s="27">
        <v>0</v>
      </c>
      <c r="AB331" s="27">
        <v>0</v>
      </c>
      <c r="AC331" s="27">
        <v>0</v>
      </c>
      <c r="AD331" s="27">
        <v>0</v>
      </c>
      <c r="AE331" s="27">
        <v>0</v>
      </c>
      <c r="AF331" s="27">
        <v>0</v>
      </c>
      <c r="AG331" s="27">
        <v>0</v>
      </c>
      <c r="AH331" s="27">
        <v>0</v>
      </c>
      <c r="AJ331">
        <f t="shared" si="5"/>
        <v>1</v>
      </c>
    </row>
    <row r="332" spans="1:36">
      <c r="A332" t="s">
        <v>2417</v>
      </c>
      <c r="B332" t="s">
        <v>2418</v>
      </c>
      <c r="C332" t="s">
        <v>2419</v>
      </c>
      <c r="D332" t="s">
        <v>2420</v>
      </c>
      <c r="E332">
        <v>2004</v>
      </c>
      <c r="F332" t="s">
        <v>2421</v>
      </c>
      <c r="G332">
        <v>17</v>
      </c>
      <c r="H332">
        <v>2</v>
      </c>
      <c r="J332">
        <v>153</v>
      </c>
      <c r="K332">
        <v>169</v>
      </c>
      <c r="L332">
        <v>16</v>
      </c>
      <c r="M332">
        <v>9</v>
      </c>
      <c r="N332" t="s">
        <v>2422</v>
      </c>
      <c r="O332" t="s">
        <v>2423</v>
      </c>
      <c r="P332" s="22" t="str">
        <f>HYPERLINK(O332)</f>
        <v>https://www.scopus.com/inward/record.uri?eid=2-s2.0-7244226503&amp;doi=10.1016%2fj.jsames.2004.03.001&amp;partnerID=40&amp;md5=85ff61ab9e1cb421b0f8f53b502da24c</v>
      </c>
      <c r="Q332" t="s">
        <v>156</v>
      </c>
      <c r="R332" t="s">
        <v>48</v>
      </c>
      <c r="T332" t="s">
        <v>6</v>
      </c>
      <c r="U332" t="s">
        <v>2424</v>
      </c>
      <c r="V332" s="36">
        <v>0</v>
      </c>
      <c r="W332" s="27">
        <v>0</v>
      </c>
      <c r="X332" s="27">
        <v>0</v>
      </c>
      <c r="Y332" s="27">
        <v>0</v>
      </c>
      <c r="Z332" s="27">
        <v>0</v>
      </c>
      <c r="AA332" s="27">
        <v>0</v>
      </c>
      <c r="AB332" s="27">
        <v>0</v>
      </c>
      <c r="AC332" s="27">
        <v>0</v>
      </c>
      <c r="AD332" s="27">
        <v>0</v>
      </c>
      <c r="AE332" s="27">
        <v>0</v>
      </c>
      <c r="AF332" s="27">
        <v>0</v>
      </c>
      <c r="AG332" s="27">
        <v>0</v>
      </c>
      <c r="AH332" s="27">
        <v>1</v>
      </c>
      <c r="AJ332">
        <f t="shared" si="5"/>
        <v>1</v>
      </c>
    </row>
    <row r="333" spans="1:36">
      <c r="A333" t="s">
        <v>2425</v>
      </c>
      <c r="B333" t="s">
        <v>2426</v>
      </c>
      <c r="C333" t="s">
        <v>2427</v>
      </c>
      <c r="D333" t="s">
        <v>2428</v>
      </c>
      <c r="E333">
        <v>2024</v>
      </c>
      <c r="F333" t="s">
        <v>2429</v>
      </c>
      <c r="G333">
        <v>25</v>
      </c>
      <c r="H333">
        <v>1</v>
      </c>
      <c r="J333">
        <v>98</v>
      </c>
      <c r="K333">
        <v>125</v>
      </c>
      <c r="L333">
        <v>27</v>
      </c>
      <c r="M333">
        <v>1</v>
      </c>
      <c r="N333" t="s">
        <v>2430</v>
      </c>
      <c r="O333" t="s">
        <v>2431</v>
      </c>
      <c r="P333" s="22" t="str">
        <f>HYPERLINK(O333)</f>
        <v>https://www.scopus.com/inward/record.uri?eid=2-s2.0-85174285273&amp;doi=10.1177%2f15270025231206393&amp;partnerID=40&amp;md5=796caa1b8c4a2e836b5527e0c52bf7a0</v>
      </c>
      <c r="Q333" t="s">
        <v>156</v>
      </c>
      <c r="R333" t="s">
        <v>48</v>
      </c>
      <c r="T333" t="s">
        <v>6</v>
      </c>
      <c r="U333" t="s">
        <v>2432</v>
      </c>
      <c r="V333" s="36">
        <v>1</v>
      </c>
      <c r="W333" s="27">
        <v>0</v>
      </c>
      <c r="X333" s="27">
        <v>0</v>
      </c>
      <c r="Y333" s="27">
        <v>0</v>
      </c>
      <c r="Z333" s="27">
        <v>0</v>
      </c>
      <c r="AA333" s="27">
        <v>0</v>
      </c>
      <c r="AB333" s="27">
        <v>0</v>
      </c>
      <c r="AC333" s="27">
        <v>0</v>
      </c>
      <c r="AD333" s="27">
        <v>0</v>
      </c>
      <c r="AE333" s="27">
        <v>0</v>
      </c>
      <c r="AF333" s="27">
        <v>0</v>
      </c>
      <c r="AG333" s="27">
        <v>0</v>
      </c>
      <c r="AH333" s="27">
        <v>0</v>
      </c>
      <c r="AJ333">
        <f t="shared" si="5"/>
        <v>1</v>
      </c>
    </row>
    <row r="334" spans="1:36">
      <c r="A334" t="s">
        <v>1004</v>
      </c>
      <c r="B334" t="s">
        <v>2433</v>
      </c>
      <c r="C334" t="s">
        <v>1006</v>
      </c>
      <c r="D334" t="s">
        <v>2434</v>
      </c>
      <c r="E334">
        <v>2017</v>
      </c>
      <c r="F334" t="s">
        <v>2429</v>
      </c>
      <c r="G334">
        <v>18</v>
      </c>
      <c r="H334">
        <v>7</v>
      </c>
      <c r="J334">
        <v>750</v>
      </c>
      <c r="K334">
        <v>766</v>
      </c>
      <c r="L334">
        <v>16</v>
      </c>
      <c r="M334">
        <v>9</v>
      </c>
      <c r="N334" t="s">
        <v>2435</v>
      </c>
      <c r="O334" t="s">
        <v>2436</v>
      </c>
      <c r="P334" s="22" t="str">
        <f>HYPERLINK(O334)</f>
        <v>https://www.scopus.com/inward/record.uri?eid=2-s2.0-85029054687&amp;doi=10.1177%2f1527002515596433&amp;partnerID=40&amp;md5=d829301636b7938568278291be9dcbf8</v>
      </c>
      <c r="Q334" t="s">
        <v>156</v>
      </c>
      <c r="R334" t="s">
        <v>48</v>
      </c>
      <c r="T334" t="s">
        <v>6</v>
      </c>
      <c r="U334" t="s">
        <v>2437</v>
      </c>
      <c r="V334" s="36">
        <v>0</v>
      </c>
      <c r="W334" s="27">
        <v>0</v>
      </c>
      <c r="X334" s="27">
        <v>0</v>
      </c>
      <c r="Y334" s="27">
        <v>0</v>
      </c>
      <c r="Z334" s="27">
        <v>1</v>
      </c>
      <c r="AA334" s="27">
        <v>0</v>
      </c>
      <c r="AB334" s="27">
        <v>0</v>
      </c>
      <c r="AC334" s="27">
        <v>0</v>
      </c>
      <c r="AD334" s="27">
        <v>0</v>
      </c>
      <c r="AE334" s="27">
        <v>0</v>
      </c>
      <c r="AF334" s="27">
        <v>0</v>
      </c>
      <c r="AG334" s="27">
        <v>0</v>
      </c>
      <c r="AH334" s="27">
        <v>0</v>
      </c>
      <c r="AJ334">
        <f t="shared" si="5"/>
        <v>1</v>
      </c>
    </row>
    <row r="335" spans="1:36">
      <c r="A335" t="s">
        <v>2438</v>
      </c>
      <c r="B335" t="s">
        <v>2439</v>
      </c>
      <c r="C335" t="s">
        <v>2440</v>
      </c>
      <c r="D335" t="s">
        <v>2441</v>
      </c>
      <c r="E335">
        <v>1988</v>
      </c>
      <c r="F335" t="s">
        <v>2442</v>
      </c>
      <c r="G335">
        <v>16</v>
      </c>
      <c r="H335" s="32">
        <v>45750</v>
      </c>
      <c r="J335">
        <v>23</v>
      </c>
      <c r="K335">
        <v>29</v>
      </c>
      <c r="L335">
        <v>6</v>
      </c>
      <c r="M335">
        <v>24</v>
      </c>
      <c r="N335" t="s">
        <v>2443</v>
      </c>
      <c r="O335" t="s">
        <v>2444</v>
      </c>
      <c r="P335" s="22" t="str">
        <f>HYPERLINK(O335)</f>
        <v>https://www.scopus.com/inward/record.uri?eid=2-s2.0-51249177966&amp;doi=10.1007%2fBF02723355&amp;partnerID=40&amp;md5=1fad26b7e992e23097afd9dd0d30be20</v>
      </c>
      <c r="Q335" t="s">
        <v>156</v>
      </c>
      <c r="R335" t="s">
        <v>48</v>
      </c>
      <c r="T335" t="s">
        <v>6</v>
      </c>
      <c r="U335" t="s">
        <v>2445</v>
      </c>
      <c r="V335" s="36">
        <v>0</v>
      </c>
      <c r="W335" s="27">
        <v>0</v>
      </c>
      <c r="X335" s="27">
        <v>0</v>
      </c>
      <c r="Y335" s="27">
        <v>0</v>
      </c>
      <c r="Z335" s="27">
        <v>1</v>
      </c>
      <c r="AA335" s="27">
        <v>0</v>
      </c>
      <c r="AB335" s="27">
        <v>0</v>
      </c>
      <c r="AC335" s="27">
        <v>0</v>
      </c>
      <c r="AD335" s="27">
        <v>0</v>
      </c>
      <c r="AE335" s="27">
        <v>0</v>
      </c>
      <c r="AF335" s="27">
        <v>0</v>
      </c>
      <c r="AG335" s="27">
        <v>0</v>
      </c>
      <c r="AH335" s="27">
        <v>0</v>
      </c>
      <c r="AJ335">
        <f t="shared" si="5"/>
        <v>1</v>
      </c>
    </row>
    <row r="336" spans="1:36">
      <c r="A336" t="s">
        <v>2446</v>
      </c>
      <c r="B336" t="s">
        <v>2447</v>
      </c>
      <c r="C336" t="s">
        <v>2448</v>
      </c>
      <c r="D336" t="s">
        <v>2449</v>
      </c>
      <c r="E336">
        <v>2020</v>
      </c>
      <c r="F336" t="s">
        <v>2450</v>
      </c>
      <c r="G336">
        <v>9</v>
      </c>
      <c r="H336">
        <v>24</v>
      </c>
      <c r="I336" t="s">
        <v>2451</v>
      </c>
      <c r="M336">
        <v>10</v>
      </c>
      <c r="N336" t="s">
        <v>2452</v>
      </c>
      <c r="O336" t="s">
        <v>2453</v>
      </c>
      <c r="P336" s="22" t="str">
        <f>HYPERLINK(O336)</f>
        <v>https://www.scopus.com/inward/record.uri?eid=2-s2.0-85098531709&amp;doi=10.1161%2fJAHA.120.016479&amp;partnerID=40&amp;md5=862c8171327774a09fbe72a7d30a0127</v>
      </c>
      <c r="Q336" t="s">
        <v>156</v>
      </c>
      <c r="R336" t="s">
        <v>48</v>
      </c>
      <c r="S336" t="s">
        <v>225</v>
      </c>
      <c r="T336" t="s">
        <v>6</v>
      </c>
      <c r="U336" t="s">
        <v>2454</v>
      </c>
      <c r="V336" s="36">
        <v>0</v>
      </c>
      <c r="W336" s="27">
        <v>0</v>
      </c>
      <c r="X336" s="27">
        <v>0</v>
      </c>
      <c r="Y336" s="27">
        <v>0</v>
      </c>
      <c r="Z336" s="27">
        <v>0</v>
      </c>
      <c r="AA336" s="27">
        <v>0</v>
      </c>
      <c r="AB336" s="27">
        <v>0</v>
      </c>
      <c r="AC336" s="27">
        <v>0</v>
      </c>
      <c r="AD336" s="27">
        <v>0</v>
      </c>
      <c r="AE336" s="27">
        <v>0</v>
      </c>
      <c r="AF336" s="27">
        <v>0</v>
      </c>
      <c r="AG336" s="27">
        <v>0</v>
      </c>
      <c r="AH336" s="27">
        <v>1</v>
      </c>
      <c r="AJ336">
        <f t="shared" si="5"/>
        <v>1</v>
      </c>
    </row>
    <row r="337" spans="1:36">
      <c r="A337" t="s">
        <v>2455</v>
      </c>
      <c r="B337" t="s">
        <v>2456</v>
      </c>
      <c r="C337" t="s">
        <v>2457</v>
      </c>
      <c r="D337" t="s">
        <v>2458</v>
      </c>
      <c r="E337">
        <v>2018</v>
      </c>
      <c r="F337" t="s">
        <v>2459</v>
      </c>
      <c r="G337">
        <v>25</v>
      </c>
      <c r="H337">
        <v>1</v>
      </c>
      <c r="J337">
        <v>39</v>
      </c>
      <c r="K337">
        <v>53</v>
      </c>
      <c r="L337">
        <v>14</v>
      </c>
      <c r="M337">
        <v>18</v>
      </c>
      <c r="N337" t="s">
        <v>2460</v>
      </c>
      <c r="O337" t="s">
        <v>2461</v>
      </c>
      <c r="P337" s="22" t="str">
        <f>HYPERLINK(O337)</f>
        <v>https://www.scopus.com/inward/record.uri?eid=2-s2.0-85059914897&amp;doi=10.1108%2fJTA-02-2018-0005&amp;partnerID=40&amp;md5=93cd41606fe05bcaceca8bce3a7a5005</v>
      </c>
      <c r="Q337" t="s">
        <v>156</v>
      </c>
      <c r="R337" t="s">
        <v>48</v>
      </c>
      <c r="S337" t="s">
        <v>185</v>
      </c>
      <c r="T337" t="s">
        <v>6</v>
      </c>
      <c r="U337" t="s">
        <v>2462</v>
      </c>
      <c r="V337" s="36">
        <v>0</v>
      </c>
      <c r="W337" s="27">
        <v>0</v>
      </c>
      <c r="X337" s="27">
        <v>0</v>
      </c>
      <c r="Y337" s="27">
        <v>0</v>
      </c>
      <c r="Z337" s="27">
        <v>0</v>
      </c>
      <c r="AA337" s="27">
        <v>0</v>
      </c>
      <c r="AB337" s="27">
        <v>0</v>
      </c>
      <c r="AC337" s="27">
        <v>0</v>
      </c>
      <c r="AD337" s="27">
        <v>0</v>
      </c>
      <c r="AE337" s="27">
        <v>0</v>
      </c>
      <c r="AF337" s="27">
        <v>0</v>
      </c>
      <c r="AG337" s="27">
        <v>1</v>
      </c>
      <c r="AH337" s="27">
        <v>0</v>
      </c>
      <c r="AJ337">
        <f t="shared" si="5"/>
        <v>1</v>
      </c>
    </row>
    <row r="338" spans="1:36">
      <c r="A338" t="s">
        <v>2463</v>
      </c>
      <c r="B338" t="s">
        <v>2464</v>
      </c>
      <c r="C338" t="s">
        <v>2465</v>
      </c>
      <c r="D338" t="s">
        <v>2466</v>
      </c>
      <c r="E338">
        <v>2023</v>
      </c>
      <c r="F338" t="s">
        <v>2467</v>
      </c>
      <c r="G338">
        <v>41</v>
      </c>
      <c r="J338">
        <v>403</v>
      </c>
      <c r="K338">
        <v>420</v>
      </c>
      <c r="L338">
        <v>17</v>
      </c>
      <c r="M338">
        <v>5</v>
      </c>
      <c r="N338" t="s">
        <v>2468</v>
      </c>
      <c r="O338" t="s">
        <v>2469</v>
      </c>
      <c r="P338" s="22" t="str">
        <f>HYPERLINK(O338)</f>
        <v>https://www.scopus.com/inward/record.uri?eid=2-s2.0-85162803780&amp;doi=10.34624%2frtd.v41i0.30576&amp;partnerID=40&amp;md5=ac18282b16adefa64056274212baec30</v>
      </c>
      <c r="Q338" t="s">
        <v>156</v>
      </c>
      <c r="R338" t="s">
        <v>48</v>
      </c>
      <c r="T338" t="s">
        <v>6</v>
      </c>
      <c r="U338" t="s">
        <v>2470</v>
      </c>
      <c r="V338" s="36">
        <v>1</v>
      </c>
      <c r="W338" s="27">
        <v>0</v>
      </c>
      <c r="X338" s="27">
        <v>0</v>
      </c>
      <c r="Y338" s="27">
        <v>0</v>
      </c>
      <c r="Z338" s="27">
        <v>0</v>
      </c>
      <c r="AA338" s="27">
        <v>0</v>
      </c>
      <c r="AB338" s="27">
        <v>0</v>
      </c>
      <c r="AC338" s="27">
        <v>0</v>
      </c>
      <c r="AD338" s="27">
        <v>0</v>
      </c>
      <c r="AE338" s="27">
        <v>0</v>
      </c>
      <c r="AF338" s="27">
        <v>0</v>
      </c>
      <c r="AG338" s="27">
        <v>0</v>
      </c>
      <c r="AH338" s="27">
        <v>0</v>
      </c>
      <c r="AJ338">
        <f t="shared" si="5"/>
        <v>1</v>
      </c>
    </row>
    <row r="339" spans="1:36">
      <c r="A339" t="s">
        <v>2471</v>
      </c>
      <c r="B339" t="s">
        <v>2472</v>
      </c>
      <c r="C339" t="s">
        <v>2473</v>
      </c>
      <c r="D339" t="s">
        <v>2474</v>
      </c>
      <c r="E339">
        <v>2022</v>
      </c>
      <c r="F339" t="s">
        <v>2467</v>
      </c>
      <c r="G339">
        <v>39</v>
      </c>
      <c r="J339">
        <v>227</v>
      </c>
      <c r="K339">
        <v>240</v>
      </c>
      <c r="L339">
        <v>13</v>
      </c>
      <c r="M339">
        <v>3</v>
      </c>
      <c r="N339" t="s">
        <v>2475</v>
      </c>
      <c r="O339" t="s">
        <v>2476</v>
      </c>
      <c r="P339" s="22" t="str">
        <f>HYPERLINK(O339)</f>
        <v>https://www.scopus.com/inward/record.uri?eid=2-s2.0-85139981086&amp;doi=10.34624%2frtd.v39i0.30348&amp;partnerID=40&amp;md5=5141fffec10bbcc6d8442cb6d19d235b</v>
      </c>
      <c r="Q339" t="s">
        <v>156</v>
      </c>
      <c r="R339" t="s">
        <v>48</v>
      </c>
      <c r="T339" t="s">
        <v>6</v>
      </c>
      <c r="U339" t="s">
        <v>2477</v>
      </c>
      <c r="V339" s="36">
        <v>1</v>
      </c>
      <c r="W339" s="27">
        <v>0</v>
      </c>
      <c r="X339" s="27">
        <v>0</v>
      </c>
      <c r="Y339" s="27">
        <v>0</v>
      </c>
      <c r="Z339" s="27">
        <v>0</v>
      </c>
      <c r="AA339" s="27">
        <v>0</v>
      </c>
      <c r="AB339" s="27">
        <v>0</v>
      </c>
      <c r="AC339" s="27">
        <v>0</v>
      </c>
      <c r="AD339" s="27">
        <v>0</v>
      </c>
      <c r="AE339" s="27">
        <v>0</v>
      </c>
      <c r="AF339" s="27">
        <v>0</v>
      </c>
      <c r="AG339" s="27">
        <v>0</v>
      </c>
      <c r="AH339" s="27">
        <v>0</v>
      </c>
      <c r="AJ339">
        <f t="shared" si="5"/>
        <v>1</v>
      </c>
    </row>
    <row r="340" spans="1:36">
      <c r="A340" t="s">
        <v>2478</v>
      </c>
      <c r="B340" t="s">
        <v>2479</v>
      </c>
      <c r="C340" t="s">
        <v>2480</v>
      </c>
      <c r="D340" t="s">
        <v>2481</v>
      </c>
      <c r="E340">
        <v>2023</v>
      </c>
      <c r="F340" t="s">
        <v>2482</v>
      </c>
      <c r="G340">
        <v>9</v>
      </c>
      <c r="H340">
        <v>2</v>
      </c>
      <c r="J340">
        <v>66</v>
      </c>
      <c r="K340">
        <v>72</v>
      </c>
      <c r="L340">
        <v>6</v>
      </c>
      <c r="M340">
        <v>0</v>
      </c>
      <c r="N340" t="s">
        <v>2483</v>
      </c>
      <c r="O340" t="s">
        <v>2484</v>
      </c>
      <c r="P340" s="22" t="str">
        <f>HYPERLINK(O340)</f>
        <v>https://www.scopus.com/inward/record.uri?eid=2-s2.0-85182921153&amp;doi=10.5281%2fzenodo.10539747&amp;partnerID=40&amp;md5=72df7e72c7d0f4bdb6d4aae3840b68d8</v>
      </c>
      <c r="Q340" t="s">
        <v>156</v>
      </c>
      <c r="R340" t="s">
        <v>48</v>
      </c>
      <c r="T340" t="s">
        <v>6</v>
      </c>
      <c r="U340" t="s">
        <v>2485</v>
      </c>
      <c r="V340" s="36">
        <v>1</v>
      </c>
      <c r="W340" s="27">
        <v>0</v>
      </c>
      <c r="X340" s="27">
        <v>0</v>
      </c>
      <c r="Y340" s="27">
        <v>0</v>
      </c>
      <c r="Z340" s="27">
        <v>0</v>
      </c>
      <c r="AA340" s="27">
        <v>0</v>
      </c>
      <c r="AB340" s="27">
        <v>0</v>
      </c>
      <c r="AC340" s="27">
        <v>0</v>
      </c>
      <c r="AD340" s="27">
        <v>0</v>
      </c>
      <c r="AE340" s="27">
        <v>0</v>
      </c>
      <c r="AF340" s="27">
        <v>0</v>
      </c>
      <c r="AG340" s="27">
        <v>0</v>
      </c>
      <c r="AH340" s="27">
        <v>0</v>
      </c>
      <c r="AJ340">
        <f t="shared" si="5"/>
        <v>1</v>
      </c>
    </row>
    <row r="341" spans="1:36">
      <c r="A341" t="s">
        <v>2486</v>
      </c>
      <c r="B341" t="s">
        <v>2487</v>
      </c>
      <c r="C341" t="s">
        <v>2488</v>
      </c>
      <c r="D341" t="s">
        <v>2489</v>
      </c>
      <c r="E341">
        <v>2018</v>
      </c>
      <c r="F341" t="s">
        <v>2490</v>
      </c>
      <c r="G341">
        <v>68</v>
      </c>
      <c r="J341">
        <v>67</v>
      </c>
      <c r="K341">
        <v>77</v>
      </c>
      <c r="L341">
        <v>10</v>
      </c>
      <c r="M341">
        <v>94</v>
      </c>
      <c r="N341" t="s">
        <v>2491</v>
      </c>
      <c r="O341" t="s">
        <v>2492</v>
      </c>
      <c r="P341" s="22" t="str">
        <f>HYPERLINK(O341)</f>
        <v>https://www.scopus.com/inward/record.uri?eid=2-s2.0-85042643220&amp;doi=10.1016%2fj.jtrangeo.2018.02.010&amp;partnerID=40&amp;md5=2d0d4eeb6a52cea4895a027bb8dafe6d</v>
      </c>
      <c r="Q341" t="s">
        <v>156</v>
      </c>
      <c r="R341" t="s">
        <v>48</v>
      </c>
      <c r="S341" t="s">
        <v>164</v>
      </c>
      <c r="T341" t="s">
        <v>6</v>
      </c>
      <c r="U341" t="s">
        <v>2493</v>
      </c>
      <c r="V341" s="36">
        <v>0</v>
      </c>
      <c r="W341" s="27">
        <v>1</v>
      </c>
      <c r="X341" s="27">
        <v>0</v>
      </c>
      <c r="Y341" s="27">
        <v>0</v>
      </c>
      <c r="Z341" s="27">
        <v>0</v>
      </c>
      <c r="AA341" s="27">
        <v>0</v>
      </c>
      <c r="AB341" s="27">
        <v>0</v>
      </c>
      <c r="AC341" s="27">
        <v>0</v>
      </c>
      <c r="AD341" s="27">
        <v>0</v>
      </c>
      <c r="AE341" s="27">
        <v>0</v>
      </c>
      <c r="AF341" s="27">
        <v>0</v>
      </c>
      <c r="AG341" s="27">
        <v>0</v>
      </c>
      <c r="AH341" s="27">
        <v>0</v>
      </c>
      <c r="AJ341">
        <f t="shared" si="5"/>
        <v>1</v>
      </c>
    </row>
    <row r="342" spans="1:36">
      <c r="A342" t="s">
        <v>2494</v>
      </c>
      <c r="B342" t="s">
        <v>2495</v>
      </c>
      <c r="C342" t="s">
        <v>2496</v>
      </c>
      <c r="D342" t="s">
        <v>2497</v>
      </c>
      <c r="E342">
        <v>2016</v>
      </c>
      <c r="F342" t="s">
        <v>2490</v>
      </c>
      <c r="G342">
        <v>51</v>
      </c>
      <c r="J342">
        <v>158</v>
      </c>
      <c r="K342">
        <v>169</v>
      </c>
      <c r="L342">
        <v>11</v>
      </c>
      <c r="M342">
        <v>132</v>
      </c>
      <c r="N342" t="s">
        <v>2498</v>
      </c>
      <c r="O342" t="s">
        <v>2499</v>
      </c>
      <c r="P342" s="22" t="str">
        <f>HYPERLINK(O342)</f>
        <v>https://www.scopus.com/inward/record.uri?eid=2-s2.0-84960371366&amp;doi=10.1016%2fj.jtrangeo.2015.12.008&amp;partnerID=40&amp;md5=591479a7266a7c77436d9c9dcb96430f</v>
      </c>
      <c r="Q342" t="s">
        <v>156</v>
      </c>
      <c r="R342" t="s">
        <v>48</v>
      </c>
      <c r="S342" t="s">
        <v>164</v>
      </c>
      <c r="T342" t="s">
        <v>6</v>
      </c>
      <c r="U342" t="s">
        <v>2500</v>
      </c>
      <c r="V342" s="36">
        <v>0</v>
      </c>
      <c r="W342" s="27">
        <v>0</v>
      </c>
      <c r="X342" s="27">
        <v>1</v>
      </c>
      <c r="Y342" s="27">
        <v>0</v>
      </c>
      <c r="Z342" s="27">
        <v>0</v>
      </c>
      <c r="AA342" s="27">
        <v>0</v>
      </c>
      <c r="AB342" s="27">
        <v>0</v>
      </c>
      <c r="AC342" s="27">
        <v>0</v>
      </c>
      <c r="AD342" s="27">
        <v>0</v>
      </c>
      <c r="AE342" s="27">
        <v>0</v>
      </c>
      <c r="AF342" s="27">
        <v>0</v>
      </c>
      <c r="AG342" s="27">
        <v>0</v>
      </c>
      <c r="AH342" s="27">
        <v>0</v>
      </c>
      <c r="AJ342">
        <f t="shared" si="5"/>
        <v>1</v>
      </c>
    </row>
    <row r="343" spans="1:36">
      <c r="A343" t="s">
        <v>2501</v>
      </c>
      <c r="B343" t="s">
        <v>2502</v>
      </c>
      <c r="C343" t="s">
        <v>1142</v>
      </c>
      <c r="D343" t="s">
        <v>2503</v>
      </c>
      <c r="E343">
        <v>2024</v>
      </c>
      <c r="F343" t="s">
        <v>2490</v>
      </c>
      <c r="G343">
        <v>115</v>
      </c>
      <c r="I343">
        <v>103809</v>
      </c>
      <c r="M343">
        <v>1</v>
      </c>
      <c r="N343" t="s">
        <v>2504</v>
      </c>
      <c r="O343" t="s">
        <v>2505</v>
      </c>
      <c r="P343" s="22" t="str">
        <f>HYPERLINK(O343)</f>
        <v>https://www.scopus.com/inward/record.uri?eid=2-s2.0-85183539136&amp;doi=10.1016%2fj.jtrangeo.2024.103809&amp;partnerID=40&amp;md5=f8f180b77714d1ac4ee1d0368fa99ccb</v>
      </c>
      <c r="Q343" t="s">
        <v>156</v>
      </c>
      <c r="R343" t="s">
        <v>48</v>
      </c>
      <c r="T343" t="s">
        <v>6</v>
      </c>
      <c r="U343" t="s">
        <v>2506</v>
      </c>
      <c r="V343" s="36">
        <v>1</v>
      </c>
      <c r="W343" s="27">
        <v>0</v>
      </c>
      <c r="X343" s="27">
        <v>0</v>
      </c>
      <c r="Y343" s="27">
        <v>0</v>
      </c>
      <c r="Z343" s="27">
        <v>0</v>
      </c>
      <c r="AA343" s="27">
        <v>0</v>
      </c>
      <c r="AB343" s="27">
        <v>0</v>
      </c>
      <c r="AC343" s="27">
        <v>0</v>
      </c>
      <c r="AD343" s="27">
        <v>0</v>
      </c>
      <c r="AE343" s="27">
        <v>0</v>
      </c>
      <c r="AF343" s="27">
        <v>0</v>
      </c>
      <c r="AG343" s="27">
        <v>0</v>
      </c>
      <c r="AH343" s="27">
        <v>0</v>
      </c>
      <c r="AJ343">
        <f t="shared" si="5"/>
        <v>1</v>
      </c>
    </row>
    <row r="344" spans="1:36">
      <c r="A344" t="s">
        <v>2507</v>
      </c>
      <c r="B344" t="s">
        <v>2508</v>
      </c>
      <c r="C344" t="s">
        <v>2509</v>
      </c>
      <c r="D344" t="s">
        <v>2510</v>
      </c>
      <c r="E344">
        <v>2008</v>
      </c>
      <c r="F344" t="s">
        <v>2511</v>
      </c>
      <c r="G344">
        <v>25</v>
      </c>
      <c r="H344" s="32">
        <v>45750</v>
      </c>
      <c r="J344">
        <v>355</v>
      </c>
      <c r="K344">
        <v>366</v>
      </c>
      <c r="L344">
        <v>11</v>
      </c>
      <c r="M344">
        <v>34</v>
      </c>
      <c r="N344" t="s">
        <v>2512</v>
      </c>
      <c r="O344" t="s">
        <v>2513</v>
      </c>
      <c r="P344" s="22" t="str">
        <f>HYPERLINK(O344)</f>
        <v>https://www.scopus.com/inward/record.uri?eid=2-s2.0-67650496642&amp;doi=10.1080%2f10548400802508457&amp;partnerID=40&amp;md5=0cb15173e13ca0db4ac10bb8ee1444c9</v>
      </c>
      <c r="Q344" t="s">
        <v>156</v>
      </c>
      <c r="R344" t="s">
        <v>48</v>
      </c>
      <c r="T344" t="s">
        <v>6</v>
      </c>
      <c r="U344" t="s">
        <v>2514</v>
      </c>
      <c r="V344" s="36">
        <v>0</v>
      </c>
      <c r="W344" s="27">
        <v>1</v>
      </c>
      <c r="X344" s="27">
        <v>0</v>
      </c>
      <c r="Y344" s="27">
        <v>0</v>
      </c>
      <c r="Z344" s="27">
        <v>0</v>
      </c>
      <c r="AA344" s="27">
        <v>0</v>
      </c>
      <c r="AB344" s="27">
        <v>0</v>
      </c>
      <c r="AC344" s="27">
        <v>0</v>
      </c>
      <c r="AD344" s="27">
        <v>0</v>
      </c>
      <c r="AE344" s="27">
        <v>0</v>
      </c>
      <c r="AF344" s="27">
        <v>0</v>
      </c>
      <c r="AG344" s="27">
        <v>0</v>
      </c>
      <c r="AH344" s="27">
        <v>0</v>
      </c>
      <c r="AJ344">
        <f t="shared" si="5"/>
        <v>1</v>
      </c>
    </row>
    <row r="345" spans="1:36">
      <c r="A345" t="s">
        <v>2515</v>
      </c>
      <c r="B345" t="s">
        <v>2516</v>
      </c>
      <c r="C345" t="s">
        <v>2517</v>
      </c>
      <c r="D345" t="s">
        <v>2518</v>
      </c>
      <c r="E345">
        <v>2014</v>
      </c>
      <c r="F345" t="s">
        <v>2511</v>
      </c>
      <c r="G345">
        <v>31</v>
      </c>
      <c r="H345">
        <v>7</v>
      </c>
      <c r="J345">
        <v>799</v>
      </c>
      <c r="K345">
        <v>816</v>
      </c>
      <c r="L345">
        <v>17</v>
      </c>
      <c r="M345">
        <v>34</v>
      </c>
      <c r="N345" t="s">
        <v>2519</v>
      </c>
      <c r="O345" t="s">
        <v>2520</v>
      </c>
      <c r="P345" s="22" t="str">
        <f>HYPERLINK(O345)</f>
        <v>https://www.scopus.com/inward/record.uri?eid=2-s2.0-84908573981&amp;doi=10.1080%2f10548408.2014.889640&amp;partnerID=40&amp;md5=0fd3f3c44480c6277f492d133fbdce83</v>
      </c>
      <c r="Q345" t="s">
        <v>156</v>
      </c>
      <c r="R345" t="s">
        <v>48</v>
      </c>
      <c r="T345" t="s">
        <v>6</v>
      </c>
      <c r="U345" t="s">
        <v>2521</v>
      </c>
      <c r="V345" s="36">
        <v>1</v>
      </c>
      <c r="W345" s="27">
        <v>0</v>
      </c>
      <c r="X345" s="27">
        <v>0</v>
      </c>
      <c r="Y345" s="27">
        <v>0</v>
      </c>
      <c r="Z345" s="27">
        <v>0</v>
      </c>
      <c r="AA345" s="27">
        <v>0</v>
      </c>
      <c r="AB345" s="27">
        <v>0</v>
      </c>
      <c r="AC345" s="27">
        <v>0</v>
      </c>
      <c r="AD345" s="27">
        <v>0</v>
      </c>
      <c r="AE345" s="27">
        <v>0</v>
      </c>
      <c r="AF345" s="27">
        <v>0</v>
      </c>
      <c r="AG345" s="27">
        <v>0</v>
      </c>
      <c r="AH345" s="27">
        <v>0</v>
      </c>
      <c r="AJ345">
        <f t="shared" si="5"/>
        <v>1</v>
      </c>
    </row>
    <row r="346" spans="1:36">
      <c r="A346" t="s">
        <v>2522</v>
      </c>
      <c r="B346" t="s">
        <v>2523</v>
      </c>
      <c r="C346" t="s">
        <v>2524</v>
      </c>
      <c r="D346" t="s">
        <v>2525</v>
      </c>
      <c r="E346">
        <v>2023</v>
      </c>
      <c r="F346" t="s">
        <v>2526</v>
      </c>
      <c r="G346">
        <v>30</v>
      </c>
      <c r="H346">
        <v>4</v>
      </c>
      <c r="I346" t="s">
        <v>2527</v>
      </c>
      <c r="M346">
        <v>4</v>
      </c>
      <c r="N346" t="s">
        <v>2528</v>
      </c>
      <c r="O346" t="s">
        <v>2529</v>
      </c>
      <c r="P346" s="22" t="str">
        <f>HYPERLINK(O346)</f>
        <v>https://www.scopus.com/inward/record.uri?eid=2-s2.0-85164039991&amp;doi=10.1093%2fjtm%2ftaac137&amp;partnerID=40&amp;md5=c570650ca1619b0607d053e99db4493f</v>
      </c>
      <c r="Q346" t="s">
        <v>897</v>
      </c>
      <c r="R346" t="s">
        <v>48</v>
      </c>
      <c r="T346" t="s">
        <v>6</v>
      </c>
      <c r="U346" t="s">
        <v>2530</v>
      </c>
      <c r="V346" s="36">
        <v>0</v>
      </c>
      <c r="W346" s="27">
        <v>0</v>
      </c>
      <c r="X346" s="27">
        <v>0</v>
      </c>
      <c r="Y346" s="27">
        <v>0</v>
      </c>
      <c r="Z346" s="27">
        <v>0</v>
      </c>
      <c r="AA346" s="27">
        <v>0</v>
      </c>
      <c r="AB346" s="27">
        <v>0</v>
      </c>
      <c r="AC346" s="27">
        <v>0</v>
      </c>
      <c r="AD346" s="27">
        <v>0</v>
      </c>
      <c r="AE346" s="27">
        <v>0</v>
      </c>
      <c r="AF346" s="27">
        <v>0</v>
      </c>
      <c r="AG346" s="27">
        <v>0</v>
      </c>
      <c r="AH346" s="27">
        <v>1</v>
      </c>
      <c r="AJ346">
        <f t="shared" si="5"/>
        <v>1</v>
      </c>
    </row>
    <row r="347" spans="1:36">
      <c r="A347" t="s">
        <v>2531</v>
      </c>
      <c r="B347" t="s">
        <v>2532</v>
      </c>
      <c r="C347" t="s">
        <v>2533</v>
      </c>
      <c r="D347" t="s">
        <v>2534</v>
      </c>
      <c r="E347">
        <v>2020</v>
      </c>
      <c r="F347" t="s">
        <v>2535</v>
      </c>
      <c r="G347">
        <v>59</v>
      </c>
      <c r="H347">
        <v>2</v>
      </c>
      <c r="J347">
        <v>209</v>
      </c>
      <c r="K347">
        <v>219</v>
      </c>
      <c r="L347">
        <v>10</v>
      </c>
      <c r="M347">
        <v>95</v>
      </c>
      <c r="N347" t="s">
        <v>2536</v>
      </c>
      <c r="O347" t="s">
        <v>2537</v>
      </c>
      <c r="P347" s="22" t="str">
        <f>HYPERLINK(O347)</f>
        <v>https://www.scopus.com/inward/record.uri?eid=2-s2.0-85061492646&amp;doi=10.1177%2f0047287519826208&amp;partnerID=40&amp;md5=06e44eaa1e26e75d4dddbb1dd411becb</v>
      </c>
      <c r="Q347" t="s">
        <v>156</v>
      </c>
      <c r="R347" t="s">
        <v>48</v>
      </c>
      <c r="T347" t="s">
        <v>6</v>
      </c>
      <c r="U347" t="s">
        <v>2538</v>
      </c>
      <c r="V347" s="36">
        <v>0</v>
      </c>
      <c r="W347" s="27">
        <v>0</v>
      </c>
      <c r="X347" s="27">
        <v>0</v>
      </c>
      <c r="Y347" s="27">
        <v>0</v>
      </c>
      <c r="Z347" s="27">
        <v>1</v>
      </c>
      <c r="AA347" s="27">
        <v>0</v>
      </c>
      <c r="AB347" s="27">
        <v>0</v>
      </c>
      <c r="AC347" s="27">
        <v>0</v>
      </c>
      <c r="AD347" s="27">
        <v>0</v>
      </c>
      <c r="AE347" s="27">
        <v>0</v>
      </c>
      <c r="AF347" s="27">
        <v>0</v>
      </c>
      <c r="AG347" s="27">
        <v>0</v>
      </c>
      <c r="AH347" s="27">
        <v>1</v>
      </c>
      <c r="AJ347">
        <f t="shared" si="5"/>
        <v>2</v>
      </c>
    </row>
    <row r="348" spans="1:36">
      <c r="A348" t="s">
        <v>2539</v>
      </c>
      <c r="B348" t="s">
        <v>2540</v>
      </c>
      <c r="C348" t="s">
        <v>2541</v>
      </c>
      <c r="D348" t="s">
        <v>2542</v>
      </c>
      <c r="E348">
        <v>2006</v>
      </c>
      <c r="F348" t="s">
        <v>2535</v>
      </c>
      <c r="G348">
        <v>44</v>
      </c>
      <c r="H348">
        <v>3</v>
      </c>
      <c r="J348">
        <v>281</v>
      </c>
      <c r="K348">
        <v>287</v>
      </c>
      <c r="L348">
        <v>6</v>
      </c>
      <c r="M348">
        <v>86</v>
      </c>
      <c r="N348" t="s">
        <v>2543</v>
      </c>
      <c r="O348" t="s">
        <v>2544</v>
      </c>
      <c r="P348" s="22" t="str">
        <f>HYPERLINK(O348)</f>
        <v>https://www.scopus.com/inward/record.uri?eid=2-s2.0-33646262345&amp;doi=10.1177%2f0047287505279107&amp;partnerID=40&amp;md5=7d8128649cbec3a39f94c9c01ecd72bd</v>
      </c>
      <c r="Q348" t="s">
        <v>156</v>
      </c>
      <c r="R348" t="s">
        <v>48</v>
      </c>
      <c r="T348" t="s">
        <v>6</v>
      </c>
      <c r="U348" t="s">
        <v>2545</v>
      </c>
      <c r="V348" s="36">
        <v>0</v>
      </c>
      <c r="W348" s="27">
        <v>0</v>
      </c>
      <c r="X348" s="27">
        <v>0</v>
      </c>
      <c r="Y348" s="27">
        <v>0</v>
      </c>
      <c r="Z348" s="27">
        <v>0</v>
      </c>
      <c r="AA348" s="27">
        <v>0</v>
      </c>
      <c r="AB348" s="27">
        <v>0</v>
      </c>
      <c r="AC348" s="27">
        <v>0</v>
      </c>
      <c r="AD348" s="27">
        <v>0</v>
      </c>
      <c r="AE348" s="27">
        <v>0</v>
      </c>
      <c r="AF348" s="27">
        <v>0</v>
      </c>
      <c r="AG348" s="27">
        <v>0</v>
      </c>
      <c r="AH348" s="27">
        <v>0</v>
      </c>
      <c r="AJ348">
        <f t="shared" si="5"/>
        <v>0</v>
      </c>
    </row>
    <row r="349" spans="1:36">
      <c r="A349" t="s">
        <v>2546</v>
      </c>
      <c r="B349" t="s">
        <v>2547</v>
      </c>
      <c r="C349" t="s">
        <v>2548</v>
      </c>
      <c r="D349" t="s">
        <v>2549</v>
      </c>
      <c r="E349">
        <v>2022</v>
      </c>
      <c r="F349" t="s">
        <v>2535</v>
      </c>
      <c r="G349">
        <v>61</v>
      </c>
      <c r="H349">
        <v>4</v>
      </c>
      <c r="J349">
        <v>921</v>
      </c>
      <c r="K349">
        <v>939</v>
      </c>
      <c r="L349">
        <v>18</v>
      </c>
      <c r="M349">
        <v>26</v>
      </c>
      <c r="N349" t="s">
        <v>2550</v>
      </c>
      <c r="O349" t="s">
        <v>2551</v>
      </c>
      <c r="P349" s="22" t="str">
        <f>HYPERLINK(O349)</f>
        <v>https://www.scopus.com/inward/record.uri?eid=2-s2.0-85105733064&amp;doi=10.1177%2f00472875211002652&amp;partnerID=40&amp;md5=4115d5efde97db71c141f930edf1c25c</v>
      </c>
      <c r="Q349" t="s">
        <v>156</v>
      </c>
      <c r="R349" t="s">
        <v>48</v>
      </c>
      <c r="T349" t="s">
        <v>6</v>
      </c>
      <c r="U349" t="s">
        <v>2552</v>
      </c>
      <c r="V349" s="36">
        <v>0</v>
      </c>
      <c r="W349" s="27">
        <v>0</v>
      </c>
      <c r="X349" s="27">
        <v>0</v>
      </c>
      <c r="Y349" s="27">
        <v>0</v>
      </c>
      <c r="Z349" s="27">
        <v>1</v>
      </c>
      <c r="AA349" s="27">
        <v>0</v>
      </c>
      <c r="AB349" s="27">
        <v>0</v>
      </c>
      <c r="AC349" s="27">
        <v>0</v>
      </c>
      <c r="AD349" s="27">
        <v>0</v>
      </c>
      <c r="AE349" s="27">
        <v>0</v>
      </c>
      <c r="AF349" s="27">
        <v>0</v>
      </c>
      <c r="AG349" s="27">
        <v>0</v>
      </c>
      <c r="AH349" s="27">
        <v>0</v>
      </c>
      <c r="AJ349">
        <f t="shared" si="5"/>
        <v>1</v>
      </c>
    </row>
    <row r="350" spans="1:36">
      <c r="A350" t="s">
        <v>2553</v>
      </c>
      <c r="B350" t="s">
        <v>2554</v>
      </c>
      <c r="C350" t="s">
        <v>2555</v>
      </c>
      <c r="D350" t="s">
        <v>2556</v>
      </c>
      <c r="E350">
        <v>2018</v>
      </c>
      <c r="F350" t="s">
        <v>2535</v>
      </c>
      <c r="G350">
        <v>57</v>
      </c>
      <c r="H350">
        <v>6</v>
      </c>
      <c r="J350">
        <v>779</v>
      </c>
      <c r="K350">
        <v>791</v>
      </c>
      <c r="L350">
        <v>12</v>
      </c>
      <c r="M350">
        <v>86</v>
      </c>
      <c r="N350" t="s">
        <v>2557</v>
      </c>
      <c r="O350" t="s">
        <v>2558</v>
      </c>
      <c r="P350" s="22" t="str">
        <f>HYPERLINK(O350)</f>
        <v>https://www.scopus.com/inward/record.uri?eid=2-s2.0-85046032359&amp;doi=10.1177%2f0047287517714906&amp;partnerID=40&amp;md5=48bfb0e640765a4da0b2d8fa79161b02</v>
      </c>
      <c r="Q350" t="s">
        <v>156</v>
      </c>
      <c r="R350" t="s">
        <v>48</v>
      </c>
      <c r="T350" t="s">
        <v>6</v>
      </c>
      <c r="U350" t="s">
        <v>2559</v>
      </c>
      <c r="V350" s="36">
        <v>0</v>
      </c>
      <c r="W350" s="27">
        <v>1</v>
      </c>
      <c r="X350" s="27">
        <v>0</v>
      </c>
      <c r="Y350" s="27">
        <v>0</v>
      </c>
      <c r="Z350" s="27">
        <v>0</v>
      </c>
      <c r="AA350" s="27">
        <v>0</v>
      </c>
      <c r="AB350" s="27">
        <v>0</v>
      </c>
      <c r="AC350" s="27">
        <v>0</v>
      </c>
      <c r="AD350" s="27">
        <v>0</v>
      </c>
      <c r="AE350" s="27">
        <v>0</v>
      </c>
      <c r="AF350" s="27">
        <v>0</v>
      </c>
      <c r="AG350" s="27">
        <v>0</v>
      </c>
      <c r="AH350" s="27">
        <v>0</v>
      </c>
      <c r="AJ350">
        <f t="shared" si="5"/>
        <v>1</v>
      </c>
    </row>
    <row r="351" spans="1:36">
      <c r="A351" t="s">
        <v>2560</v>
      </c>
      <c r="B351" t="s">
        <v>2561</v>
      </c>
      <c r="C351" t="s">
        <v>492</v>
      </c>
      <c r="D351" t="s">
        <v>2562</v>
      </c>
      <c r="E351">
        <v>2022</v>
      </c>
      <c r="F351" t="s">
        <v>2535</v>
      </c>
      <c r="G351">
        <v>61</v>
      </c>
      <c r="H351">
        <v>6</v>
      </c>
      <c r="J351">
        <v>1391</v>
      </c>
      <c r="K351">
        <v>1408</v>
      </c>
      <c r="L351">
        <v>17</v>
      </c>
      <c r="M351">
        <v>32</v>
      </c>
      <c r="N351" t="s">
        <v>2563</v>
      </c>
      <c r="O351" t="s">
        <v>2564</v>
      </c>
      <c r="P351" s="22" t="str">
        <f>HYPERLINK(O351)</f>
        <v>https://www.scopus.com/inward/record.uri?eid=2-s2.0-85110348650&amp;doi=10.1177%2f00472875211028321&amp;partnerID=40&amp;md5=08b9cb3b2de5fe83050507ebdbb2ad19</v>
      </c>
      <c r="Q351" t="s">
        <v>156</v>
      </c>
      <c r="R351" t="s">
        <v>48</v>
      </c>
      <c r="S351" t="s">
        <v>1171</v>
      </c>
      <c r="T351" t="s">
        <v>6</v>
      </c>
      <c r="U351" t="s">
        <v>2565</v>
      </c>
      <c r="V351" s="36">
        <v>1</v>
      </c>
      <c r="W351" s="27">
        <v>0</v>
      </c>
      <c r="X351" s="27">
        <v>0</v>
      </c>
      <c r="Y351" s="27">
        <v>0</v>
      </c>
      <c r="Z351" s="27">
        <v>0</v>
      </c>
      <c r="AA351" s="27">
        <v>0</v>
      </c>
      <c r="AB351" s="27">
        <v>0</v>
      </c>
      <c r="AC351" s="27">
        <v>0</v>
      </c>
      <c r="AD351" s="27">
        <v>0</v>
      </c>
      <c r="AE351" s="27">
        <v>0</v>
      </c>
      <c r="AF351" s="27">
        <v>0</v>
      </c>
      <c r="AG351" s="27">
        <v>0</v>
      </c>
      <c r="AH351" s="27">
        <v>0</v>
      </c>
      <c r="AJ351">
        <f t="shared" si="5"/>
        <v>1</v>
      </c>
    </row>
    <row r="352" spans="1:36">
      <c r="A352" t="s">
        <v>2566</v>
      </c>
      <c r="B352" t="s">
        <v>2567</v>
      </c>
      <c r="C352" t="s">
        <v>2568</v>
      </c>
      <c r="D352" t="s">
        <v>2569</v>
      </c>
      <c r="E352">
        <v>2022</v>
      </c>
      <c r="F352" t="s">
        <v>2535</v>
      </c>
      <c r="G352">
        <v>61</v>
      </c>
      <c r="H352">
        <v>3</v>
      </c>
      <c r="J352">
        <v>696</v>
      </c>
      <c r="K352">
        <v>714</v>
      </c>
      <c r="L352">
        <v>18</v>
      </c>
      <c r="M352">
        <v>24</v>
      </c>
      <c r="N352" t="s">
        <v>2570</v>
      </c>
      <c r="O352" t="s">
        <v>2571</v>
      </c>
      <c r="P352" s="22" t="str">
        <f>HYPERLINK(O352)</f>
        <v>https://www.scopus.com/inward/record.uri?eid=2-s2.0-85100555375&amp;doi=10.1177%2f0047287520988909&amp;partnerID=40&amp;md5=7b77829f9f4634b0904f4cf3f1e70e10</v>
      </c>
      <c r="Q352" t="s">
        <v>156</v>
      </c>
      <c r="R352" t="s">
        <v>48</v>
      </c>
      <c r="T352" t="s">
        <v>6</v>
      </c>
      <c r="U352" t="s">
        <v>2572</v>
      </c>
      <c r="V352" s="36">
        <v>1</v>
      </c>
      <c r="W352" s="27">
        <v>0</v>
      </c>
      <c r="X352" s="27">
        <v>0</v>
      </c>
      <c r="Y352" s="27">
        <v>0</v>
      </c>
      <c r="Z352" s="27">
        <v>0</v>
      </c>
      <c r="AA352" s="27">
        <v>0</v>
      </c>
      <c r="AB352" s="27">
        <v>0</v>
      </c>
      <c r="AC352" s="27">
        <v>0</v>
      </c>
      <c r="AD352" s="27">
        <v>0</v>
      </c>
      <c r="AE352" s="27">
        <v>0</v>
      </c>
      <c r="AF352" s="27">
        <v>0</v>
      </c>
      <c r="AG352" s="27">
        <v>0</v>
      </c>
      <c r="AH352" s="27">
        <v>0</v>
      </c>
      <c r="AJ352">
        <f t="shared" si="5"/>
        <v>1</v>
      </c>
    </row>
    <row r="353" spans="1:36">
      <c r="A353" t="s">
        <v>2573</v>
      </c>
      <c r="B353" t="s">
        <v>2574</v>
      </c>
      <c r="C353" t="s">
        <v>2575</v>
      </c>
      <c r="D353" t="s">
        <v>2576</v>
      </c>
      <c r="E353">
        <v>2020</v>
      </c>
      <c r="F353" t="s">
        <v>2535</v>
      </c>
      <c r="G353">
        <v>59</v>
      </c>
      <c r="H353">
        <v>2</v>
      </c>
      <c r="J353">
        <v>315</v>
      </c>
      <c r="K353">
        <v>334</v>
      </c>
      <c r="L353">
        <v>19</v>
      </c>
      <c r="M353">
        <v>89</v>
      </c>
      <c r="N353" t="s">
        <v>2577</v>
      </c>
      <c r="O353" t="s">
        <v>2578</v>
      </c>
      <c r="P353" s="22" t="str">
        <f>HYPERLINK(O353)</f>
        <v>https://www.scopus.com/inward/record.uri?eid=2-s2.0-85062728474&amp;doi=10.1177%2f0047287519834360&amp;partnerID=40&amp;md5=95bf9221fdef2dfca734770117b3520f</v>
      </c>
      <c r="Q353" t="s">
        <v>156</v>
      </c>
      <c r="R353" t="s">
        <v>48</v>
      </c>
      <c r="S353" t="s">
        <v>436</v>
      </c>
      <c r="T353" t="s">
        <v>6</v>
      </c>
      <c r="U353" t="s">
        <v>2579</v>
      </c>
      <c r="V353" s="36">
        <v>1</v>
      </c>
      <c r="W353" s="27">
        <v>0</v>
      </c>
      <c r="X353" s="27">
        <v>0</v>
      </c>
      <c r="Y353" s="27">
        <v>0</v>
      </c>
      <c r="Z353" s="27">
        <v>0</v>
      </c>
      <c r="AA353" s="27">
        <v>0</v>
      </c>
      <c r="AB353" s="27">
        <v>0</v>
      </c>
      <c r="AC353" s="27">
        <v>0</v>
      </c>
      <c r="AD353" s="27">
        <v>0</v>
      </c>
      <c r="AE353" s="27">
        <v>0</v>
      </c>
      <c r="AF353" s="27">
        <v>0</v>
      </c>
      <c r="AG353" s="27">
        <v>0</v>
      </c>
      <c r="AH353" s="27">
        <v>0</v>
      </c>
      <c r="AJ353">
        <f t="shared" si="5"/>
        <v>1</v>
      </c>
    </row>
    <row r="354" spans="1:36">
      <c r="A354" t="s">
        <v>2580</v>
      </c>
      <c r="B354" t="s">
        <v>2581</v>
      </c>
      <c r="C354" t="s">
        <v>2582</v>
      </c>
      <c r="D354" t="s">
        <v>2583</v>
      </c>
      <c r="E354">
        <v>2016</v>
      </c>
      <c r="F354" t="s">
        <v>2535</v>
      </c>
      <c r="G354">
        <v>55</v>
      </c>
      <c r="H354">
        <v>7</v>
      </c>
      <c r="J354">
        <v>946</v>
      </c>
      <c r="K354">
        <v>956</v>
      </c>
      <c r="L354">
        <v>10</v>
      </c>
      <c r="M354">
        <v>67</v>
      </c>
      <c r="N354" t="s">
        <v>2584</v>
      </c>
      <c r="O354" t="s">
        <v>2585</v>
      </c>
      <c r="P354" s="22" t="str">
        <f>HYPERLINK(O354)</f>
        <v>https://www.scopus.com/inward/record.uri?eid=2-s2.0-84981212636&amp;doi=10.1177%2f0047287515592852&amp;partnerID=40&amp;md5=5a8402c6e468b684cd9e13a4d3f5a4f7</v>
      </c>
      <c r="Q354" t="s">
        <v>156</v>
      </c>
      <c r="R354" t="s">
        <v>48</v>
      </c>
      <c r="T354" t="s">
        <v>6</v>
      </c>
      <c r="U354" t="s">
        <v>2586</v>
      </c>
      <c r="V354" s="36">
        <v>0</v>
      </c>
      <c r="W354" s="27">
        <v>0</v>
      </c>
      <c r="X354" s="27">
        <v>0</v>
      </c>
      <c r="Y354" s="27">
        <v>0</v>
      </c>
      <c r="Z354" s="27">
        <v>1</v>
      </c>
      <c r="AA354" s="27">
        <v>0</v>
      </c>
      <c r="AB354" s="27">
        <v>0</v>
      </c>
      <c r="AC354" s="27">
        <v>0</v>
      </c>
      <c r="AD354" s="27">
        <v>0</v>
      </c>
      <c r="AE354" s="27">
        <v>0</v>
      </c>
      <c r="AF354" s="27">
        <v>0</v>
      </c>
      <c r="AG354" s="27">
        <v>0</v>
      </c>
      <c r="AH354" s="27">
        <v>0</v>
      </c>
      <c r="AJ354">
        <f t="shared" si="5"/>
        <v>1</v>
      </c>
    </row>
    <row r="355" spans="1:36">
      <c r="A355" t="s">
        <v>2587</v>
      </c>
      <c r="B355" t="s">
        <v>2588</v>
      </c>
      <c r="C355" t="s">
        <v>2589</v>
      </c>
      <c r="D355" t="s">
        <v>2590</v>
      </c>
      <c r="E355">
        <v>2022</v>
      </c>
      <c r="F355" t="s">
        <v>2535</v>
      </c>
      <c r="G355">
        <v>61</v>
      </c>
      <c r="H355">
        <v>4</v>
      </c>
      <c r="J355">
        <v>818</v>
      </c>
      <c r="K355">
        <v>836</v>
      </c>
      <c r="L355">
        <v>18</v>
      </c>
      <c r="M355">
        <v>29</v>
      </c>
      <c r="N355" t="s">
        <v>2591</v>
      </c>
      <c r="O355" t="s">
        <v>2592</v>
      </c>
      <c r="P355" s="22" t="str">
        <f>HYPERLINK(O355)</f>
        <v>https://www.scopus.com/inward/record.uri?eid=2-s2.0-85105708958&amp;doi=10.1177%2f00472875211008250&amp;partnerID=40&amp;md5=10057190463f1f43b648696e37b043d4</v>
      </c>
      <c r="Q355" t="s">
        <v>156</v>
      </c>
      <c r="R355" t="s">
        <v>48</v>
      </c>
      <c r="S355" t="s">
        <v>164</v>
      </c>
      <c r="T355" t="s">
        <v>6</v>
      </c>
      <c r="U355" t="s">
        <v>2593</v>
      </c>
      <c r="V355" s="36">
        <v>0</v>
      </c>
      <c r="W355" s="27">
        <v>0</v>
      </c>
      <c r="X355" s="27">
        <v>0</v>
      </c>
      <c r="Y355" s="27">
        <v>0</v>
      </c>
      <c r="Z355" s="27">
        <v>1</v>
      </c>
      <c r="AA355" s="27">
        <v>0</v>
      </c>
      <c r="AB355" s="27">
        <v>0</v>
      </c>
      <c r="AC355" s="27">
        <v>0</v>
      </c>
      <c r="AD355" s="27">
        <v>0</v>
      </c>
      <c r="AE355" s="27">
        <v>0</v>
      </c>
      <c r="AF355" s="27">
        <v>0</v>
      </c>
      <c r="AG355" s="27">
        <v>0</v>
      </c>
      <c r="AH355" s="27">
        <v>0</v>
      </c>
      <c r="AJ355">
        <f t="shared" si="5"/>
        <v>1</v>
      </c>
    </row>
    <row r="356" spans="1:36">
      <c r="A356" t="s">
        <v>2594</v>
      </c>
      <c r="B356" t="s">
        <v>2595</v>
      </c>
      <c r="C356" t="s">
        <v>2596</v>
      </c>
      <c r="D356" t="s">
        <v>2597</v>
      </c>
      <c r="E356">
        <v>2019</v>
      </c>
      <c r="F356" t="s">
        <v>2535</v>
      </c>
      <c r="G356">
        <v>58</v>
      </c>
      <c r="H356">
        <v>8</v>
      </c>
      <c r="J356">
        <v>1262</v>
      </c>
      <c r="K356">
        <v>1273</v>
      </c>
      <c r="L356">
        <v>11</v>
      </c>
      <c r="M356">
        <v>40</v>
      </c>
      <c r="N356" t="s">
        <v>2598</v>
      </c>
      <c r="O356" t="s">
        <v>2599</v>
      </c>
      <c r="P356" s="22" t="str">
        <f>HYPERLINK(O356)</f>
        <v>https://www.scopus.com/inward/record.uri?eid=2-s2.0-85060151765&amp;doi=10.1177%2f0047287518807582&amp;partnerID=40&amp;md5=7dce3a1c4e9a4f32acf9296fcb7ce4a7</v>
      </c>
      <c r="Q356" t="s">
        <v>156</v>
      </c>
      <c r="R356" t="s">
        <v>48</v>
      </c>
      <c r="S356" t="s">
        <v>164</v>
      </c>
      <c r="T356" t="s">
        <v>6</v>
      </c>
      <c r="U356" t="s">
        <v>2600</v>
      </c>
      <c r="V356" s="36">
        <v>0</v>
      </c>
      <c r="W356" s="27">
        <v>1</v>
      </c>
      <c r="X356" s="27">
        <v>0</v>
      </c>
      <c r="Y356" s="27">
        <v>0</v>
      </c>
      <c r="Z356" s="27">
        <v>0</v>
      </c>
      <c r="AA356" s="27">
        <v>0</v>
      </c>
      <c r="AB356" s="27">
        <v>0</v>
      </c>
      <c r="AC356" s="27">
        <v>0</v>
      </c>
      <c r="AD356" s="27">
        <v>0</v>
      </c>
      <c r="AE356" s="27">
        <v>0</v>
      </c>
      <c r="AF356" s="27">
        <v>0</v>
      </c>
      <c r="AG356" s="27">
        <v>0</v>
      </c>
      <c r="AH356" s="27">
        <v>0</v>
      </c>
      <c r="AJ356">
        <f t="shared" si="5"/>
        <v>1</v>
      </c>
    </row>
    <row r="357" spans="1:36">
      <c r="A357" t="s">
        <v>2601</v>
      </c>
      <c r="B357" t="s">
        <v>2602</v>
      </c>
      <c r="C357" t="s">
        <v>2603</v>
      </c>
      <c r="D357" t="s">
        <v>2604</v>
      </c>
      <c r="E357">
        <v>2021</v>
      </c>
      <c r="F357" t="s">
        <v>2535</v>
      </c>
      <c r="G357">
        <v>60</v>
      </c>
      <c r="H357">
        <v>4</v>
      </c>
      <c r="J357">
        <v>799</v>
      </c>
      <c r="K357">
        <v>809</v>
      </c>
      <c r="L357">
        <v>10</v>
      </c>
      <c r="M357">
        <v>21</v>
      </c>
      <c r="N357" t="s">
        <v>2605</v>
      </c>
      <c r="O357" t="s">
        <v>2606</v>
      </c>
      <c r="P357" s="22" t="str">
        <f>HYPERLINK(O357)</f>
        <v>https://www.scopus.com/inward/record.uri?eid=2-s2.0-85082744402&amp;doi=10.1177%2f0047287520907702&amp;partnerID=40&amp;md5=031c2e81d993cda7d1a563893a9a7fed</v>
      </c>
      <c r="Q357" t="s">
        <v>156</v>
      </c>
      <c r="R357" t="s">
        <v>48</v>
      </c>
      <c r="T357" t="s">
        <v>6</v>
      </c>
      <c r="U357" t="s">
        <v>2607</v>
      </c>
      <c r="V357" s="36">
        <v>0</v>
      </c>
      <c r="W357" s="27">
        <v>0</v>
      </c>
      <c r="X357" s="27">
        <v>0</v>
      </c>
      <c r="Y357" s="27">
        <v>0</v>
      </c>
      <c r="Z357" s="27">
        <v>1</v>
      </c>
      <c r="AA357" s="27">
        <v>0</v>
      </c>
      <c r="AB357" s="27">
        <v>0</v>
      </c>
      <c r="AC357" s="27">
        <v>0</v>
      </c>
      <c r="AD357" s="27">
        <v>0</v>
      </c>
      <c r="AE357" s="27">
        <v>0</v>
      </c>
      <c r="AF357" s="27">
        <v>0</v>
      </c>
      <c r="AG357" s="27">
        <v>0</v>
      </c>
      <c r="AH357" s="27">
        <v>0</v>
      </c>
      <c r="AJ357">
        <f t="shared" si="5"/>
        <v>1</v>
      </c>
    </row>
    <row r="358" spans="1:36">
      <c r="A358" t="s">
        <v>2608</v>
      </c>
      <c r="B358" t="s">
        <v>2609</v>
      </c>
      <c r="C358" t="s">
        <v>2610</v>
      </c>
      <c r="D358" t="s">
        <v>2611</v>
      </c>
      <c r="E358">
        <v>2019</v>
      </c>
      <c r="F358" t="s">
        <v>2535</v>
      </c>
      <c r="G358">
        <v>58</v>
      </c>
      <c r="H358">
        <v>1</v>
      </c>
      <c r="J358">
        <v>25</v>
      </c>
      <c r="K358">
        <v>41</v>
      </c>
      <c r="L358">
        <v>16</v>
      </c>
      <c r="M358">
        <v>46</v>
      </c>
      <c r="N358" t="s">
        <v>2612</v>
      </c>
      <c r="O358" t="s">
        <v>2613</v>
      </c>
      <c r="P358" s="22" t="str">
        <f>HYPERLINK(O358)</f>
        <v>https://www.scopus.com/inward/record.uri?eid=2-s2.0-85042916934&amp;doi=10.1177%2f0047287517741997&amp;partnerID=40&amp;md5=d44ef9fdc1aa35d437362721d8654065</v>
      </c>
      <c r="Q358" t="s">
        <v>156</v>
      </c>
      <c r="R358" t="s">
        <v>48</v>
      </c>
      <c r="T358" t="s">
        <v>6</v>
      </c>
      <c r="U358" t="s">
        <v>2614</v>
      </c>
      <c r="V358" s="36">
        <v>1</v>
      </c>
      <c r="W358" s="27">
        <v>0</v>
      </c>
      <c r="X358" s="27">
        <v>0</v>
      </c>
      <c r="Y358" s="27">
        <v>0</v>
      </c>
      <c r="Z358" s="27">
        <v>0</v>
      </c>
      <c r="AA358" s="27">
        <v>0</v>
      </c>
      <c r="AB358" s="27">
        <v>0</v>
      </c>
      <c r="AC358" s="27">
        <v>0</v>
      </c>
      <c r="AD358" s="27">
        <v>0</v>
      </c>
      <c r="AE358" s="27">
        <v>0</v>
      </c>
      <c r="AF358" s="27">
        <v>0</v>
      </c>
      <c r="AG358" s="27">
        <v>0</v>
      </c>
      <c r="AH358" s="27">
        <v>0</v>
      </c>
      <c r="AJ358">
        <f t="shared" si="5"/>
        <v>1</v>
      </c>
    </row>
    <row r="359" spans="1:36">
      <c r="A359" t="s">
        <v>2615</v>
      </c>
      <c r="B359" t="s">
        <v>2616</v>
      </c>
      <c r="C359" t="s">
        <v>2617</v>
      </c>
      <c r="D359" t="s">
        <v>2618</v>
      </c>
      <c r="E359">
        <v>2019</v>
      </c>
      <c r="F359" t="s">
        <v>2535</v>
      </c>
      <c r="G359">
        <v>58</v>
      </c>
      <c r="H359">
        <v>2</v>
      </c>
      <c r="J359">
        <v>224</v>
      </c>
      <c r="K359">
        <v>240</v>
      </c>
      <c r="L359">
        <v>16</v>
      </c>
      <c r="M359">
        <v>94</v>
      </c>
      <c r="N359" t="s">
        <v>2619</v>
      </c>
      <c r="O359" t="s">
        <v>2620</v>
      </c>
      <c r="P359" s="22" t="str">
        <f>HYPERLINK(O359)</f>
        <v>https://www.scopus.com/inward/record.uri?eid=2-s2.0-85048297254&amp;doi=10.1177%2f0047287517748780&amp;partnerID=40&amp;md5=756b9c907cffb050d7c605a25c01a3ae</v>
      </c>
      <c r="Q359" t="s">
        <v>156</v>
      </c>
      <c r="R359" t="s">
        <v>48</v>
      </c>
      <c r="T359" t="s">
        <v>6</v>
      </c>
      <c r="U359" t="s">
        <v>2621</v>
      </c>
      <c r="V359" s="36">
        <v>1</v>
      </c>
      <c r="W359" s="27">
        <v>0</v>
      </c>
      <c r="X359" s="27">
        <v>0</v>
      </c>
      <c r="Y359" s="27">
        <v>0</v>
      </c>
      <c r="Z359" s="27">
        <v>0</v>
      </c>
      <c r="AA359" s="27">
        <v>0</v>
      </c>
      <c r="AB359" s="27">
        <v>0</v>
      </c>
      <c r="AC359" s="27">
        <v>0</v>
      </c>
      <c r="AD359" s="27">
        <v>0</v>
      </c>
      <c r="AE359" s="27">
        <v>0</v>
      </c>
      <c r="AF359" s="27">
        <v>0</v>
      </c>
      <c r="AG359" s="27">
        <v>0</v>
      </c>
      <c r="AH359" s="27">
        <v>0</v>
      </c>
      <c r="AJ359">
        <f t="shared" si="5"/>
        <v>1</v>
      </c>
    </row>
    <row r="360" spans="1:36">
      <c r="A360" t="s">
        <v>2622</v>
      </c>
      <c r="B360" t="s">
        <v>2623</v>
      </c>
      <c r="C360" t="s">
        <v>2624</v>
      </c>
      <c r="D360" t="s">
        <v>2625</v>
      </c>
      <c r="E360">
        <v>2023</v>
      </c>
      <c r="F360" t="s">
        <v>2535</v>
      </c>
      <c r="G360">
        <v>62</v>
      </c>
      <c r="H360">
        <v>3</v>
      </c>
      <c r="J360">
        <v>610</v>
      </c>
      <c r="K360">
        <v>625</v>
      </c>
      <c r="L360">
        <v>15</v>
      </c>
      <c r="M360">
        <v>15</v>
      </c>
      <c r="N360" t="s">
        <v>2626</v>
      </c>
      <c r="O360" t="s">
        <v>2627</v>
      </c>
      <c r="P360" s="22" t="str">
        <f>HYPERLINK(O360)</f>
        <v>https://www.scopus.com/inward/record.uri?eid=2-s2.0-85125084374&amp;doi=10.1177%2f00472875221077978&amp;partnerID=40&amp;md5=8e2f24fc2b8b08eb62e7314fc47da729</v>
      </c>
      <c r="Q360" t="s">
        <v>156</v>
      </c>
      <c r="R360" t="s">
        <v>48</v>
      </c>
      <c r="S360" t="s">
        <v>164</v>
      </c>
      <c r="T360" t="s">
        <v>6</v>
      </c>
      <c r="U360" t="s">
        <v>2628</v>
      </c>
      <c r="V360" s="36">
        <v>0</v>
      </c>
      <c r="W360" s="27">
        <v>0</v>
      </c>
      <c r="X360" s="27">
        <v>0</v>
      </c>
      <c r="Y360" s="27">
        <v>0</v>
      </c>
      <c r="Z360" s="27">
        <v>1</v>
      </c>
      <c r="AA360" s="27">
        <v>0</v>
      </c>
      <c r="AB360" s="27">
        <v>0</v>
      </c>
      <c r="AC360" s="27">
        <v>0</v>
      </c>
      <c r="AD360" s="27">
        <v>0</v>
      </c>
      <c r="AE360" s="27">
        <v>0</v>
      </c>
      <c r="AF360" s="27">
        <v>0</v>
      </c>
      <c r="AG360" s="27">
        <v>0</v>
      </c>
      <c r="AH360" s="27">
        <v>0</v>
      </c>
      <c r="AJ360">
        <f t="shared" si="5"/>
        <v>1</v>
      </c>
    </row>
    <row r="361" spans="1:36">
      <c r="A361" t="s">
        <v>2629</v>
      </c>
      <c r="B361" t="s">
        <v>2630</v>
      </c>
      <c r="C361" t="s">
        <v>2631</v>
      </c>
      <c r="D361" t="s">
        <v>2632</v>
      </c>
      <c r="E361">
        <v>2022</v>
      </c>
      <c r="F361" t="s">
        <v>2535</v>
      </c>
      <c r="G361">
        <v>61</v>
      </c>
      <c r="H361">
        <v>2</v>
      </c>
      <c r="J361">
        <v>314</v>
      </c>
      <c r="K361">
        <v>330</v>
      </c>
      <c r="L361">
        <v>16</v>
      </c>
      <c r="M361">
        <v>19</v>
      </c>
      <c r="N361" t="s">
        <v>2633</v>
      </c>
      <c r="O361" t="s">
        <v>2634</v>
      </c>
      <c r="P361" s="22" t="str">
        <f>HYPERLINK(O361)</f>
        <v>https://www.scopus.com/inward/record.uri?eid=2-s2.0-85105722492&amp;doi=10.1177%2f0047287520977705&amp;partnerID=40&amp;md5=6f190b1be71ce2ff3a5c292d29411157</v>
      </c>
      <c r="Q361" t="s">
        <v>156</v>
      </c>
      <c r="R361" t="s">
        <v>48</v>
      </c>
      <c r="T361" t="s">
        <v>6</v>
      </c>
      <c r="U361" t="s">
        <v>2635</v>
      </c>
      <c r="V361" s="36">
        <v>0</v>
      </c>
      <c r="W361" s="27">
        <v>0</v>
      </c>
      <c r="X361" s="27">
        <v>0</v>
      </c>
      <c r="Y361" s="27">
        <v>0</v>
      </c>
      <c r="Z361" s="27">
        <v>0</v>
      </c>
      <c r="AA361" s="27">
        <v>0</v>
      </c>
      <c r="AB361" s="27">
        <v>1</v>
      </c>
      <c r="AC361" s="27">
        <v>0</v>
      </c>
      <c r="AD361" s="27">
        <v>0</v>
      </c>
      <c r="AE361" s="27">
        <v>0</v>
      </c>
      <c r="AF361" s="27">
        <v>0</v>
      </c>
      <c r="AG361" s="27">
        <v>0</v>
      </c>
      <c r="AH361" s="27">
        <v>0</v>
      </c>
      <c r="AJ361">
        <f t="shared" si="5"/>
        <v>1</v>
      </c>
    </row>
    <row r="362" spans="1:36">
      <c r="A362" t="s">
        <v>2636</v>
      </c>
      <c r="B362" t="s">
        <v>2637</v>
      </c>
      <c r="C362" t="s">
        <v>2638</v>
      </c>
      <c r="D362" t="s">
        <v>2639</v>
      </c>
      <c r="E362">
        <v>2022</v>
      </c>
      <c r="F362" t="s">
        <v>2640</v>
      </c>
      <c r="G362">
        <v>28</v>
      </c>
      <c r="H362">
        <v>1</v>
      </c>
      <c r="J362">
        <v>64</v>
      </c>
      <c r="K362">
        <v>81</v>
      </c>
      <c r="L362">
        <v>17</v>
      </c>
      <c r="M362">
        <v>4</v>
      </c>
      <c r="N362" t="s">
        <v>2641</v>
      </c>
      <c r="O362" t="s">
        <v>2642</v>
      </c>
      <c r="P362" s="22" t="str">
        <f>HYPERLINK(O362)</f>
        <v>https://www.scopus.com/inward/record.uri?eid=2-s2.0-85107273777&amp;doi=10.1177%2f13567667211020492&amp;partnerID=40&amp;md5=19e90da16ba411a0c01bf6212770d176</v>
      </c>
      <c r="Q362" t="s">
        <v>156</v>
      </c>
      <c r="R362" t="s">
        <v>48</v>
      </c>
      <c r="S362" t="s">
        <v>164</v>
      </c>
      <c r="T362" t="s">
        <v>6</v>
      </c>
      <c r="U362" t="s">
        <v>2643</v>
      </c>
      <c r="V362" s="36">
        <v>0</v>
      </c>
      <c r="W362" s="27">
        <v>1</v>
      </c>
      <c r="X362" s="27">
        <v>0</v>
      </c>
      <c r="Y362" s="27">
        <v>0</v>
      </c>
      <c r="Z362" s="27">
        <v>0</v>
      </c>
      <c r="AA362" s="27">
        <v>0</v>
      </c>
      <c r="AB362" s="27">
        <v>0</v>
      </c>
      <c r="AC362" s="27">
        <v>0</v>
      </c>
      <c r="AD362" s="27">
        <v>0</v>
      </c>
      <c r="AE362" s="27">
        <v>0</v>
      </c>
      <c r="AF362" s="27">
        <v>0</v>
      </c>
      <c r="AG362" s="27">
        <v>0</v>
      </c>
      <c r="AH362" s="27">
        <v>0</v>
      </c>
      <c r="AJ362">
        <f t="shared" si="5"/>
        <v>1</v>
      </c>
    </row>
    <row r="363" spans="1:36">
      <c r="A363" t="s">
        <v>2644</v>
      </c>
      <c r="B363" t="s">
        <v>2645</v>
      </c>
      <c r="C363" t="s">
        <v>2646</v>
      </c>
      <c r="D363" t="s">
        <v>2647</v>
      </c>
      <c r="E363">
        <v>2020</v>
      </c>
      <c r="F363" t="s">
        <v>2648</v>
      </c>
      <c r="G363">
        <v>54</v>
      </c>
      <c r="H363">
        <v>2</v>
      </c>
      <c r="M363">
        <v>12</v>
      </c>
      <c r="N363" t="s">
        <v>2649</v>
      </c>
      <c r="O363" t="s">
        <v>2650</v>
      </c>
      <c r="P363" s="22" t="str">
        <f>HYPERLINK(O363)</f>
        <v>https://www.scopus.com/inward/record.uri?eid=2-s2.0-85095817161&amp;doi=10.17576%2fJEM-2020-5402-09&amp;partnerID=40&amp;md5=a966a047b0d1e60659ec13c82304959f</v>
      </c>
      <c r="Q363" t="s">
        <v>156</v>
      </c>
      <c r="R363" t="s">
        <v>48</v>
      </c>
      <c r="S363" t="s">
        <v>164</v>
      </c>
      <c r="T363" t="s">
        <v>6</v>
      </c>
      <c r="U363" t="s">
        <v>2651</v>
      </c>
      <c r="V363" s="36">
        <v>0</v>
      </c>
      <c r="W363" s="27">
        <v>0</v>
      </c>
      <c r="X363" s="27">
        <v>0</v>
      </c>
      <c r="Y363" s="27">
        <v>0</v>
      </c>
      <c r="Z363" s="27">
        <v>0</v>
      </c>
      <c r="AA363" s="27">
        <v>0</v>
      </c>
      <c r="AB363" s="27">
        <v>0</v>
      </c>
      <c r="AC363" s="27">
        <v>0</v>
      </c>
      <c r="AD363" s="27">
        <v>0</v>
      </c>
      <c r="AE363" s="27">
        <v>0</v>
      </c>
      <c r="AF363" s="27">
        <v>1</v>
      </c>
      <c r="AG363" s="27">
        <v>0</v>
      </c>
      <c r="AH363" s="27">
        <v>0</v>
      </c>
      <c r="AJ363">
        <f t="shared" si="5"/>
        <v>1</v>
      </c>
    </row>
    <row r="364" spans="1:36">
      <c r="A364" t="s">
        <v>2652</v>
      </c>
      <c r="B364" t="s">
        <v>2653</v>
      </c>
      <c r="C364" t="s">
        <v>2654</v>
      </c>
      <c r="D364" t="s">
        <v>2655</v>
      </c>
      <c r="E364">
        <v>2013</v>
      </c>
      <c r="F364" t="s">
        <v>2648</v>
      </c>
      <c r="G364">
        <v>47</v>
      </c>
      <c r="H364">
        <v>1</v>
      </c>
      <c r="J364">
        <v>131</v>
      </c>
      <c r="K364">
        <v>138</v>
      </c>
      <c r="L364">
        <v>7</v>
      </c>
      <c r="M364">
        <v>21</v>
      </c>
      <c r="O364" t="s">
        <v>2656</v>
      </c>
      <c r="P364" s="22" t="str">
        <f>HYPERLINK(O364)</f>
        <v>https://www.scopus.com/inward/record.uri?eid=2-s2.0-84880912267&amp;partnerID=40&amp;md5=28361c41fe240a9dddb351658d2cac7b</v>
      </c>
      <c r="Q364" t="s">
        <v>156</v>
      </c>
      <c r="R364" t="s">
        <v>48</v>
      </c>
      <c r="T364" t="s">
        <v>6</v>
      </c>
      <c r="U364" t="s">
        <v>2657</v>
      </c>
      <c r="V364" s="36">
        <v>0</v>
      </c>
      <c r="W364" s="27">
        <v>0</v>
      </c>
      <c r="X364" s="27">
        <v>0</v>
      </c>
      <c r="Y364" s="27">
        <v>0</v>
      </c>
      <c r="Z364" s="27">
        <v>0</v>
      </c>
      <c r="AA364" s="27">
        <v>0</v>
      </c>
      <c r="AB364" s="27">
        <v>0</v>
      </c>
      <c r="AC364" s="27">
        <v>0</v>
      </c>
      <c r="AD364" s="27">
        <v>0</v>
      </c>
      <c r="AE364" s="27">
        <v>0</v>
      </c>
      <c r="AF364" s="27">
        <v>1</v>
      </c>
      <c r="AG364" s="27">
        <v>0</v>
      </c>
      <c r="AH364" s="27">
        <v>0</v>
      </c>
      <c r="AJ364">
        <f t="shared" si="5"/>
        <v>1</v>
      </c>
    </row>
    <row r="365" spans="1:36">
      <c r="A365" t="s">
        <v>2658</v>
      </c>
      <c r="B365" t="s">
        <v>2659</v>
      </c>
      <c r="C365" t="s">
        <v>2533</v>
      </c>
      <c r="D365" t="s">
        <v>2660</v>
      </c>
      <c r="E365">
        <v>2015</v>
      </c>
      <c r="F365" t="s">
        <v>2661</v>
      </c>
      <c r="G365">
        <v>68</v>
      </c>
      <c r="H365">
        <v>1</v>
      </c>
      <c r="J365">
        <v>51</v>
      </c>
      <c r="K365">
        <v>64</v>
      </c>
      <c r="L365">
        <v>13</v>
      </c>
      <c r="M365">
        <v>49</v>
      </c>
      <c r="N365" t="s">
        <v>2662</v>
      </c>
      <c r="O365" t="s">
        <v>2663</v>
      </c>
      <c r="P365" s="22" t="str">
        <f>HYPERLINK(O365)</f>
        <v>https://www.scopus.com/inward/record.uri?eid=2-s2.0-84921896443&amp;doi=10.1111%2fkykl.12066&amp;partnerID=40&amp;md5=e1c53657aecb247f33bd49b082ffe4cd</v>
      </c>
      <c r="Q365" t="s">
        <v>156</v>
      </c>
      <c r="R365" t="s">
        <v>48</v>
      </c>
      <c r="S365" t="s">
        <v>164</v>
      </c>
      <c r="T365" t="s">
        <v>6</v>
      </c>
      <c r="U365" t="s">
        <v>2664</v>
      </c>
      <c r="V365" s="36">
        <v>1</v>
      </c>
      <c r="W365" s="27">
        <v>0</v>
      </c>
      <c r="X365" s="27">
        <v>0</v>
      </c>
      <c r="Y365" s="27">
        <v>0</v>
      </c>
      <c r="Z365" s="27">
        <v>0</v>
      </c>
      <c r="AA365" s="27">
        <v>0</v>
      </c>
      <c r="AB365" s="27">
        <v>0</v>
      </c>
      <c r="AC365" s="27">
        <v>0</v>
      </c>
      <c r="AD365" s="27">
        <v>0</v>
      </c>
      <c r="AE365" s="27">
        <v>0</v>
      </c>
      <c r="AF365" s="27">
        <v>0</v>
      </c>
      <c r="AG365" s="27">
        <v>0</v>
      </c>
      <c r="AH365" s="27">
        <v>0</v>
      </c>
      <c r="AJ365">
        <f t="shared" si="5"/>
        <v>1</v>
      </c>
    </row>
    <row r="366" spans="1:36">
      <c r="A366" t="s">
        <v>2665</v>
      </c>
      <c r="B366" t="s">
        <v>2666</v>
      </c>
      <c r="C366" t="s">
        <v>2667</v>
      </c>
      <c r="D366" t="s">
        <v>2668</v>
      </c>
      <c r="E366">
        <v>2022</v>
      </c>
      <c r="F366" t="s">
        <v>2669</v>
      </c>
      <c r="G366">
        <v>11</v>
      </c>
      <c r="H366">
        <v>2</v>
      </c>
      <c r="I366">
        <v>241</v>
      </c>
      <c r="M366">
        <v>12</v>
      </c>
      <c r="N366" t="s">
        <v>2670</v>
      </c>
      <c r="O366" t="s">
        <v>2671</v>
      </c>
      <c r="P366" s="22" t="str">
        <f>HYPERLINK(O366)</f>
        <v>https://www.scopus.com/inward/record.uri?eid=2-s2.0-85124457397&amp;doi=10.3390%2fland11020241&amp;partnerID=40&amp;md5=a272e1eea1c3ee3e2ead806e3a53eeaf</v>
      </c>
      <c r="Q366" t="s">
        <v>156</v>
      </c>
      <c r="R366" t="s">
        <v>48</v>
      </c>
      <c r="S366" t="s">
        <v>185</v>
      </c>
      <c r="T366" t="s">
        <v>6</v>
      </c>
      <c r="U366" t="s">
        <v>2672</v>
      </c>
      <c r="V366" s="36">
        <v>0</v>
      </c>
      <c r="W366" s="27">
        <v>1</v>
      </c>
      <c r="X366" s="27">
        <v>0</v>
      </c>
      <c r="Y366" s="27">
        <v>0</v>
      </c>
      <c r="Z366" s="27">
        <v>0</v>
      </c>
      <c r="AA366" s="27">
        <v>0</v>
      </c>
      <c r="AB366" s="27">
        <v>0</v>
      </c>
      <c r="AC366" s="27">
        <v>0</v>
      </c>
      <c r="AD366" s="27">
        <v>0</v>
      </c>
      <c r="AE366" s="27">
        <v>0</v>
      </c>
      <c r="AF366" s="27">
        <v>0</v>
      </c>
      <c r="AG366" s="27">
        <v>0</v>
      </c>
      <c r="AH366" s="27">
        <v>0</v>
      </c>
      <c r="AJ366">
        <f t="shared" si="5"/>
        <v>1</v>
      </c>
    </row>
    <row r="367" spans="1:36">
      <c r="A367" t="s">
        <v>2673</v>
      </c>
      <c r="B367" t="s">
        <v>2674</v>
      </c>
      <c r="C367" t="s">
        <v>2675</v>
      </c>
      <c r="D367" t="s">
        <v>2676</v>
      </c>
      <c r="E367">
        <v>2023</v>
      </c>
      <c r="F367" t="s">
        <v>2669</v>
      </c>
      <c r="G367">
        <v>12</v>
      </c>
      <c r="H367">
        <v>1</v>
      </c>
      <c r="I367">
        <v>14</v>
      </c>
      <c r="M367">
        <v>4</v>
      </c>
      <c r="N367" t="s">
        <v>2677</v>
      </c>
      <c r="O367" t="s">
        <v>2678</v>
      </c>
      <c r="P367" s="22" t="str">
        <f>HYPERLINK(O367)</f>
        <v>https://www.scopus.com/inward/record.uri?eid=2-s2.0-85146812660&amp;doi=10.3390%2fland12010014&amp;partnerID=40&amp;md5=6dbe56c751d967f2e9689c03ba07d11f</v>
      </c>
      <c r="Q367" t="s">
        <v>156</v>
      </c>
      <c r="R367" t="s">
        <v>48</v>
      </c>
      <c r="S367" t="s">
        <v>185</v>
      </c>
      <c r="T367" t="s">
        <v>6</v>
      </c>
      <c r="U367" t="s">
        <v>2679</v>
      </c>
      <c r="V367" s="36">
        <v>0</v>
      </c>
      <c r="W367" s="27">
        <v>1</v>
      </c>
      <c r="X367" s="27">
        <v>0</v>
      </c>
      <c r="Y367" s="27">
        <v>0</v>
      </c>
      <c r="Z367" s="27">
        <v>0</v>
      </c>
      <c r="AA367" s="27">
        <v>0</v>
      </c>
      <c r="AB367" s="27">
        <v>0</v>
      </c>
      <c r="AC367" s="27">
        <v>0</v>
      </c>
      <c r="AD367" s="27">
        <v>0</v>
      </c>
      <c r="AE367" s="27">
        <v>0</v>
      </c>
      <c r="AF367" s="27">
        <v>0</v>
      </c>
      <c r="AG367" s="27">
        <v>0</v>
      </c>
      <c r="AH367" s="27">
        <v>0</v>
      </c>
      <c r="AJ367">
        <f t="shared" si="5"/>
        <v>1</v>
      </c>
    </row>
    <row r="368" spans="1:36">
      <c r="A368" t="s">
        <v>2680</v>
      </c>
      <c r="B368" t="s">
        <v>2681</v>
      </c>
      <c r="C368" t="s">
        <v>2682</v>
      </c>
      <c r="D368" t="s">
        <v>2683</v>
      </c>
      <c r="E368">
        <v>2022</v>
      </c>
      <c r="F368" t="s">
        <v>2669</v>
      </c>
      <c r="G368">
        <v>11</v>
      </c>
      <c r="H368">
        <v>11</v>
      </c>
      <c r="I368">
        <v>1880</v>
      </c>
      <c r="M368">
        <v>4</v>
      </c>
      <c r="N368" t="s">
        <v>2684</v>
      </c>
      <c r="O368" t="s">
        <v>2685</v>
      </c>
      <c r="P368" s="22" t="str">
        <f>HYPERLINK(O368)</f>
        <v>https://www.scopus.com/inward/record.uri?eid=2-s2.0-85141887946&amp;doi=10.3390%2fland11111880&amp;partnerID=40&amp;md5=50a7c6f0a81c7deea78a53eb50173ab4</v>
      </c>
      <c r="Q368" t="s">
        <v>156</v>
      </c>
      <c r="R368" t="s">
        <v>48</v>
      </c>
      <c r="S368" t="s">
        <v>185</v>
      </c>
      <c r="T368" t="s">
        <v>6</v>
      </c>
      <c r="U368" t="s">
        <v>2686</v>
      </c>
      <c r="V368" s="36">
        <v>0</v>
      </c>
      <c r="W368" s="27">
        <v>1</v>
      </c>
      <c r="X368" s="27">
        <v>0</v>
      </c>
      <c r="Y368" s="27">
        <v>0</v>
      </c>
      <c r="Z368" s="27">
        <v>0</v>
      </c>
      <c r="AA368" s="27">
        <v>0</v>
      </c>
      <c r="AB368" s="27">
        <v>0</v>
      </c>
      <c r="AC368" s="27">
        <v>0</v>
      </c>
      <c r="AD368" s="27">
        <v>0</v>
      </c>
      <c r="AE368" s="27">
        <v>0</v>
      </c>
      <c r="AF368" s="27">
        <v>0</v>
      </c>
      <c r="AG368" s="27">
        <v>0</v>
      </c>
      <c r="AH368" s="27">
        <v>0</v>
      </c>
      <c r="AJ368">
        <f t="shared" si="5"/>
        <v>1</v>
      </c>
    </row>
    <row r="369" spans="1:36">
      <c r="A369" t="s">
        <v>2687</v>
      </c>
      <c r="B369" t="s">
        <v>2688</v>
      </c>
      <c r="C369" t="s">
        <v>2689</v>
      </c>
      <c r="D369" t="s">
        <v>2690</v>
      </c>
      <c r="E369">
        <v>2022</v>
      </c>
      <c r="F369" t="s">
        <v>2669</v>
      </c>
      <c r="G369">
        <v>11</v>
      </c>
      <c r="H369">
        <v>11</v>
      </c>
      <c r="I369">
        <v>2089</v>
      </c>
      <c r="M369">
        <v>6</v>
      </c>
      <c r="N369" t="s">
        <v>2691</v>
      </c>
      <c r="O369" t="s">
        <v>2692</v>
      </c>
      <c r="P369" s="22" t="str">
        <f>HYPERLINK(O369)</f>
        <v>https://www.scopus.com/inward/record.uri?eid=2-s2.0-85149304105&amp;doi=10.3390%2fland11112089&amp;partnerID=40&amp;md5=b207432ec6f94bc039b3cec3061fcb1c</v>
      </c>
      <c r="Q369" t="s">
        <v>156</v>
      </c>
      <c r="R369" t="s">
        <v>48</v>
      </c>
      <c r="S369" t="s">
        <v>185</v>
      </c>
      <c r="T369" t="s">
        <v>6</v>
      </c>
      <c r="U369" t="s">
        <v>2693</v>
      </c>
      <c r="V369" s="36">
        <v>0</v>
      </c>
      <c r="W369" s="27">
        <v>1</v>
      </c>
      <c r="X369" s="27">
        <v>0</v>
      </c>
      <c r="Y369" s="27">
        <v>0</v>
      </c>
      <c r="Z369" s="27">
        <v>0</v>
      </c>
      <c r="AA369" s="27">
        <v>0</v>
      </c>
      <c r="AB369" s="27">
        <v>0</v>
      </c>
      <c r="AC369" s="27">
        <v>0</v>
      </c>
      <c r="AD369" s="27">
        <v>0</v>
      </c>
      <c r="AE369" s="27">
        <v>0</v>
      </c>
      <c r="AF369" s="27">
        <v>0</v>
      </c>
      <c r="AG369" s="27">
        <v>0</v>
      </c>
      <c r="AH369" s="27">
        <v>0</v>
      </c>
      <c r="AJ369">
        <f t="shared" si="5"/>
        <v>1</v>
      </c>
    </row>
    <row r="370" spans="1:36">
      <c r="A370" t="s">
        <v>2694</v>
      </c>
      <c r="B370" t="s">
        <v>2695</v>
      </c>
      <c r="C370" t="s">
        <v>2696</v>
      </c>
      <c r="D370" t="s">
        <v>2697</v>
      </c>
      <c r="E370">
        <v>2023</v>
      </c>
      <c r="F370" t="s">
        <v>2669</v>
      </c>
      <c r="G370">
        <v>12</v>
      </c>
      <c r="H370">
        <v>2</v>
      </c>
      <c r="I370">
        <v>274</v>
      </c>
      <c r="M370">
        <v>5</v>
      </c>
      <c r="N370" t="s">
        <v>2698</v>
      </c>
      <c r="O370" t="s">
        <v>2699</v>
      </c>
      <c r="P370" s="22" t="str">
        <f>HYPERLINK(O370)</f>
        <v>https://www.scopus.com/inward/record.uri?eid=2-s2.0-85148731801&amp;doi=10.3390%2fland12020274&amp;partnerID=40&amp;md5=9daa06efeed9dddcad99135065b9d5b5</v>
      </c>
      <c r="Q370" t="s">
        <v>156</v>
      </c>
      <c r="R370" t="s">
        <v>48</v>
      </c>
      <c r="S370" t="s">
        <v>185</v>
      </c>
      <c r="T370" t="s">
        <v>6</v>
      </c>
      <c r="U370" t="s">
        <v>2700</v>
      </c>
      <c r="V370" s="36">
        <v>0</v>
      </c>
      <c r="W370" s="27">
        <v>1</v>
      </c>
      <c r="X370" s="27">
        <v>0</v>
      </c>
      <c r="Y370" s="27">
        <v>0</v>
      </c>
      <c r="Z370" s="27">
        <v>0</v>
      </c>
      <c r="AA370" s="27">
        <v>0</v>
      </c>
      <c r="AB370" s="27">
        <v>0</v>
      </c>
      <c r="AC370" s="27">
        <v>0</v>
      </c>
      <c r="AD370" s="27">
        <v>0</v>
      </c>
      <c r="AE370" s="27">
        <v>0</v>
      </c>
      <c r="AF370" s="27">
        <v>0</v>
      </c>
      <c r="AG370" s="27">
        <v>0</v>
      </c>
      <c r="AH370" s="27">
        <v>0</v>
      </c>
      <c r="AJ370">
        <f t="shared" si="5"/>
        <v>1</v>
      </c>
    </row>
    <row r="371" spans="1:36">
      <c r="A371" t="s">
        <v>2701</v>
      </c>
      <c r="B371" t="s">
        <v>2702</v>
      </c>
      <c r="C371" t="s">
        <v>2703</v>
      </c>
      <c r="D371" t="s">
        <v>2704</v>
      </c>
      <c r="E371">
        <v>2024</v>
      </c>
      <c r="F371" t="s">
        <v>2669</v>
      </c>
      <c r="G371">
        <v>13</v>
      </c>
      <c r="H371">
        <v>6</v>
      </c>
      <c r="I371">
        <v>746</v>
      </c>
      <c r="M371">
        <v>1</v>
      </c>
      <c r="N371" t="s">
        <v>2705</v>
      </c>
      <c r="O371" t="s">
        <v>2706</v>
      </c>
      <c r="P371" s="22" t="str">
        <f>HYPERLINK(O371)</f>
        <v>https://www.scopus.com/inward/record.uri?eid=2-s2.0-85197310934&amp;doi=10.3390%2fland13060746&amp;partnerID=40&amp;md5=acf0a86db6f5151a90e19da7a63e5f52</v>
      </c>
      <c r="Q371" t="s">
        <v>156</v>
      </c>
      <c r="R371" t="s">
        <v>48</v>
      </c>
      <c r="S371" t="s">
        <v>225</v>
      </c>
      <c r="T371" t="s">
        <v>6</v>
      </c>
      <c r="U371" t="s">
        <v>2707</v>
      </c>
      <c r="V371" s="36">
        <v>0</v>
      </c>
      <c r="W371" s="27">
        <v>1</v>
      </c>
      <c r="X371" s="27">
        <v>0</v>
      </c>
      <c r="Y371" s="27">
        <v>0</v>
      </c>
      <c r="Z371" s="27">
        <v>0</v>
      </c>
      <c r="AA371" s="27">
        <v>0</v>
      </c>
      <c r="AB371" s="27">
        <v>0</v>
      </c>
      <c r="AC371" s="27">
        <v>0</v>
      </c>
      <c r="AD371" s="27">
        <v>0</v>
      </c>
      <c r="AE371" s="27">
        <v>0</v>
      </c>
      <c r="AF371" s="27">
        <v>0</v>
      </c>
      <c r="AG371" s="27">
        <v>0</v>
      </c>
      <c r="AH371" s="27">
        <v>0</v>
      </c>
      <c r="AJ371">
        <f t="shared" si="5"/>
        <v>1</v>
      </c>
    </row>
    <row r="372" spans="1:36">
      <c r="A372" t="s">
        <v>2708</v>
      </c>
      <c r="B372" t="s">
        <v>2709</v>
      </c>
      <c r="C372" t="s">
        <v>2710</v>
      </c>
      <c r="D372" t="s">
        <v>2711</v>
      </c>
      <c r="E372">
        <v>2023</v>
      </c>
      <c r="F372" t="s">
        <v>2669</v>
      </c>
      <c r="G372">
        <v>12</v>
      </c>
      <c r="H372">
        <v>8</v>
      </c>
      <c r="I372">
        <v>1510</v>
      </c>
      <c r="M372">
        <v>7</v>
      </c>
      <c r="N372" t="s">
        <v>2712</v>
      </c>
      <c r="O372" t="s">
        <v>2713</v>
      </c>
      <c r="P372" s="22" t="str">
        <f>HYPERLINK(O372)</f>
        <v>https://www.scopus.com/inward/record.uri?eid=2-s2.0-85169121695&amp;doi=10.3390%2fland12081510&amp;partnerID=40&amp;md5=cc79a6b3d1e32d807ec9df52b36a4405</v>
      </c>
      <c r="Q372" t="s">
        <v>156</v>
      </c>
      <c r="R372" t="s">
        <v>48</v>
      </c>
      <c r="S372" t="s">
        <v>185</v>
      </c>
      <c r="T372" t="s">
        <v>6</v>
      </c>
      <c r="U372" t="s">
        <v>2714</v>
      </c>
      <c r="V372" s="36">
        <v>0</v>
      </c>
      <c r="W372" s="27">
        <v>1</v>
      </c>
      <c r="X372" s="27">
        <v>0</v>
      </c>
      <c r="Y372" s="27">
        <v>0</v>
      </c>
      <c r="Z372" s="27">
        <v>0</v>
      </c>
      <c r="AA372" s="27">
        <v>0</v>
      </c>
      <c r="AB372" s="27">
        <v>0</v>
      </c>
      <c r="AC372" s="27">
        <v>0</v>
      </c>
      <c r="AD372" s="27">
        <v>0</v>
      </c>
      <c r="AE372" s="27">
        <v>0</v>
      </c>
      <c r="AF372" s="27">
        <v>0</v>
      </c>
      <c r="AG372" s="27">
        <v>0</v>
      </c>
      <c r="AH372" s="27">
        <v>0</v>
      </c>
      <c r="AJ372">
        <f t="shared" si="5"/>
        <v>1</v>
      </c>
    </row>
    <row r="373" spans="1:36">
      <c r="A373" t="s">
        <v>2715</v>
      </c>
      <c r="B373" t="s">
        <v>2716</v>
      </c>
      <c r="C373" t="s">
        <v>2717</v>
      </c>
      <c r="D373" t="s">
        <v>2718</v>
      </c>
      <c r="E373">
        <v>2023</v>
      </c>
      <c r="F373" t="s">
        <v>2669</v>
      </c>
      <c r="G373">
        <v>12</v>
      </c>
      <c r="H373">
        <v>3</v>
      </c>
      <c r="I373">
        <v>640</v>
      </c>
      <c r="M373">
        <v>7</v>
      </c>
      <c r="N373" t="s">
        <v>2719</v>
      </c>
      <c r="O373" t="s">
        <v>2720</v>
      </c>
      <c r="P373" s="22" t="str">
        <f>HYPERLINK(O373)</f>
        <v>https://www.scopus.com/inward/record.uri?eid=2-s2.0-85151381837&amp;doi=10.3390%2fland12030640&amp;partnerID=40&amp;md5=d4e938af6b7b7dc508b61c501803035d</v>
      </c>
      <c r="Q373" t="s">
        <v>156</v>
      </c>
      <c r="R373" t="s">
        <v>48</v>
      </c>
      <c r="S373" t="s">
        <v>185</v>
      </c>
      <c r="T373" t="s">
        <v>6</v>
      </c>
      <c r="U373" t="s">
        <v>2721</v>
      </c>
      <c r="V373" s="36">
        <v>0</v>
      </c>
      <c r="W373" s="27">
        <v>1</v>
      </c>
      <c r="X373" s="27">
        <v>0</v>
      </c>
      <c r="Y373" s="27">
        <v>0</v>
      </c>
      <c r="Z373" s="27">
        <v>0</v>
      </c>
      <c r="AA373" s="27">
        <v>0</v>
      </c>
      <c r="AB373" s="27">
        <v>0</v>
      </c>
      <c r="AC373" s="27">
        <v>0</v>
      </c>
      <c r="AD373" s="27">
        <v>0</v>
      </c>
      <c r="AE373" s="27">
        <v>0</v>
      </c>
      <c r="AF373" s="27">
        <v>0</v>
      </c>
      <c r="AG373" s="27">
        <v>0</v>
      </c>
      <c r="AH373" s="27">
        <v>0</v>
      </c>
      <c r="AJ373">
        <f t="shared" si="5"/>
        <v>1</v>
      </c>
    </row>
    <row r="374" spans="1:36">
      <c r="A374" t="s">
        <v>2722</v>
      </c>
      <c r="B374" t="s">
        <v>2723</v>
      </c>
      <c r="C374" t="s">
        <v>2724</v>
      </c>
      <c r="D374" t="s">
        <v>2725</v>
      </c>
      <c r="E374">
        <v>2024</v>
      </c>
      <c r="F374" t="s">
        <v>2669</v>
      </c>
      <c r="G374">
        <v>13</v>
      </c>
      <c r="H374">
        <v>10</v>
      </c>
      <c r="I374">
        <v>1691</v>
      </c>
      <c r="M374">
        <v>0</v>
      </c>
      <c r="N374" t="s">
        <v>2726</v>
      </c>
      <c r="O374" t="s">
        <v>2727</v>
      </c>
      <c r="P374" s="22" t="str">
        <f>HYPERLINK(O374)</f>
        <v>https://www.scopus.com/inward/record.uri?eid=2-s2.0-85207349027&amp;doi=10.3390%2fland13101691&amp;partnerID=40&amp;md5=ab654027be21eb262c7d8e48bfe63a29</v>
      </c>
      <c r="Q374" t="s">
        <v>156</v>
      </c>
      <c r="R374" t="s">
        <v>48</v>
      </c>
      <c r="T374" t="s">
        <v>6</v>
      </c>
      <c r="U374" t="s">
        <v>2728</v>
      </c>
      <c r="V374" s="36">
        <v>0</v>
      </c>
      <c r="W374" s="27">
        <v>1</v>
      </c>
      <c r="X374" s="27">
        <v>0</v>
      </c>
      <c r="Y374" s="27">
        <v>0</v>
      </c>
      <c r="Z374" s="27">
        <v>0</v>
      </c>
      <c r="AA374" s="27">
        <v>0</v>
      </c>
      <c r="AB374" s="27">
        <v>0</v>
      </c>
      <c r="AC374" s="27">
        <v>0</v>
      </c>
      <c r="AD374" s="27">
        <v>0</v>
      </c>
      <c r="AE374" s="27">
        <v>0</v>
      </c>
      <c r="AF374" s="27">
        <v>0</v>
      </c>
      <c r="AG374" s="27">
        <v>0</v>
      </c>
      <c r="AH374" s="27">
        <v>0</v>
      </c>
      <c r="AJ374">
        <f t="shared" si="5"/>
        <v>1</v>
      </c>
    </row>
    <row r="375" spans="1:36">
      <c r="A375" t="s">
        <v>2729</v>
      </c>
      <c r="B375" t="s">
        <v>2730</v>
      </c>
      <c r="C375" t="s">
        <v>2731</v>
      </c>
      <c r="D375" t="s">
        <v>2732</v>
      </c>
      <c r="E375">
        <v>2024</v>
      </c>
      <c r="F375" t="s">
        <v>2669</v>
      </c>
      <c r="G375">
        <v>13</v>
      </c>
      <c r="H375">
        <v>8</v>
      </c>
      <c r="I375">
        <v>1173</v>
      </c>
      <c r="M375">
        <v>1</v>
      </c>
      <c r="N375" t="s">
        <v>2733</v>
      </c>
      <c r="O375" t="s">
        <v>2734</v>
      </c>
      <c r="P375" s="22" t="str">
        <f>HYPERLINK(O375)</f>
        <v>https://www.scopus.com/inward/record.uri?eid=2-s2.0-85202640159&amp;doi=10.3390%2fland13081173&amp;partnerID=40&amp;md5=84882ea5af41d76b8b10ab905874091d</v>
      </c>
      <c r="Q375" t="s">
        <v>156</v>
      </c>
      <c r="R375" t="s">
        <v>48</v>
      </c>
      <c r="S375" t="s">
        <v>185</v>
      </c>
      <c r="T375" t="s">
        <v>6</v>
      </c>
      <c r="U375" t="s">
        <v>2735</v>
      </c>
      <c r="V375" s="36">
        <v>0</v>
      </c>
      <c r="W375" s="27">
        <v>1</v>
      </c>
      <c r="X375" s="27">
        <v>0</v>
      </c>
      <c r="Y375" s="27">
        <v>0</v>
      </c>
      <c r="Z375" s="27">
        <v>0</v>
      </c>
      <c r="AA375" s="27">
        <v>0</v>
      </c>
      <c r="AB375" s="27">
        <v>0</v>
      </c>
      <c r="AC375" s="27">
        <v>0</v>
      </c>
      <c r="AD375" s="27">
        <v>0</v>
      </c>
      <c r="AE375" s="27">
        <v>0</v>
      </c>
      <c r="AF375" s="27">
        <v>0</v>
      </c>
      <c r="AG375" s="27">
        <v>0</v>
      </c>
      <c r="AH375" s="27">
        <v>0</v>
      </c>
      <c r="AJ375">
        <f t="shared" si="5"/>
        <v>1</v>
      </c>
    </row>
    <row r="376" spans="1:36">
      <c r="A376" t="s">
        <v>2736</v>
      </c>
      <c r="B376" t="s">
        <v>2737</v>
      </c>
      <c r="C376" t="s">
        <v>2738</v>
      </c>
      <c r="D376" t="s">
        <v>2739</v>
      </c>
      <c r="E376">
        <v>2022</v>
      </c>
      <c r="F376" t="s">
        <v>2740</v>
      </c>
      <c r="G376">
        <v>123</v>
      </c>
      <c r="I376">
        <v>106369</v>
      </c>
      <c r="M376">
        <v>15</v>
      </c>
      <c r="N376" t="s">
        <v>2741</v>
      </c>
      <c r="O376" t="s">
        <v>2742</v>
      </c>
      <c r="P376" s="22" t="str">
        <f>HYPERLINK(O376)</f>
        <v>https://www.scopus.com/inward/record.uri?eid=2-s2.0-85140482513&amp;doi=10.1016%2fj.landusepol.2022.106369&amp;partnerID=40&amp;md5=9d0d6cb7b53df961a56d2636fe0866a9</v>
      </c>
      <c r="Q376" t="s">
        <v>156</v>
      </c>
      <c r="R376" t="s">
        <v>48</v>
      </c>
      <c r="T376" t="s">
        <v>6</v>
      </c>
      <c r="U376" t="s">
        <v>2743</v>
      </c>
      <c r="V376" s="36">
        <v>0</v>
      </c>
      <c r="W376" s="27">
        <v>0</v>
      </c>
      <c r="X376" s="27">
        <v>0</v>
      </c>
      <c r="Y376" s="27">
        <v>0</v>
      </c>
      <c r="Z376" s="27">
        <v>0</v>
      </c>
      <c r="AA376" s="27">
        <v>0</v>
      </c>
      <c r="AB376" s="27">
        <v>0</v>
      </c>
      <c r="AC376" s="27">
        <v>0</v>
      </c>
      <c r="AD376" s="27">
        <v>0</v>
      </c>
      <c r="AE376" s="27">
        <v>0</v>
      </c>
      <c r="AF376" s="27">
        <v>0</v>
      </c>
      <c r="AG376" s="27">
        <v>0</v>
      </c>
      <c r="AH376" s="27">
        <v>1</v>
      </c>
      <c r="AJ376">
        <f t="shared" si="5"/>
        <v>1</v>
      </c>
    </row>
    <row r="377" spans="1:36">
      <c r="A377" t="s">
        <v>2744</v>
      </c>
      <c r="B377" t="s">
        <v>2745</v>
      </c>
      <c r="C377" t="s">
        <v>2746</v>
      </c>
      <c r="D377" t="s">
        <v>2747</v>
      </c>
      <c r="E377">
        <v>2014</v>
      </c>
      <c r="F377" t="s">
        <v>2748</v>
      </c>
      <c r="G377">
        <v>11</v>
      </c>
      <c r="H377">
        <v>1</v>
      </c>
      <c r="J377">
        <v>107</v>
      </c>
      <c r="K377">
        <v>117</v>
      </c>
      <c r="L377">
        <v>10</v>
      </c>
      <c r="M377">
        <v>24</v>
      </c>
      <c r="N377" t="s">
        <v>2749</v>
      </c>
      <c r="O377" t="s">
        <v>2750</v>
      </c>
      <c r="P377" s="22" t="str">
        <f>HYPERLINK(O377)</f>
        <v>https://www.scopus.com/inward/record.uri?eid=2-s2.0-84893704766&amp;doi=10.1007%2fs10346-013-0434-0&amp;partnerID=40&amp;md5=5e4b973e44d653e894da28fb59ac87f0</v>
      </c>
      <c r="Q377" t="s">
        <v>184</v>
      </c>
      <c r="R377" t="s">
        <v>48</v>
      </c>
      <c r="T377" t="s">
        <v>6</v>
      </c>
      <c r="U377" t="s">
        <v>2751</v>
      </c>
      <c r="V377" s="36">
        <v>0</v>
      </c>
      <c r="W377" s="27">
        <v>0</v>
      </c>
      <c r="X377" s="27">
        <v>0</v>
      </c>
      <c r="Y377" s="27">
        <v>0</v>
      </c>
      <c r="Z377" s="27">
        <v>0</v>
      </c>
      <c r="AA377" s="27">
        <v>0</v>
      </c>
      <c r="AB377" s="27">
        <v>0</v>
      </c>
      <c r="AC377" s="27">
        <v>0</v>
      </c>
      <c r="AD377" s="27">
        <v>0</v>
      </c>
      <c r="AE377" s="27">
        <v>0</v>
      </c>
      <c r="AF377" s="27">
        <v>0</v>
      </c>
      <c r="AG377" s="27">
        <v>0</v>
      </c>
      <c r="AH377" s="27">
        <v>1</v>
      </c>
      <c r="AJ377">
        <f t="shared" si="5"/>
        <v>1</v>
      </c>
    </row>
    <row r="378" spans="1:36">
      <c r="A378" t="s">
        <v>2752</v>
      </c>
      <c r="B378" t="s">
        <v>2753</v>
      </c>
      <c r="C378">
        <v>14633303400</v>
      </c>
      <c r="D378" t="s">
        <v>2754</v>
      </c>
      <c r="E378">
        <v>2018</v>
      </c>
      <c r="F378" t="s">
        <v>2755</v>
      </c>
      <c r="G378">
        <v>53</v>
      </c>
      <c r="H378">
        <v>4</v>
      </c>
      <c r="J378">
        <v>671</v>
      </c>
      <c r="K378">
        <v>688</v>
      </c>
      <c r="L378">
        <v>17</v>
      </c>
      <c r="M378">
        <v>0</v>
      </c>
      <c r="N378" t="s">
        <v>2756</v>
      </c>
      <c r="O378" t="s">
        <v>2757</v>
      </c>
      <c r="P378" s="22" t="str">
        <f>HYPERLINK(O378)</f>
        <v>https://www.scopus.com/inward/record.uri?eid=2-s2.0-85060481997&amp;doi=10.25222%2flarr.161&amp;partnerID=40&amp;md5=4f10546681afe1bc81bac8441237b6f6</v>
      </c>
      <c r="Q378" t="s">
        <v>156</v>
      </c>
      <c r="R378" t="s">
        <v>48</v>
      </c>
      <c r="S378" t="s">
        <v>185</v>
      </c>
      <c r="T378" t="s">
        <v>6</v>
      </c>
      <c r="U378" t="s">
        <v>2758</v>
      </c>
      <c r="V378" s="36">
        <v>0</v>
      </c>
      <c r="W378" s="27">
        <v>0</v>
      </c>
      <c r="X378" s="27">
        <v>0</v>
      </c>
      <c r="Y378" s="27">
        <v>0</v>
      </c>
      <c r="Z378" s="27">
        <v>0</v>
      </c>
      <c r="AA378" s="27">
        <v>0</v>
      </c>
      <c r="AB378" s="27">
        <v>0</v>
      </c>
      <c r="AC378" s="27">
        <v>0</v>
      </c>
      <c r="AD378" s="27">
        <v>0</v>
      </c>
      <c r="AE378" s="27">
        <v>0</v>
      </c>
      <c r="AF378" s="27">
        <v>0</v>
      </c>
      <c r="AG378" s="27">
        <v>0</v>
      </c>
      <c r="AH378" s="27">
        <v>1</v>
      </c>
      <c r="AJ378">
        <f t="shared" si="5"/>
        <v>1</v>
      </c>
    </row>
    <row r="379" spans="1:36">
      <c r="A379" t="s">
        <v>2759</v>
      </c>
      <c r="B379" t="s">
        <v>2760</v>
      </c>
      <c r="C379" t="s">
        <v>2761</v>
      </c>
      <c r="D379" t="s">
        <v>2762</v>
      </c>
      <c r="E379">
        <v>2023</v>
      </c>
      <c r="F379" t="s">
        <v>2763</v>
      </c>
      <c r="G379" t="s">
        <v>2764</v>
      </c>
      <c r="J379">
        <v>251</v>
      </c>
      <c r="K379">
        <v>256</v>
      </c>
      <c r="L379">
        <v>5</v>
      </c>
      <c r="M379">
        <v>0</v>
      </c>
      <c r="N379" t="s">
        <v>2765</v>
      </c>
      <c r="O379" t="s">
        <v>2766</v>
      </c>
      <c r="P379" s="22" t="str">
        <f>HYPERLINK(O379)</f>
        <v>https://www.scopus.com/inward/record.uri?eid=2-s2.0-85159447911&amp;doi=10.1007%2f978-3-031-27199-1_26&amp;partnerID=40&amp;md5=314ee6fcd140ffcf162883c4394d59c2</v>
      </c>
      <c r="Q379" t="s">
        <v>62</v>
      </c>
      <c r="R379" t="s">
        <v>48</v>
      </c>
      <c r="T379" t="s">
        <v>6</v>
      </c>
      <c r="U379" t="s">
        <v>2767</v>
      </c>
      <c r="V379" s="36">
        <v>0</v>
      </c>
      <c r="W379" s="27">
        <v>0</v>
      </c>
      <c r="X379" s="27">
        <v>0</v>
      </c>
      <c r="Y379" s="27">
        <v>0</v>
      </c>
      <c r="Z379" s="27">
        <v>0</v>
      </c>
      <c r="AA379" s="27">
        <v>0</v>
      </c>
      <c r="AB379" s="27">
        <v>0</v>
      </c>
      <c r="AC379" s="27">
        <v>0</v>
      </c>
      <c r="AD379" s="27">
        <v>0</v>
      </c>
      <c r="AE379" s="27">
        <v>0</v>
      </c>
      <c r="AF379" s="27">
        <v>0</v>
      </c>
      <c r="AG379" s="27">
        <v>0</v>
      </c>
      <c r="AH379" s="27">
        <v>1</v>
      </c>
      <c r="AJ379">
        <f t="shared" si="5"/>
        <v>1</v>
      </c>
    </row>
    <row r="380" spans="1:36">
      <c r="A380" t="s">
        <v>2768</v>
      </c>
      <c r="B380" t="s">
        <v>2769</v>
      </c>
      <c r="C380" t="s">
        <v>2770</v>
      </c>
      <c r="D380" t="s">
        <v>2771</v>
      </c>
      <c r="E380">
        <v>2016</v>
      </c>
      <c r="F380" t="s">
        <v>2763</v>
      </c>
      <c r="G380">
        <v>9789</v>
      </c>
      <c r="J380">
        <v>177</v>
      </c>
      <c r="K380">
        <v>190</v>
      </c>
      <c r="L380">
        <v>13</v>
      </c>
      <c r="M380">
        <v>3</v>
      </c>
      <c r="N380" t="s">
        <v>2772</v>
      </c>
      <c r="O380" t="s">
        <v>2773</v>
      </c>
      <c r="P380" s="22" t="str">
        <f>HYPERLINK(O380)</f>
        <v>https://www.scopus.com/inward/record.uri?eid=2-s2.0-84978194161&amp;doi=10.1007%2f978-3-319-42089-9_13&amp;partnerID=40&amp;md5=8b407c6b9905aef1e72e1868d62a78ea</v>
      </c>
      <c r="Q380" t="s">
        <v>62</v>
      </c>
      <c r="R380" t="s">
        <v>48</v>
      </c>
      <c r="T380" t="s">
        <v>6</v>
      </c>
      <c r="U380" t="s">
        <v>2774</v>
      </c>
      <c r="V380" s="36">
        <v>0</v>
      </c>
      <c r="W380" s="27">
        <v>0</v>
      </c>
      <c r="X380" s="27">
        <v>0</v>
      </c>
      <c r="Y380" s="27">
        <v>0</v>
      </c>
      <c r="Z380" s="27">
        <v>0</v>
      </c>
      <c r="AA380" s="27">
        <v>0</v>
      </c>
      <c r="AB380" s="27">
        <v>0</v>
      </c>
      <c r="AC380" s="27">
        <v>0</v>
      </c>
      <c r="AD380" s="27">
        <v>0</v>
      </c>
      <c r="AE380" s="27">
        <v>0</v>
      </c>
      <c r="AF380" s="27">
        <v>0</v>
      </c>
      <c r="AG380" s="27">
        <v>0</v>
      </c>
      <c r="AH380" s="27">
        <v>1</v>
      </c>
      <c r="AJ380">
        <f t="shared" si="5"/>
        <v>1</v>
      </c>
    </row>
    <row r="381" spans="1:36">
      <c r="A381" t="s">
        <v>2775</v>
      </c>
      <c r="B381" t="s">
        <v>2776</v>
      </c>
      <c r="C381">
        <v>56440164000</v>
      </c>
      <c r="D381" t="s">
        <v>2777</v>
      </c>
      <c r="E381">
        <v>2015</v>
      </c>
      <c r="F381" t="s">
        <v>2778</v>
      </c>
      <c r="G381">
        <v>214</v>
      </c>
      <c r="J381">
        <v>161</v>
      </c>
      <c r="K381">
        <v>185</v>
      </c>
      <c r="L381">
        <v>24</v>
      </c>
      <c r="M381">
        <v>1</v>
      </c>
      <c r="N381" t="s">
        <v>2779</v>
      </c>
      <c r="O381" t="s">
        <v>2780</v>
      </c>
      <c r="P381" s="22" t="str">
        <f>HYPERLINK(O381)</f>
        <v>https://www.scopus.com/inward/record.uri?eid=2-s2.0-84915746787&amp;doi=10.1007%2f978-3-319-11463-7_12&amp;partnerID=40&amp;md5=fe9ce3caac47e86771792b6085e2d85c</v>
      </c>
      <c r="Q381" t="s">
        <v>62</v>
      </c>
      <c r="R381" t="s">
        <v>48</v>
      </c>
      <c r="T381" t="s">
        <v>6</v>
      </c>
      <c r="U381" t="s">
        <v>2781</v>
      </c>
      <c r="V381" s="36">
        <v>0</v>
      </c>
      <c r="W381" s="27">
        <v>1</v>
      </c>
      <c r="X381" s="27">
        <v>0</v>
      </c>
      <c r="Y381" s="27">
        <v>0</v>
      </c>
      <c r="Z381" s="27">
        <v>0</v>
      </c>
      <c r="AA381" s="27">
        <v>0</v>
      </c>
      <c r="AB381" s="27">
        <v>0</v>
      </c>
      <c r="AC381" s="27">
        <v>0</v>
      </c>
      <c r="AD381" s="27">
        <v>0</v>
      </c>
      <c r="AE381" s="27">
        <v>0</v>
      </c>
      <c r="AF381" s="27">
        <v>0</v>
      </c>
      <c r="AG381" s="27">
        <v>0</v>
      </c>
      <c r="AH381" s="27">
        <v>0</v>
      </c>
      <c r="AJ381">
        <f t="shared" si="5"/>
        <v>1</v>
      </c>
    </row>
    <row r="382" spans="1:36">
      <c r="A382" t="s">
        <v>2782</v>
      </c>
      <c r="B382" t="s">
        <v>2783</v>
      </c>
      <c r="C382" t="s">
        <v>2784</v>
      </c>
      <c r="D382" t="s">
        <v>2785</v>
      </c>
      <c r="E382">
        <v>2023</v>
      </c>
      <c r="F382" t="s">
        <v>2786</v>
      </c>
      <c r="J382">
        <v>341</v>
      </c>
      <c r="K382">
        <v>353</v>
      </c>
      <c r="L382">
        <v>12</v>
      </c>
      <c r="M382">
        <v>0</v>
      </c>
      <c r="N382" t="s">
        <v>2787</v>
      </c>
      <c r="O382" t="s">
        <v>2788</v>
      </c>
      <c r="P382" s="22" t="str">
        <f>HYPERLINK(O382)</f>
        <v>https://www.scopus.com/inward/record.uri?eid=2-s2.0-85168766689&amp;doi=10.1007%2f978-981-99-1665-8_30&amp;partnerID=40&amp;md5=a977a254c8fa5a5f1e14776e5bf3458d</v>
      </c>
      <c r="Q382" t="s">
        <v>62</v>
      </c>
      <c r="R382" t="s">
        <v>48</v>
      </c>
      <c r="T382" t="s">
        <v>6</v>
      </c>
      <c r="U382" t="s">
        <v>2789</v>
      </c>
      <c r="V382" s="36">
        <v>0</v>
      </c>
      <c r="W382" s="27">
        <v>0</v>
      </c>
      <c r="X382" s="27">
        <v>0</v>
      </c>
      <c r="Y382" s="27">
        <v>0</v>
      </c>
      <c r="Z382" s="27">
        <v>0</v>
      </c>
      <c r="AA382" s="27">
        <v>0</v>
      </c>
      <c r="AB382" s="27">
        <v>0</v>
      </c>
      <c r="AC382" s="27">
        <v>0</v>
      </c>
      <c r="AD382" s="27">
        <v>0</v>
      </c>
      <c r="AE382" s="27">
        <v>0</v>
      </c>
      <c r="AF382" s="27">
        <v>0</v>
      </c>
      <c r="AG382" s="27">
        <v>0</v>
      </c>
      <c r="AH382" s="27">
        <v>1</v>
      </c>
      <c r="AJ382">
        <f t="shared" si="5"/>
        <v>1</v>
      </c>
    </row>
    <row r="383" spans="1:36">
      <c r="A383" t="s">
        <v>2790</v>
      </c>
      <c r="B383" t="s">
        <v>2791</v>
      </c>
      <c r="C383" t="s">
        <v>2792</v>
      </c>
      <c r="D383" t="s">
        <v>2793</v>
      </c>
      <c r="E383">
        <v>2024</v>
      </c>
      <c r="F383" t="s">
        <v>2794</v>
      </c>
      <c r="G383" t="s">
        <v>2795</v>
      </c>
      <c r="J383">
        <v>324</v>
      </c>
      <c r="K383">
        <v>334</v>
      </c>
      <c r="L383">
        <v>10</v>
      </c>
      <c r="M383">
        <v>0</v>
      </c>
      <c r="N383" t="s">
        <v>2796</v>
      </c>
      <c r="O383" t="s">
        <v>2797</v>
      </c>
      <c r="P383" s="22" t="str">
        <f>HYPERLINK(O383)</f>
        <v>https://www.scopus.com/inward/record.uri?eid=2-s2.0-85189517963&amp;doi=10.1007%2f978-3-031-55911-2_31&amp;partnerID=40&amp;md5=f802fd24e734520f1e79852da0e4f10c</v>
      </c>
      <c r="Q383" t="s">
        <v>62</v>
      </c>
      <c r="R383" t="s">
        <v>48</v>
      </c>
      <c r="T383" t="s">
        <v>6</v>
      </c>
      <c r="U383" t="s">
        <v>2798</v>
      </c>
      <c r="V383" s="36">
        <v>0</v>
      </c>
      <c r="W383" s="27">
        <v>1</v>
      </c>
      <c r="X383" s="27">
        <v>0</v>
      </c>
      <c r="Y383" s="27">
        <v>0</v>
      </c>
      <c r="Z383" s="27">
        <v>0</v>
      </c>
      <c r="AA383" s="27">
        <v>0</v>
      </c>
      <c r="AB383" s="27">
        <v>0</v>
      </c>
      <c r="AC383" s="27">
        <v>0</v>
      </c>
      <c r="AD383" s="27">
        <v>0</v>
      </c>
      <c r="AE383" s="27">
        <v>0</v>
      </c>
      <c r="AF383" s="27">
        <v>0</v>
      </c>
      <c r="AG383" s="27">
        <v>0</v>
      </c>
      <c r="AH383" s="27">
        <v>1</v>
      </c>
      <c r="AJ383">
        <f t="shared" si="5"/>
        <v>2</v>
      </c>
    </row>
    <row r="384" spans="1:36">
      <c r="A384" t="s">
        <v>2799</v>
      </c>
      <c r="B384" t="s">
        <v>2800</v>
      </c>
      <c r="C384" t="s">
        <v>2801</v>
      </c>
      <c r="D384" t="s">
        <v>2802</v>
      </c>
      <c r="E384">
        <v>2024</v>
      </c>
      <c r="F384" t="s">
        <v>2794</v>
      </c>
      <c r="G384" t="s">
        <v>2803</v>
      </c>
      <c r="J384">
        <v>449</v>
      </c>
      <c r="K384">
        <v>457</v>
      </c>
      <c r="L384">
        <v>8</v>
      </c>
      <c r="M384">
        <v>0</v>
      </c>
      <c r="N384" t="s">
        <v>2804</v>
      </c>
      <c r="O384" t="s">
        <v>2805</v>
      </c>
      <c r="P384" s="22" t="str">
        <f>HYPERLINK(O384)</f>
        <v>https://www.scopus.com/inward/record.uri?eid=2-s2.0-85199482500&amp;doi=10.1007%2f978-981-97-2053-8_34&amp;partnerID=40&amp;md5=92a654bbe7ceeb5d63749e238ddd94ec</v>
      </c>
      <c r="Q384" t="s">
        <v>62</v>
      </c>
      <c r="R384" t="s">
        <v>48</v>
      </c>
      <c r="T384" t="s">
        <v>6</v>
      </c>
      <c r="U384" t="s">
        <v>2806</v>
      </c>
      <c r="V384" s="36">
        <v>0</v>
      </c>
      <c r="W384" s="27">
        <v>0</v>
      </c>
      <c r="X384" s="27">
        <v>0</v>
      </c>
      <c r="Y384" s="27">
        <v>0</v>
      </c>
      <c r="Z384" s="27">
        <v>0</v>
      </c>
      <c r="AA384" s="27">
        <v>0</v>
      </c>
      <c r="AB384" s="27">
        <v>0</v>
      </c>
      <c r="AC384" s="27">
        <v>0</v>
      </c>
      <c r="AD384" s="27">
        <v>0</v>
      </c>
      <c r="AE384" s="27">
        <v>0</v>
      </c>
      <c r="AF384" s="27">
        <v>0</v>
      </c>
      <c r="AG384" s="27">
        <v>0</v>
      </c>
      <c r="AH384" s="27">
        <v>1</v>
      </c>
      <c r="AJ384">
        <f t="shared" si="5"/>
        <v>1</v>
      </c>
    </row>
    <row r="385" spans="1:36">
      <c r="D385" t="s">
        <v>2807</v>
      </c>
      <c r="E385">
        <v>2021</v>
      </c>
      <c r="F385" t="s">
        <v>2794</v>
      </c>
      <c r="G385">
        <v>273</v>
      </c>
      <c r="L385">
        <v>518</v>
      </c>
      <c r="M385">
        <v>0</v>
      </c>
      <c r="O385" t="s">
        <v>2808</v>
      </c>
      <c r="P385" s="22" t="str">
        <f>HYPERLINK(O385)</f>
        <v>https://www.scopus.com/inward/record.uri?eid=2-s2.0-85112346791&amp;partnerID=40&amp;md5=932e6afe9c15bc34de44d89f7c0b3e24</v>
      </c>
      <c r="Q385" t="s">
        <v>47</v>
      </c>
      <c r="R385" t="s">
        <v>48</v>
      </c>
      <c r="T385" t="s">
        <v>6</v>
      </c>
      <c r="U385" t="s">
        <v>2809</v>
      </c>
      <c r="V385" s="36">
        <v>0</v>
      </c>
      <c r="W385" s="27">
        <v>0</v>
      </c>
      <c r="X385" s="27">
        <v>0</v>
      </c>
      <c r="Y385" s="27">
        <v>0</v>
      </c>
      <c r="Z385" s="27">
        <v>0</v>
      </c>
      <c r="AA385" s="27">
        <v>0</v>
      </c>
      <c r="AB385" s="27">
        <v>0</v>
      </c>
      <c r="AC385" s="27">
        <v>0</v>
      </c>
      <c r="AD385" s="27">
        <v>0</v>
      </c>
      <c r="AE385" s="27">
        <v>0</v>
      </c>
      <c r="AF385" s="27">
        <v>0</v>
      </c>
      <c r="AG385" s="27">
        <v>0</v>
      </c>
      <c r="AH385" s="27">
        <v>0</v>
      </c>
      <c r="AJ385">
        <f t="shared" si="5"/>
        <v>0</v>
      </c>
    </row>
    <row r="386" spans="1:36">
      <c r="D386" t="s">
        <v>2810</v>
      </c>
      <c r="E386">
        <v>2022</v>
      </c>
      <c r="F386" t="s">
        <v>2794</v>
      </c>
      <c r="G386" t="s">
        <v>2811</v>
      </c>
      <c r="L386">
        <v>1132</v>
      </c>
      <c r="M386">
        <v>0</v>
      </c>
      <c r="O386" t="s">
        <v>2812</v>
      </c>
      <c r="P386" s="22" t="str">
        <f>HYPERLINK(O386)</f>
        <v>https://www.scopus.com/inward/record.uri?eid=2-s2.0-85118115131&amp;partnerID=40&amp;md5=d920aef691db19f227dfdb9e72ccc15b</v>
      </c>
      <c r="Q386" t="s">
        <v>47</v>
      </c>
      <c r="R386" t="s">
        <v>48</v>
      </c>
      <c r="T386" t="s">
        <v>6</v>
      </c>
      <c r="U386" t="s">
        <v>2813</v>
      </c>
      <c r="V386" s="36">
        <v>0</v>
      </c>
      <c r="W386" s="27">
        <v>0</v>
      </c>
      <c r="X386" s="27">
        <v>0</v>
      </c>
      <c r="Y386" s="27">
        <v>0</v>
      </c>
      <c r="Z386" s="27">
        <v>0</v>
      </c>
      <c r="AA386" s="27">
        <v>0</v>
      </c>
      <c r="AB386" s="27">
        <v>0</v>
      </c>
      <c r="AC386" s="27">
        <v>0</v>
      </c>
      <c r="AD386" s="27">
        <v>0</v>
      </c>
      <c r="AE386" s="27">
        <v>0</v>
      </c>
      <c r="AF386" s="27">
        <v>0</v>
      </c>
      <c r="AG386" s="27">
        <v>0</v>
      </c>
      <c r="AH386" s="27">
        <v>1</v>
      </c>
      <c r="AJ386">
        <f t="shared" ref="AJ386:AJ449" si="6">SUM(V386:AH386)</f>
        <v>1</v>
      </c>
    </row>
    <row r="387" spans="1:36">
      <c r="A387" t="s">
        <v>2814</v>
      </c>
      <c r="B387" t="s">
        <v>2815</v>
      </c>
      <c r="C387">
        <v>55574212862</v>
      </c>
      <c r="D387" t="s">
        <v>2816</v>
      </c>
      <c r="E387">
        <v>1985</v>
      </c>
      <c r="F387" t="s">
        <v>2817</v>
      </c>
      <c r="G387">
        <v>7</v>
      </c>
      <c r="H387">
        <v>2</v>
      </c>
      <c r="J387">
        <v>151</v>
      </c>
      <c r="K387">
        <v>174</v>
      </c>
      <c r="L387">
        <v>23</v>
      </c>
      <c r="M387">
        <v>20</v>
      </c>
      <c r="N387" t="s">
        <v>2818</v>
      </c>
      <c r="O387" t="s">
        <v>2819</v>
      </c>
      <c r="P387" s="22" t="str">
        <f>HYPERLINK(O387)</f>
        <v>https://www.scopus.com/inward/record.uri?eid=2-s2.0-0022211637&amp;doi=10.1080%2f01490408509512116&amp;partnerID=40&amp;md5=033719ab0287d1202f532d03b5a9471a</v>
      </c>
      <c r="Q387" t="s">
        <v>156</v>
      </c>
      <c r="R387" t="s">
        <v>48</v>
      </c>
      <c r="T387" t="s">
        <v>6</v>
      </c>
      <c r="U387" t="s">
        <v>2820</v>
      </c>
      <c r="V387" s="36">
        <v>0</v>
      </c>
      <c r="W387" s="27">
        <v>0</v>
      </c>
      <c r="X387" s="27">
        <v>0</v>
      </c>
      <c r="Y387" s="27">
        <v>0</v>
      </c>
      <c r="Z387" s="27">
        <v>0</v>
      </c>
      <c r="AA387" s="27">
        <v>0</v>
      </c>
      <c r="AB387" s="27">
        <v>0</v>
      </c>
      <c r="AC387" s="27">
        <v>0</v>
      </c>
      <c r="AD387" s="27">
        <v>0</v>
      </c>
      <c r="AE387" s="27">
        <v>0</v>
      </c>
      <c r="AF387" s="27">
        <v>1</v>
      </c>
      <c r="AG387" s="27">
        <v>0</v>
      </c>
      <c r="AH387" s="27">
        <v>0</v>
      </c>
      <c r="AJ387">
        <f t="shared" si="6"/>
        <v>1</v>
      </c>
    </row>
    <row r="388" spans="1:36">
      <c r="A388" t="s">
        <v>2821</v>
      </c>
      <c r="B388" t="s">
        <v>2822</v>
      </c>
      <c r="C388" t="s">
        <v>2823</v>
      </c>
      <c r="D388" t="s">
        <v>2824</v>
      </c>
      <c r="E388">
        <v>2023</v>
      </c>
      <c r="F388" t="s">
        <v>2825</v>
      </c>
      <c r="G388">
        <v>13</v>
      </c>
      <c r="H388">
        <v>3</v>
      </c>
      <c r="I388">
        <v>656</v>
      </c>
      <c r="M388">
        <v>1</v>
      </c>
      <c r="N388" t="s">
        <v>2826</v>
      </c>
      <c r="O388" t="s">
        <v>2827</v>
      </c>
      <c r="P388" s="22" t="str">
        <f>HYPERLINK(O388)</f>
        <v>https://www.scopus.com/inward/record.uri?eid=2-s2.0-85151345125&amp;doi=10.3390%2flife13030656&amp;partnerID=40&amp;md5=dc2134c97aea84c9ff97d6df4033aa0a</v>
      </c>
      <c r="Q388" t="s">
        <v>156</v>
      </c>
      <c r="R388" t="s">
        <v>48</v>
      </c>
      <c r="S388" t="s">
        <v>225</v>
      </c>
      <c r="T388" t="s">
        <v>6</v>
      </c>
      <c r="U388" t="s">
        <v>2828</v>
      </c>
      <c r="V388" s="36">
        <v>0</v>
      </c>
      <c r="W388" s="27">
        <v>0</v>
      </c>
      <c r="X388" s="27">
        <v>0</v>
      </c>
      <c r="Y388" s="27">
        <v>0</v>
      </c>
      <c r="Z388" s="27">
        <v>0</v>
      </c>
      <c r="AA388" s="27">
        <v>0</v>
      </c>
      <c r="AB388" s="27">
        <v>0</v>
      </c>
      <c r="AC388" s="27">
        <v>0</v>
      </c>
      <c r="AD388" s="27">
        <v>0</v>
      </c>
      <c r="AE388" s="27">
        <v>0</v>
      </c>
      <c r="AF388" s="27">
        <v>0</v>
      </c>
      <c r="AG388" s="27">
        <v>0</v>
      </c>
      <c r="AH388" s="27">
        <v>1</v>
      </c>
      <c r="AJ388">
        <f t="shared" si="6"/>
        <v>1</v>
      </c>
    </row>
    <row r="389" spans="1:36">
      <c r="A389" t="s">
        <v>2829</v>
      </c>
      <c r="B389" t="s">
        <v>2830</v>
      </c>
      <c r="C389" t="s">
        <v>2831</v>
      </c>
      <c r="D389" t="s">
        <v>2832</v>
      </c>
      <c r="E389">
        <v>2023</v>
      </c>
      <c r="F389" t="s">
        <v>2833</v>
      </c>
      <c r="G389">
        <v>36</v>
      </c>
      <c r="J389">
        <v>105</v>
      </c>
      <c r="K389">
        <v>115</v>
      </c>
      <c r="L389">
        <v>10</v>
      </c>
      <c r="M389">
        <v>10</v>
      </c>
      <c r="N389" t="s">
        <v>2834</v>
      </c>
      <c r="O389" t="s">
        <v>2835</v>
      </c>
      <c r="P389" s="22" t="str">
        <f>HYPERLINK(O389)</f>
        <v>https://www.scopus.com/inward/record.uri?eid=2-s2.0-85138142626&amp;doi=10.1016%2fj.lssr.2022.09.003&amp;partnerID=40&amp;md5=fbbd1f66416eaedf6834754ef1934d8a</v>
      </c>
      <c r="Q389" t="s">
        <v>184</v>
      </c>
      <c r="R389" t="s">
        <v>48</v>
      </c>
      <c r="S389" t="s">
        <v>172</v>
      </c>
      <c r="T389" t="s">
        <v>6</v>
      </c>
      <c r="U389" t="s">
        <v>2836</v>
      </c>
      <c r="V389" s="36">
        <v>0</v>
      </c>
      <c r="W389" s="27">
        <v>0</v>
      </c>
      <c r="X389" s="27">
        <v>0</v>
      </c>
      <c r="Y389" s="27">
        <v>0</v>
      </c>
      <c r="Z389" s="27">
        <v>0</v>
      </c>
      <c r="AA389" s="27">
        <v>0</v>
      </c>
      <c r="AB389" s="27">
        <v>0</v>
      </c>
      <c r="AC389" s="27">
        <v>0</v>
      </c>
      <c r="AD389" s="27">
        <v>0</v>
      </c>
      <c r="AE389" s="27">
        <v>0</v>
      </c>
      <c r="AF389" s="27">
        <v>0</v>
      </c>
      <c r="AG389" s="27">
        <v>0</v>
      </c>
      <c r="AH389" s="27">
        <v>1</v>
      </c>
      <c r="AJ389">
        <f t="shared" si="6"/>
        <v>1</v>
      </c>
    </row>
    <row r="390" spans="1:36">
      <c r="A390" t="s">
        <v>2837</v>
      </c>
      <c r="B390" t="s">
        <v>2838</v>
      </c>
      <c r="C390" t="s">
        <v>2517</v>
      </c>
      <c r="D390" t="s">
        <v>2839</v>
      </c>
      <c r="E390">
        <v>2016</v>
      </c>
      <c r="F390" t="s">
        <v>2840</v>
      </c>
      <c r="J390">
        <v>171</v>
      </c>
      <c r="K390">
        <v>198</v>
      </c>
      <c r="L390">
        <v>27</v>
      </c>
      <c r="M390">
        <v>0</v>
      </c>
      <c r="O390" t="s">
        <v>2841</v>
      </c>
      <c r="P390" s="22" t="str">
        <f>HYPERLINK(O390)</f>
        <v>https://www.scopus.com/inward/record.uri?eid=2-s2.0-85052444266&amp;partnerID=40&amp;md5=a75009ede1feaa632dd50ac1cab1f486</v>
      </c>
      <c r="Q390" t="s">
        <v>216</v>
      </c>
      <c r="R390" t="s">
        <v>48</v>
      </c>
      <c r="T390" t="s">
        <v>6</v>
      </c>
      <c r="U390" t="s">
        <v>2842</v>
      </c>
      <c r="V390" s="36">
        <v>0</v>
      </c>
      <c r="W390" s="27">
        <v>0</v>
      </c>
      <c r="X390" s="27">
        <v>0</v>
      </c>
      <c r="Y390" s="27">
        <v>0</v>
      </c>
      <c r="Z390" s="27">
        <v>0</v>
      </c>
      <c r="AA390" s="27">
        <v>0</v>
      </c>
      <c r="AB390" s="27">
        <v>0</v>
      </c>
      <c r="AC390" s="27">
        <v>0</v>
      </c>
      <c r="AD390" s="27">
        <v>0</v>
      </c>
      <c r="AE390" s="27">
        <v>0</v>
      </c>
      <c r="AF390" s="27">
        <v>1</v>
      </c>
      <c r="AG390" s="27">
        <v>0</v>
      </c>
      <c r="AH390" s="27">
        <v>0</v>
      </c>
      <c r="AJ390">
        <f t="shared" si="6"/>
        <v>1</v>
      </c>
    </row>
    <row r="391" spans="1:36">
      <c r="A391" t="s">
        <v>2843</v>
      </c>
      <c r="B391" t="s">
        <v>2844</v>
      </c>
      <c r="C391" t="s">
        <v>2845</v>
      </c>
      <c r="D391" t="s">
        <v>2846</v>
      </c>
      <c r="E391">
        <v>2022</v>
      </c>
      <c r="F391" t="s">
        <v>2847</v>
      </c>
      <c r="G391">
        <v>64</v>
      </c>
      <c r="J391">
        <v>1250</v>
      </c>
      <c r="K391">
        <v>1254</v>
      </c>
      <c r="L391">
        <v>4</v>
      </c>
      <c r="M391">
        <v>4</v>
      </c>
      <c r="N391" t="s">
        <v>2848</v>
      </c>
      <c r="O391" t="s">
        <v>2849</v>
      </c>
      <c r="P391" s="22" t="str">
        <f>HYPERLINK(O391)</f>
        <v>https://www.scopus.com/inward/record.uri?eid=2-s2.0-85128942618&amp;doi=10.1016%2fj.matpr.2022.03.715&amp;partnerID=40&amp;md5=667d83f2f42ddb1a703c45cc64b3ceba</v>
      </c>
      <c r="Q391" t="s">
        <v>62</v>
      </c>
      <c r="R391" t="s">
        <v>48</v>
      </c>
      <c r="T391" t="s">
        <v>6</v>
      </c>
      <c r="U391" t="s">
        <v>2850</v>
      </c>
      <c r="V391" s="36">
        <v>0</v>
      </c>
      <c r="W391" s="27">
        <v>0</v>
      </c>
      <c r="X391" s="27">
        <v>0</v>
      </c>
      <c r="Y391" s="27">
        <v>0</v>
      </c>
      <c r="Z391" s="27">
        <v>0</v>
      </c>
      <c r="AA391" s="27">
        <v>0</v>
      </c>
      <c r="AB391" s="27">
        <v>0</v>
      </c>
      <c r="AC391" s="27">
        <v>0</v>
      </c>
      <c r="AD391" s="27">
        <v>0</v>
      </c>
      <c r="AE391" s="27">
        <v>0</v>
      </c>
      <c r="AF391" s="27">
        <v>0</v>
      </c>
      <c r="AG391" s="27">
        <v>0</v>
      </c>
      <c r="AH391" s="27">
        <v>1</v>
      </c>
      <c r="AJ391">
        <f t="shared" si="6"/>
        <v>1</v>
      </c>
    </row>
    <row r="392" spans="1:36">
      <c r="A392" t="s">
        <v>2851</v>
      </c>
      <c r="B392" t="s">
        <v>2852</v>
      </c>
      <c r="C392">
        <v>34874576300</v>
      </c>
      <c r="D392" t="s">
        <v>2853</v>
      </c>
      <c r="E392">
        <v>2022</v>
      </c>
      <c r="F392" t="s">
        <v>2854</v>
      </c>
      <c r="G392">
        <v>9</v>
      </c>
      <c r="H392">
        <v>1</v>
      </c>
      <c r="J392">
        <v>101</v>
      </c>
      <c r="K392">
        <v>110</v>
      </c>
      <c r="L392">
        <v>9</v>
      </c>
      <c r="M392">
        <v>3</v>
      </c>
      <c r="N392" t="s">
        <v>2855</v>
      </c>
      <c r="O392" t="s">
        <v>2856</v>
      </c>
      <c r="P392" s="22" t="str">
        <f>HYPERLINK(O392)</f>
        <v>https://www.scopus.com/inward/record.uri?eid=2-s2.0-85126828317&amp;doi=10.18280%2fmmep.090113&amp;partnerID=40&amp;md5=1cecca59f188e50d6f9fae63b48f7c01</v>
      </c>
      <c r="Q392" t="s">
        <v>156</v>
      </c>
      <c r="R392" t="s">
        <v>48</v>
      </c>
      <c r="S392" t="s">
        <v>436</v>
      </c>
      <c r="T392" t="s">
        <v>6</v>
      </c>
      <c r="U392" t="s">
        <v>2857</v>
      </c>
      <c r="V392" s="36">
        <v>0</v>
      </c>
      <c r="W392" s="27">
        <v>0</v>
      </c>
      <c r="X392" s="27">
        <v>0</v>
      </c>
      <c r="Y392" s="27">
        <v>0</v>
      </c>
      <c r="Z392" s="27">
        <v>0</v>
      </c>
      <c r="AA392" s="27">
        <v>0</v>
      </c>
      <c r="AB392" s="27">
        <v>0</v>
      </c>
      <c r="AC392" s="27">
        <v>0</v>
      </c>
      <c r="AD392" s="27">
        <v>0</v>
      </c>
      <c r="AE392" s="27">
        <v>0</v>
      </c>
      <c r="AF392" s="27">
        <v>0</v>
      </c>
      <c r="AG392" s="27">
        <v>0</v>
      </c>
      <c r="AH392" s="27">
        <v>1</v>
      </c>
      <c r="AJ392">
        <f t="shared" si="6"/>
        <v>1</v>
      </c>
    </row>
    <row r="393" spans="1:36">
      <c r="A393" t="s">
        <v>2858</v>
      </c>
      <c r="B393" t="s">
        <v>2859</v>
      </c>
      <c r="C393">
        <v>55762755900</v>
      </c>
      <c r="D393" t="s">
        <v>2860</v>
      </c>
      <c r="E393">
        <v>1984</v>
      </c>
      <c r="F393" t="s">
        <v>2861</v>
      </c>
      <c r="J393">
        <v>517</v>
      </c>
      <c r="K393">
        <v>521</v>
      </c>
      <c r="L393">
        <v>4</v>
      </c>
      <c r="M393">
        <v>0</v>
      </c>
      <c r="O393" t="s">
        <v>2862</v>
      </c>
      <c r="P393" s="22" t="str">
        <f>HYPERLINK(O393)</f>
        <v>https://www.scopus.com/inward/record.uri?eid=2-s2.0-0021727136&amp;partnerID=40&amp;md5=6911354091b5084e6f7670af0b45ec9f</v>
      </c>
      <c r="Q393" t="s">
        <v>62</v>
      </c>
      <c r="R393" t="s">
        <v>48</v>
      </c>
      <c r="T393" t="s">
        <v>6</v>
      </c>
      <c r="U393" t="s">
        <v>2863</v>
      </c>
      <c r="V393" s="36">
        <v>0</v>
      </c>
      <c r="W393" s="27">
        <v>0</v>
      </c>
      <c r="X393" s="27">
        <v>0</v>
      </c>
      <c r="Y393" s="27">
        <v>0</v>
      </c>
      <c r="Z393" s="27">
        <v>0</v>
      </c>
      <c r="AA393" s="27">
        <v>0</v>
      </c>
      <c r="AB393" s="27">
        <v>0</v>
      </c>
      <c r="AC393" s="27">
        <v>0</v>
      </c>
      <c r="AD393" s="27">
        <v>0</v>
      </c>
      <c r="AE393" s="27">
        <v>0</v>
      </c>
      <c r="AF393" s="27">
        <v>1</v>
      </c>
      <c r="AG393" s="27">
        <v>0</v>
      </c>
      <c r="AH393" s="27">
        <v>0</v>
      </c>
      <c r="AJ393">
        <f t="shared" si="6"/>
        <v>1</v>
      </c>
    </row>
    <row r="394" spans="1:36">
      <c r="A394" t="s">
        <v>2864</v>
      </c>
      <c r="B394" t="s">
        <v>2865</v>
      </c>
      <c r="C394" t="s">
        <v>2866</v>
      </c>
      <c r="D394" t="s">
        <v>2867</v>
      </c>
      <c r="E394">
        <v>2011</v>
      </c>
      <c r="F394" t="s">
        <v>2868</v>
      </c>
      <c r="G394">
        <v>19</v>
      </c>
      <c r="H394">
        <v>3</v>
      </c>
      <c r="J394">
        <v>35</v>
      </c>
      <c r="K394">
        <v>47</v>
      </c>
      <c r="L394">
        <v>12</v>
      </c>
      <c r="M394">
        <v>1</v>
      </c>
      <c r="O394" t="s">
        <v>2869</v>
      </c>
      <c r="P394" s="22" t="str">
        <f>HYPERLINK(O394)</f>
        <v>https://www.scopus.com/inward/record.uri?eid=2-s2.0-84855614448&amp;partnerID=40&amp;md5=521c1db7521967f1afef353ca0558262</v>
      </c>
      <c r="Q394" t="s">
        <v>156</v>
      </c>
      <c r="R394" t="s">
        <v>48</v>
      </c>
      <c r="T394" t="s">
        <v>6</v>
      </c>
      <c r="U394" t="s">
        <v>2870</v>
      </c>
      <c r="V394" s="36">
        <v>0</v>
      </c>
      <c r="W394" s="27">
        <v>0</v>
      </c>
      <c r="X394" s="27">
        <v>0</v>
      </c>
      <c r="Y394" s="27">
        <v>0</v>
      </c>
      <c r="Z394" s="27">
        <v>0</v>
      </c>
      <c r="AA394" s="27">
        <v>0</v>
      </c>
      <c r="AB394" s="27">
        <v>0</v>
      </c>
      <c r="AC394" s="27">
        <v>0</v>
      </c>
      <c r="AD394" s="27">
        <v>0</v>
      </c>
      <c r="AE394" s="27">
        <v>0</v>
      </c>
      <c r="AF394" s="27">
        <v>0</v>
      </c>
      <c r="AG394" s="27">
        <v>0</v>
      </c>
      <c r="AH394" s="27">
        <v>1</v>
      </c>
      <c r="AJ394">
        <f t="shared" si="6"/>
        <v>1</v>
      </c>
    </row>
    <row r="395" spans="1:36">
      <c r="A395" t="s">
        <v>2871</v>
      </c>
      <c r="B395" t="s">
        <v>2872</v>
      </c>
      <c r="C395" t="s">
        <v>2873</v>
      </c>
      <c r="D395" t="s">
        <v>2874</v>
      </c>
      <c r="E395">
        <v>2022</v>
      </c>
      <c r="F395" t="s">
        <v>2875</v>
      </c>
      <c r="G395">
        <v>13</v>
      </c>
      <c r="H395">
        <v>2</v>
      </c>
      <c r="J395">
        <v>201</v>
      </c>
      <c r="K395">
        <v>219</v>
      </c>
      <c r="L395">
        <v>18</v>
      </c>
      <c r="M395">
        <v>2</v>
      </c>
      <c r="N395" t="s">
        <v>2876</v>
      </c>
      <c r="O395" t="s">
        <v>2877</v>
      </c>
      <c r="P395" s="22" t="str">
        <f>HYPERLINK(O395)</f>
        <v>https://www.scopus.com/inward/record.uri?eid=2-s2.0-85122814777&amp;doi=10.1108%2fNBRI-07-2020-0035&amp;partnerID=40&amp;md5=7281f8fae829d3405ea559703b6b7cda</v>
      </c>
      <c r="Q395" t="s">
        <v>156</v>
      </c>
      <c r="R395" t="s">
        <v>48</v>
      </c>
      <c r="T395" t="s">
        <v>6</v>
      </c>
      <c r="U395" t="s">
        <v>2878</v>
      </c>
      <c r="V395" s="36">
        <v>0</v>
      </c>
      <c r="W395" s="27">
        <v>0</v>
      </c>
      <c r="X395" s="27">
        <v>0</v>
      </c>
      <c r="Y395" s="27">
        <v>0</v>
      </c>
      <c r="Z395" s="27">
        <v>0</v>
      </c>
      <c r="AA395" s="27">
        <v>0</v>
      </c>
      <c r="AB395" s="27">
        <v>1</v>
      </c>
      <c r="AC395" s="27">
        <v>0</v>
      </c>
      <c r="AD395" s="27">
        <v>0</v>
      </c>
      <c r="AE395" s="27">
        <v>0</v>
      </c>
      <c r="AF395" s="27">
        <v>0</v>
      </c>
      <c r="AG395" s="27">
        <v>0</v>
      </c>
      <c r="AH395" s="27">
        <v>0</v>
      </c>
      <c r="AJ395">
        <f t="shared" si="6"/>
        <v>1</v>
      </c>
    </row>
    <row r="396" spans="1:36">
      <c r="A396" t="s">
        <v>2879</v>
      </c>
      <c r="B396" t="s">
        <v>2880</v>
      </c>
      <c r="C396" t="s">
        <v>2881</v>
      </c>
      <c r="D396" t="s">
        <v>2882</v>
      </c>
      <c r="E396">
        <v>2006</v>
      </c>
      <c r="F396" t="s">
        <v>2883</v>
      </c>
      <c r="G396">
        <v>6</v>
      </c>
      <c r="H396">
        <v>4</v>
      </c>
      <c r="J396">
        <v>563</v>
      </c>
      <c r="K396">
        <v>571</v>
      </c>
      <c r="L396">
        <v>8</v>
      </c>
      <c r="M396">
        <v>37</v>
      </c>
      <c r="N396" t="s">
        <v>2884</v>
      </c>
      <c r="O396" t="s">
        <v>2885</v>
      </c>
      <c r="P396" s="22" t="str">
        <f>HYPERLINK(O396)</f>
        <v>https://www.scopus.com/inward/record.uri?eid=2-s2.0-34447533858&amp;doi=10.5194%2fnhess-6-563-2006&amp;partnerID=40&amp;md5=f24db590efec0e5f2de9190f5643710e</v>
      </c>
      <c r="Q396" t="s">
        <v>156</v>
      </c>
      <c r="R396" t="s">
        <v>48</v>
      </c>
      <c r="S396" t="s">
        <v>225</v>
      </c>
      <c r="T396" t="s">
        <v>6</v>
      </c>
      <c r="U396" t="s">
        <v>2886</v>
      </c>
      <c r="V396" s="36">
        <v>0</v>
      </c>
      <c r="W396" s="27">
        <v>1</v>
      </c>
      <c r="X396" s="27">
        <v>0</v>
      </c>
      <c r="Y396" s="27">
        <v>0</v>
      </c>
      <c r="Z396" s="27">
        <v>0</v>
      </c>
      <c r="AA396" s="27">
        <v>0</v>
      </c>
      <c r="AB396" s="27">
        <v>0</v>
      </c>
      <c r="AC396" s="27">
        <v>0</v>
      </c>
      <c r="AD396" s="27">
        <v>0</v>
      </c>
      <c r="AE396" s="27">
        <v>0</v>
      </c>
      <c r="AF396" s="27">
        <v>0</v>
      </c>
      <c r="AG396" s="27">
        <v>0</v>
      </c>
      <c r="AH396" s="27">
        <v>0</v>
      </c>
      <c r="AJ396">
        <f t="shared" si="6"/>
        <v>1</v>
      </c>
    </row>
    <row r="397" spans="1:36">
      <c r="A397" t="s">
        <v>2887</v>
      </c>
      <c r="B397" t="s">
        <v>2888</v>
      </c>
      <c r="C397" t="s">
        <v>2889</v>
      </c>
      <c r="D397" t="s">
        <v>2890</v>
      </c>
      <c r="E397">
        <v>2005</v>
      </c>
      <c r="F397" t="s">
        <v>2891</v>
      </c>
      <c r="M397">
        <v>0</v>
      </c>
      <c r="O397" t="s">
        <v>2892</v>
      </c>
      <c r="P397" s="22" t="str">
        <f>HYPERLINK(O397)</f>
        <v>https://www.scopus.com/inward/record.uri?eid=2-s2.0-84898656785&amp;partnerID=40&amp;md5=d959336f75ec6e4a193fd9230c6d2a49</v>
      </c>
      <c r="Q397" t="s">
        <v>62</v>
      </c>
      <c r="R397" t="s">
        <v>48</v>
      </c>
      <c r="T397" t="s">
        <v>6</v>
      </c>
      <c r="U397" t="s">
        <v>2893</v>
      </c>
      <c r="V397" s="36">
        <v>0</v>
      </c>
      <c r="W397" s="27">
        <v>0</v>
      </c>
      <c r="X397" s="27">
        <v>0</v>
      </c>
      <c r="Y397" s="27">
        <v>0</v>
      </c>
      <c r="Z397" s="27">
        <v>0</v>
      </c>
      <c r="AA397" s="27">
        <v>0</v>
      </c>
      <c r="AB397" s="27">
        <v>0</v>
      </c>
      <c r="AC397" s="27">
        <v>0</v>
      </c>
      <c r="AD397" s="27">
        <v>0</v>
      </c>
      <c r="AE397" s="27">
        <v>0</v>
      </c>
      <c r="AF397" s="27">
        <v>0</v>
      </c>
      <c r="AG397" s="27">
        <v>0</v>
      </c>
      <c r="AH397" s="27">
        <v>1</v>
      </c>
      <c r="AJ397">
        <f t="shared" si="6"/>
        <v>1</v>
      </c>
    </row>
    <row r="398" spans="1:36">
      <c r="A398" t="s">
        <v>2894</v>
      </c>
      <c r="B398" t="s">
        <v>2895</v>
      </c>
      <c r="C398">
        <v>26022948100</v>
      </c>
      <c r="D398" t="s">
        <v>2896</v>
      </c>
      <c r="E398">
        <v>2012</v>
      </c>
      <c r="F398" t="s">
        <v>2897</v>
      </c>
      <c r="G398">
        <v>213</v>
      </c>
      <c r="H398">
        <v>2858</v>
      </c>
      <c r="J398">
        <v>36</v>
      </c>
      <c r="M398">
        <v>0</v>
      </c>
      <c r="N398" t="s">
        <v>2898</v>
      </c>
      <c r="O398" t="s">
        <v>2899</v>
      </c>
      <c r="P398" s="22" t="str">
        <f>HYPERLINK(O398)</f>
        <v>https://www.scopus.com/inward/record.uri?eid=2-s2.0-84859255247&amp;doi=10.1016%2fS0262-4079%2812%2960843-4&amp;partnerID=40&amp;md5=f237a73febaeba50eecd0a1a77a2147a</v>
      </c>
      <c r="Q398" t="s">
        <v>156</v>
      </c>
      <c r="R398" t="s">
        <v>48</v>
      </c>
      <c r="T398" t="s">
        <v>6</v>
      </c>
      <c r="U398" t="s">
        <v>2900</v>
      </c>
      <c r="V398" s="36">
        <v>0</v>
      </c>
      <c r="W398" s="27">
        <v>0</v>
      </c>
      <c r="X398" s="27">
        <v>0</v>
      </c>
      <c r="Y398" s="27">
        <v>0</v>
      </c>
      <c r="Z398" s="27">
        <v>0</v>
      </c>
      <c r="AA398" s="27">
        <v>0</v>
      </c>
      <c r="AB398" s="27">
        <v>0</v>
      </c>
      <c r="AC398" s="27">
        <v>0</v>
      </c>
      <c r="AD398" s="27">
        <v>0</v>
      </c>
      <c r="AE398" s="27">
        <v>0</v>
      </c>
      <c r="AF398" s="27">
        <v>0</v>
      </c>
      <c r="AG398" s="27">
        <v>0</v>
      </c>
      <c r="AH398" s="27">
        <v>1</v>
      </c>
      <c r="AJ398">
        <f t="shared" si="6"/>
        <v>1</v>
      </c>
    </row>
    <row r="399" spans="1:36">
      <c r="A399" t="s">
        <v>2901</v>
      </c>
      <c r="B399" t="s">
        <v>2902</v>
      </c>
      <c r="C399">
        <v>57222007312</v>
      </c>
      <c r="D399" t="s">
        <v>2903</v>
      </c>
      <c r="E399">
        <v>2022</v>
      </c>
      <c r="F399" t="s">
        <v>2904</v>
      </c>
      <c r="G399">
        <v>10</v>
      </c>
      <c r="H399">
        <v>4</v>
      </c>
      <c r="J399">
        <v>315</v>
      </c>
      <c r="K399">
        <v>329</v>
      </c>
      <c r="L399">
        <v>14</v>
      </c>
      <c r="M399">
        <v>2</v>
      </c>
      <c r="N399" t="s">
        <v>2905</v>
      </c>
      <c r="O399" t="s">
        <v>2906</v>
      </c>
      <c r="P399" s="22" t="str">
        <f>HYPERLINK(O399)</f>
        <v>https://www.scopus.com/inward/record.uri?eid=2-s2.0-85141883734&amp;doi=10.1089%2fspace.2021.0007&amp;partnerID=40&amp;md5=eaaef2e53bcbc773516e5ddf2975f63b</v>
      </c>
      <c r="Q399" t="s">
        <v>156</v>
      </c>
      <c r="R399" t="s">
        <v>48</v>
      </c>
      <c r="T399" t="s">
        <v>6</v>
      </c>
      <c r="U399" t="s">
        <v>2907</v>
      </c>
      <c r="V399" s="36">
        <v>0</v>
      </c>
      <c r="W399" s="27">
        <v>1</v>
      </c>
      <c r="X399" s="27">
        <v>0</v>
      </c>
      <c r="Y399" s="27">
        <v>0</v>
      </c>
      <c r="Z399" s="27">
        <v>0</v>
      </c>
      <c r="AA399" s="27">
        <v>0</v>
      </c>
      <c r="AB399" s="27">
        <v>0</v>
      </c>
      <c r="AC399" s="27">
        <v>0</v>
      </c>
      <c r="AD399" s="27">
        <v>0</v>
      </c>
      <c r="AE399" s="27">
        <v>0</v>
      </c>
      <c r="AF399" s="27">
        <v>0</v>
      </c>
      <c r="AG399" s="27">
        <v>0</v>
      </c>
      <c r="AH399" s="27">
        <v>0</v>
      </c>
      <c r="AJ399">
        <f t="shared" si="6"/>
        <v>1</v>
      </c>
    </row>
    <row r="400" spans="1:36">
      <c r="A400" t="s">
        <v>2908</v>
      </c>
      <c r="B400" t="s">
        <v>2909</v>
      </c>
      <c r="C400" t="s">
        <v>2910</v>
      </c>
      <c r="D400" t="s">
        <v>2911</v>
      </c>
      <c r="E400">
        <v>2020</v>
      </c>
      <c r="F400" t="s">
        <v>2912</v>
      </c>
      <c r="G400">
        <v>6</v>
      </c>
      <c r="H400">
        <v>1</v>
      </c>
      <c r="I400">
        <v>18</v>
      </c>
      <c r="M400">
        <v>15</v>
      </c>
      <c r="N400" t="s">
        <v>2913</v>
      </c>
      <c r="O400" t="s">
        <v>2914</v>
      </c>
      <c r="P400" s="22" t="str">
        <f>HYPERLINK(O400)</f>
        <v>https://www.scopus.com/inward/record.uri?eid=2-s2.0-85088838403&amp;doi=10.1038%2fs41526-020-00108-6&amp;partnerID=40&amp;md5=c1d57b8b8443b3db304765235e13a1d9</v>
      </c>
      <c r="Q400" t="s">
        <v>156</v>
      </c>
      <c r="R400" t="s">
        <v>48</v>
      </c>
      <c r="S400" t="s">
        <v>225</v>
      </c>
      <c r="T400" t="s">
        <v>6</v>
      </c>
      <c r="U400" t="s">
        <v>2915</v>
      </c>
      <c r="V400" s="36">
        <v>0</v>
      </c>
      <c r="W400" s="27">
        <v>0</v>
      </c>
      <c r="X400" s="27">
        <v>0</v>
      </c>
      <c r="Y400" s="27">
        <v>0</v>
      </c>
      <c r="Z400" s="27">
        <v>0</v>
      </c>
      <c r="AA400" s="27">
        <v>0</v>
      </c>
      <c r="AB400" s="27">
        <v>0</v>
      </c>
      <c r="AC400" s="27">
        <v>0</v>
      </c>
      <c r="AD400" s="27">
        <v>0</v>
      </c>
      <c r="AE400" s="27">
        <v>0</v>
      </c>
      <c r="AF400" s="27">
        <v>0</v>
      </c>
      <c r="AG400" s="27">
        <v>0</v>
      </c>
      <c r="AH400" s="27">
        <v>1</v>
      </c>
      <c r="AJ400">
        <f t="shared" si="6"/>
        <v>1</v>
      </c>
    </row>
    <row r="401" spans="1:36">
      <c r="A401" t="s">
        <v>2916</v>
      </c>
      <c r="B401" t="s">
        <v>2917</v>
      </c>
      <c r="C401" t="s">
        <v>2918</v>
      </c>
      <c r="D401" t="s">
        <v>2919</v>
      </c>
      <c r="E401">
        <v>2023</v>
      </c>
      <c r="F401" t="s">
        <v>2920</v>
      </c>
      <c r="G401">
        <v>243</v>
      </c>
      <c r="I401">
        <v>106776</v>
      </c>
      <c r="M401">
        <v>2</v>
      </c>
      <c r="N401" t="s">
        <v>2921</v>
      </c>
      <c r="O401" t="s">
        <v>2922</v>
      </c>
      <c r="P401" s="22" t="str">
        <f>HYPERLINK(O401)</f>
        <v>https://www.scopus.com/inward/record.uri?eid=2-s2.0-85166474336&amp;doi=10.1016%2fj.ocecoaman.2023.106776&amp;partnerID=40&amp;md5=2a2641c576d27a2bccfcf59872026b04</v>
      </c>
      <c r="Q401" t="s">
        <v>156</v>
      </c>
      <c r="R401" t="s">
        <v>48</v>
      </c>
      <c r="T401" t="s">
        <v>6</v>
      </c>
      <c r="U401" t="s">
        <v>2923</v>
      </c>
      <c r="V401" s="36">
        <v>0</v>
      </c>
      <c r="W401" s="27">
        <v>0</v>
      </c>
      <c r="X401" s="27">
        <v>0</v>
      </c>
      <c r="Y401" s="27">
        <v>0</v>
      </c>
      <c r="Z401" s="27">
        <v>0</v>
      </c>
      <c r="AA401" s="27">
        <v>0</v>
      </c>
      <c r="AB401" s="27">
        <v>0</v>
      </c>
      <c r="AC401" s="27">
        <v>0</v>
      </c>
      <c r="AD401" s="27">
        <v>0</v>
      </c>
      <c r="AE401" s="27">
        <v>0</v>
      </c>
      <c r="AF401" s="27">
        <v>0</v>
      </c>
      <c r="AG401" s="27">
        <v>0</v>
      </c>
      <c r="AH401" s="27">
        <v>1</v>
      </c>
      <c r="AJ401">
        <f t="shared" si="6"/>
        <v>1</v>
      </c>
    </row>
    <row r="402" spans="1:36">
      <c r="A402" t="s">
        <v>2924</v>
      </c>
      <c r="B402" t="s">
        <v>2925</v>
      </c>
      <c r="C402" t="s">
        <v>2926</v>
      </c>
      <c r="D402" t="s">
        <v>2927</v>
      </c>
      <c r="E402">
        <v>1990</v>
      </c>
      <c r="F402" t="s">
        <v>2928</v>
      </c>
      <c r="G402">
        <v>7</v>
      </c>
      <c r="H402">
        <v>2</v>
      </c>
      <c r="J402">
        <v>143</v>
      </c>
      <c r="K402">
        <v>159</v>
      </c>
      <c r="L402">
        <v>16</v>
      </c>
      <c r="M402">
        <v>12</v>
      </c>
      <c r="N402" t="s">
        <v>2929</v>
      </c>
      <c r="O402" t="s">
        <v>2930</v>
      </c>
      <c r="P402" s="22" t="str">
        <f>HYPERLINK(O402)</f>
        <v>https://www.scopus.com/inward/record.uri?eid=2-s2.0-0025534206&amp;doi=10.1016%2fS0269-8579%2805%2980020-6&amp;partnerID=40&amp;md5=90762f0597e49e91dbacee47c1370a4f</v>
      </c>
      <c r="Q402" t="s">
        <v>156</v>
      </c>
      <c r="R402" t="s">
        <v>48</v>
      </c>
      <c r="T402" t="s">
        <v>6</v>
      </c>
      <c r="U402" t="s">
        <v>2931</v>
      </c>
      <c r="V402" s="36">
        <v>0</v>
      </c>
      <c r="W402" s="27">
        <v>0</v>
      </c>
      <c r="X402" s="27">
        <v>0</v>
      </c>
      <c r="Y402" s="27">
        <v>0</v>
      </c>
      <c r="Z402" s="27">
        <v>0</v>
      </c>
      <c r="AA402" s="27">
        <v>0</v>
      </c>
      <c r="AB402" s="27">
        <v>0</v>
      </c>
      <c r="AC402" s="27">
        <v>0</v>
      </c>
      <c r="AD402" s="27">
        <v>0</v>
      </c>
      <c r="AE402" s="27">
        <v>0</v>
      </c>
      <c r="AF402" s="27">
        <v>0</v>
      </c>
      <c r="AG402" s="27">
        <v>0</v>
      </c>
      <c r="AH402" s="27">
        <v>1</v>
      </c>
      <c r="AJ402">
        <f t="shared" si="6"/>
        <v>1</v>
      </c>
    </row>
    <row r="403" spans="1:36">
      <c r="A403" t="s">
        <v>2932</v>
      </c>
      <c r="B403" t="s">
        <v>2933</v>
      </c>
      <c r="C403">
        <v>56085736700</v>
      </c>
      <c r="D403" t="s">
        <v>2934</v>
      </c>
      <c r="E403">
        <v>2022</v>
      </c>
      <c r="F403" t="s">
        <v>2935</v>
      </c>
      <c r="G403">
        <v>33</v>
      </c>
      <c r="H403">
        <v>1</v>
      </c>
      <c r="J403">
        <v>141</v>
      </c>
      <c r="K403">
        <v>156</v>
      </c>
      <c r="L403">
        <v>15</v>
      </c>
      <c r="M403">
        <v>19</v>
      </c>
      <c r="N403" t="s">
        <v>2936</v>
      </c>
      <c r="O403" t="s">
        <v>2937</v>
      </c>
      <c r="P403" s="22" t="str">
        <f>HYPERLINK(O403)</f>
        <v>https://www.scopus.com/inward/record.uri?eid=2-s2.0-85105386223&amp;doi=10.1007%2fs11079-021-09619-5&amp;partnerID=40&amp;md5=0e48ed83bf3e27a1990ecbe53719ae04</v>
      </c>
      <c r="Q403" t="s">
        <v>156</v>
      </c>
      <c r="R403" t="s">
        <v>48</v>
      </c>
      <c r="S403" t="s">
        <v>1171</v>
      </c>
      <c r="T403" t="s">
        <v>6</v>
      </c>
      <c r="U403" t="s">
        <v>2938</v>
      </c>
      <c r="V403" s="36">
        <v>1</v>
      </c>
      <c r="W403" s="27">
        <v>0</v>
      </c>
      <c r="X403" s="27">
        <v>0</v>
      </c>
      <c r="Y403" s="27">
        <v>0</v>
      </c>
      <c r="Z403" s="27">
        <v>0</v>
      </c>
      <c r="AA403" s="27">
        <v>0</v>
      </c>
      <c r="AB403" s="27">
        <v>0</v>
      </c>
      <c r="AC403" s="27">
        <v>0</v>
      </c>
      <c r="AD403" s="27">
        <v>0</v>
      </c>
      <c r="AE403" s="27">
        <v>0</v>
      </c>
      <c r="AF403" s="27">
        <v>0</v>
      </c>
      <c r="AG403" s="27">
        <v>0</v>
      </c>
      <c r="AH403" s="27">
        <v>0</v>
      </c>
      <c r="AJ403">
        <f t="shared" si="6"/>
        <v>1</v>
      </c>
    </row>
    <row r="404" spans="1:36">
      <c r="A404" t="s">
        <v>2939</v>
      </c>
      <c r="B404" t="s">
        <v>2940</v>
      </c>
      <c r="C404">
        <v>15830869100</v>
      </c>
      <c r="D404" t="s">
        <v>2941</v>
      </c>
      <c r="E404">
        <v>2011</v>
      </c>
      <c r="F404" t="s">
        <v>2942</v>
      </c>
      <c r="G404">
        <v>16</v>
      </c>
      <c r="H404">
        <v>1</v>
      </c>
      <c r="J404">
        <v>47</v>
      </c>
      <c r="K404">
        <v>63</v>
      </c>
      <c r="L404">
        <v>16</v>
      </c>
      <c r="M404">
        <v>1</v>
      </c>
      <c r="N404" t="s">
        <v>2943</v>
      </c>
      <c r="O404" t="s">
        <v>2944</v>
      </c>
      <c r="P404" s="22" t="str">
        <f>HYPERLINK(O404)</f>
        <v>https://www.scopus.com/inward/record.uri?eid=2-s2.0-79551675660&amp;doi=10.1111%2fj.1468-0106.2010.00534.x&amp;partnerID=40&amp;md5=d7ed3e199c788dd07897095002cb288d</v>
      </c>
      <c r="Q404" t="s">
        <v>156</v>
      </c>
      <c r="R404" t="s">
        <v>48</v>
      </c>
      <c r="T404" t="s">
        <v>6</v>
      </c>
      <c r="U404" t="s">
        <v>2945</v>
      </c>
      <c r="V404" s="36">
        <v>0</v>
      </c>
      <c r="W404" s="27">
        <v>0</v>
      </c>
      <c r="X404" s="27">
        <v>0</v>
      </c>
      <c r="Y404" s="27">
        <v>0</v>
      </c>
      <c r="Z404" s="27">
        <v>0</v>
      </c>
      <c r="AA404" s="27">
        <v>0</v>
      </c>
      <c r="AB404" s="27">
        <v>0</v>
      </c>
      <c r="AC404" s="27">
        <v>0</v>
      </c>
      <c r="AD404" s="27">
        <v>0</v>
      </c>
      <c r="AE404" s="27">
        <v>0</v>
      </c>
      <c r="AF404" s="27">
        <v>0</v>
      </c>
      <c r="AG404" s="27">
        <v>0</v>
      </c>
      <c r="AH404" s="27">
        <v>1</v>
      </c>
      <c r="AJ404">
        <f t="shared" si="6"/>
        <v>1</v>
      </c>
    </row>
    <row r="405" spans="1:36">
      <c r="A405" t="s">
        <v>2946</v>
      </c>
      <c r="B405" t="s">
        <v>2947</v>
      </c>
      <c r="C405">
        <v>56602708800</v>
      </c>
      <c r="D405" t="s">
        <v>2948</v>
      </c>
      <c r="E405">
        <v>2020</v>
      </c>
      <c r="F405" t="s">
        <v>2949</v>
      </c>
      <c r="G405">
        <v>33</v>
      </c>
      <c r="H405">
        <v>2</v>
      </c>
      <c r="J405">
        <v>351</v>
      </c>
      <c r="K405">
        <v>361</v>
      </c>
      <c r="L405">
        <v>10</v>
      </c>
      <c r="M405">
        <v>1</v>
      </c>
      <c r="N405" t="s">
        <v>2950</v>
      </c>
      <c r="O405" t="s">
        <v>2951</v>
      </c>
      <c r="P405" s="22" t="str">
        <f>HYPERLINK(O405)</f>
        <v>https://www.scopus.com/inward/record.uri?eid=2-s2.0-85130205156&amp;doi=10.17582%2fjournal.pjar%2f2020%2f33.2.351.361&amp;partnerID=40&amp;md5=7e078d9cd37d2d5831c36f93e32d0970</v>
      </c>
      <c r="Q405" t="s">
        <v>156</v>
      </c>
      <c r="R405" t="s">
        <v>48</v>
      </c>
      <c r="S405" t="s">
        <v>185</v>
      </c>
      <c r="T405" t="s">
        <v>6</v>
      </c>
      <c r="U405" t="s">
        <v>2952</v>
      </c>
      <c r="V405" s="36">
        <v>0</v>
      </c>
      <c r="W405" s="27">
        <v>0</v>
      </c>
      <c r="X405" s="27">
        <v>0</v>
      </c>
      <c r="Y405" s="27">
        <v>0</v>
      </c>
      <c r="Z405" s="27">
        <v>0</v>
      </c>
      <c r="AA405" s="27">
        <v>0</v>
      </c>
      <c r="AB405" s="27">
        <v>0</v>
      </c>
      <c r="AC405" s="27">
        <v>0</v>
      </c>
      <c r="AD405" s="27">
        <v>0</v>
      </c>
      <c r="AE405" s="27">
        <v>0</v>
      </c>
      <c r="AF405" s="27">
        <v>0</v>
      </c>
      <c r="AG405" s="27">
        <v>0</v>
      </c>
      <c r="AH405" s="27">
        <v>1</v>
      </c>
      <c r="AJ405">
        <f t="shared" si="6"/>
        <v>1</v>
      </c>
    </row>
    <row r="406" spans="1:36">
      <c r="A406" t="s">
        <v>2953</v>
      </c>
      <c r="B406" t="s">
        <v>2954</v>
      </c>
      <c r="C406" t="s">
        <v>2955</v>
      </c>
      <c r="D406" t="s">
        <v>2956</v>
      </c>
      <c r="E406">
        <v>2018</v>
      </c>
      <c r="F406" t="s">
        <v>2957</v>
      </c>
      <c r="G406">
        <v>97</v>
      </c>
      <c r="H406">
        <v>2</v>
      </c>
      <c r="J406">
        <v>369</v>
      </c>
      <c r="K406">
        <v>386</v>
      </c>
      <c r="L406">
        <v>17</v>
      </c>
      <c r="M406">
        <v>27</v>
      </c>
      <c r="N406" t="s">
        <v>2958</v>
      </c>
      <c r="O406" t="s">
        <v>2959</v>
      </c>
      <c r="P406" s="22" t="str">
        <f>HYPERLINK(O406)</f>
        <v>https://www.scopus.com/inward/record.uri?eid=2-s2.0-84994508598&amp;doi=10.1111%2fpirs.12242&amp;partnerID=40&amp;md5=99ced244ea5506f01ec334112923d852</v>
      </c>
      <c r="Q406" t="s">
        <v>156</v>
      </c>
      <c r="R406" t="s">
        <v>48</v>
      </c>
      <c r="S406" t="s">
        <v>172</v>
      </c>
      <c r="T406" t="s">
        <v>6</v>
      </c>
      <c r="U406" t="s">
        <v>2960</v>
      </c>
      <c r="V406" s="36">
        <v>1</v>
      </c>
      <c r="W406" s="27">
        <v>0</v>
      </c>
      <c r="X406" s="27">
        <v>0</v>
      </c>
      <c r="Y406" s="27">
        <v>0</v>
      </c>
      <c r="Z406" s="27">
        <v>0</v>
      </c>
      <c r="AA406" s="27">
        <v>0</v>
      </c>
      <c r="AB406" s="27">
        <v>0</v>
      </c>
      <c r="AC406" s="27">
        <v>0</v>
      </c>
      <c r="AD406" s="27">
        <v>0</v>
      </c>
      <c r="AE406" s="27">
        <v>0</v>
      </c>
      <c r="AF406" s="27">
        <v>0</v>
      </c>
      <c r="AG406" s="27">
        <v>0</v>
      </c>
      <c r="AH406" s="27">
        <v>0</v>
      </c>
      <c r="AJ406">
        <f t="shared" si="6"/>
        <v>1</v>
      </c>
    </row>
    <row r="407" spans="1:36">
      <c r="A407" t="s">
        <v>2961</v>
      </c>
      <c r="B407" t="s">
        <v>2962</v>
      </c>
      <c r="C407" t="s">
        <v>2264</v>
      </c>
      <c r="D407" t="s">
        <v>2963</v>
      </c>
      <c r="E407">
        <v>2012</v>
      </c>
      <c r="F407" t="s">
        <v>2957</v>
      </c>
      <c r="G407">
        <v>91</v>
      </c>
      <c r="H407">
        <v>2</v>
      </c>
      <c r="J407">
        <v>437</v>
      </c>
      <c r="K407">
        <v>470</v>
      </c>
      <c r="L407">
        <v>33</v>
      </c>
      <c r="M407">
        <v>45</v>
      </c>
      <c r="N407" t="s">
        <v>2964</v>
      </c>
      <c r="O407" t="s">
        <v>2965</v>
      </c>
      <c r="P407" s="22" t="str">
        <f>HYPERLINK(O407)</f>
        <v>https://www.scopus.com/inward/record.uri?eid=2-s2.0-84862591121&amp;doi=10.1111%2fj.1435-5957.2011.00376.x&amp;partnerID=40&amp;md5=f86e0adce281e05d2bd92a2c2d93ffd6</v>
      </c>
      <c r="Q407" t="s">
        <v>156</v>
      </c>
      <c r="R407" t="s">
        <v>48</v>
      </c>
      <c r="S407" t="s">
        <v>172</v>
      </c>
      <c r="T407" t="s">
        <v>6</v>
      </c>
      <c r="U407" t="s">
        <v>2966</v>
      </c>
      <c r="V407" s="36">
        <v>0</v>
      </c>
      <c r="W407" s="27">
        <v>0</v>
      </c>
      <c r="X407" s="27">
        <v>0</v>
      </c>
      <c r="Y407" s="27">
        <v>0</v>
      </c>
      <c r="Z407" s="27">
        <v>0</v>
      </c>
      <c r="AA407" s="27">
        <v>0</v>
      </c>
      <c r="AB407" s="27">
        <v>1</v>
      </c>
      <c r="AC407" s="27">
        <v>0</v>
      </c>
      <c r="AD407" s="27">
        <v>0</v>
      </c>
      <c r="AE407" s="27">
        <v>0</v>
      </c>
      <c r="AF407" s="27">
        <v>0</v>
      </c>
      <c r="AG407" s="27">
        <v>0</v>
      </c>
      <c r="AH407" s="27">
        <v>0</v>
      </c>
      <c r="AJ407">
        <f t="shared" si="6"/>
        <v>1</v>
      </c>
    </row>
    <row r="408" spans="1:36">
      <c r="A408" t="s">
        <v>2967</v>
      </c>
      <c r="B408" t="s">
        <v>2968</v>
      </c>
      <c r="C408" t="s">
        <v>2969</v>
      </c>
      <c r="D408" t="s">
        <v>2970</v>
      </c>
      <c r="E408">
        <v>2021</v>
      </c>
      <c r="F408" t="s">
        <v>2957</v>
      </c>
      <c r="G408">
        <v>100</v>
      </c>
      <c r="H408">
        <v>1</v>
      </c>
      <c r="J408">
        <v>101</v>
      </c>
      <c r="K408">
        <v>122</v>
      </c>
      <c r="L408">
        <v>21</v>
      </c>
      <c r="M408">
        <v>58</v>
      </c>
      <c r="N408" t="s">
        <v>2971</v>
      </c>
      <c r="O408" t="s">
        <v>2972</v>
      </c>
      <c r="P408" s="22" t="str">
        <f>HYPERLINK(O408)</f>
        <v>https://www.scopus.com/inward/record.uri?eid=2-s2.0-85089751369&amp;doi=10.1111%2fpirs.12562&amp;partnerID=40&amp;md5=d691c503cf126fe6aca87ff1f0d7713a</v>
      </c>
      <c r="Q408" t="s">
        <v>156</v>
      </c>
      <c r="R408" t="s">
        <v>48</v>
      </c>
      <c r="S408" t="s">
        <v>467</v>
      </c>
      <c r="T408" t="s">
        <v>6</v>
      </c>
      <c r="U408" t="s">
        <v>2973</v>
      </c>
      <c r="V408" s="36">
        <v>1</v>
      </c>
      <c r="W408" s="27">
        <v>0</v>
      </c>
      <c r="X408" s="27">
        <v>0</v>
      </c>
      <c r="Y408" s="27">
        <v>0</v>
      </c>
      <c r="Z408" s="27">
        <v>0</v>
      </c>
      <c r="AA408" s="27">
        <v>0</v>
      </c>
      <c r="AB408" s="27">
        <v>0</v>
      </c>
      <c r="AC408" s="27">
        <v>0</v>
      </c>
      <c r="AD408" s="27">
        <v>0</v>
      </c>
      <c r="AE408" s="27">
        <v>0</v>
      </c>
      <c r="AF408" s="27">
        <v>0</v>
      </c>
      <c r="AG408" s="27">
        <v>0</v>
      </c>
      <c r="AH408" s="27">
        <v>0</v>
      </c>
      <c r="AJ408">
        <f t="shared" si="6"/>
        <v>1</v>
      </c>
    </row>
    <row r="409" spans="1:36">
      <c r="A409" t="s">
        <v>2974</v>
      </c>
      <c r="B409" t="s">
        <v>2975</v>
      </c>
      <c r="C409" t="s">
        <v>2976</v>
      </c>
      <c r="D409" t="s">
        <v>2977</v>
      </c>
      <c r="E409">
        <v>2019</v>
      </c>
      <c r="F409" t="s">
        <v>2957</v>
      </c>
      <c r="G409">
        <v>98</v>
      </c>
      <c r="H409">
        <v>6</v>
      </c>
      <c r="J409">
        <v>2251</v>
      </c>
      <c r="K409">
        <v>2273</v>
      </c>
      <c r="L409">
        <v>22</v>
      </c>
      <c r="M409">
        <v>26</v>
      </c>
      <c r="N409" t="s">
        <v>2978</v>
      </c>
      <c r="O409" t="s">
        <v>2979</v>
      </c>
      <c r="P409" s="22" t="str">
        <f>HYPERLINK(O409)</f>
        <v>https://www.scopus.com/inward/record.uri?eid=2-s2.0-85070110436&amp;doi=10.1111%2fpirs.12467&amp;partnerID=40&amp;md5=24fe86a863244bb88f113da94105e99c</v>
      </c>
      <c r="Q409" t="s">
        <v>156</v>
      </c>
      <c r="R409" t="s">
        <v>48</v>
      </c>
      <c r="S409" t="s">
        <v>467</v>
      </c>
      <c r="T409" t="s">
        <v>6</v>
      </c>
      <c r="U409" t="s">
        <v>2980</v>
      </c>
      <c r="V409" s="36">
        <v>1</v>
      </c>
      <c r="W409" s="27">
        <v>0</v>
      </c>
      <c r="X409" s="27">
        <v>0</v>
      </c>
      <c r="Y409" s="27">
        <v>0</v>
      </c>
      <c r="Z409" s="27">
        <v>0</v>
      </c>
      <c r="AA409" s="27">
        <v>0</v>
      </c>
      <c r="AB409" s="27">
        <v>0</v>
      </c>
      <c r="AC409" s="27">
        <v>0</v>
      </c>
      <c r="AD409" s="27">
        <v>0</v>
      </c>
      <c r="AE409" s="27">
        <v>0</v>
      </c>
      <c r="AF409" s="27">
        <v>0</v>
      </c>
      <c r="AG409" s="27">
        <v>0</v>
      </c>
      <c r="AH409" s="27">
        <v>0</v>
      </c>
      <c r="AJ409">
        <f t="shared" si="6"/>
        <v>1</v>
      </c>
    </row>
    <row r="410" spans="1:36">
      <c r="A410" t="s">
        <v>2981</v>
      </c>
      <c r="B410" t="s">
        <v>2982</v>
      </c>
      <c r="C410" t="s">
        <v>2983</v>
      </c>
      <c r="D410" t="s">
        <v>2984</v>
      </c>
      <c r="E410">
        <v>2023</v>
      </c>
      <c r="F410" t="s">
        <v>2985</v>
      </c>
      <c r="G410">
        <v>22</v>
      </c>
      <c r="H410" s="32">
        <v>45813</v>
      </c>
      <c r="J410">
        <v>303</v>
      </c>
      <c r="K410">
        <v>320</v>
      </c>
      <c r="L410">
        <v>17</v>
      </c>
      <c r="M410">
        <v>0</v>
      </c>
      <c r="N410" t="s">
        <v>2986</v>
      </c>
      <c r="O410" t="s">
        <v>2987</v>
      </c>
      <c r="P410" s="22" t="str">
        <f>HYPERLINK(O410)</f>
        <v>https://www.scopus.com/inward/record.uri?eid=2-s2.0-85197375688&amp;doi=10.1163%2f15691497-12341664&amp;partnerID=40&amp;md5=40673b00bcb7893536c58099f78ff746</v>
      </c>
      <c r="Q410" t="s">
        <v>156</v>
      </c>
      <c r="R410" t="s">
        <v>48</v>
      </c>
      <c r="T410" t="s">
        <v>6</v>
      </c>
      <c r="U410" t="s">
        <v>2988</v>
      </c>
      <c r="V410" s="36">
        <v>1</v>
      </c>
      <c r="W410" s="27">
        <v>0</v>
      </c>
      <c r="X410" s="27">
        <v>0</v>
      </c>
      <c r="Y410" s="27">
        <v>0</v>
      </c>
      <c r="Z410" s="27">
        <v>0</v>
      </c>
      <c r="AA410" s="27">
        <v>0</v>
      </c>
      <c r="AB410" s="27">
        <v>0</v>
      </c>
      <c r="AC410" s="27">
        <v>0</v>
      </c>
      <c r="AD410" s="27">
        <v>0</v>
      </c>
      <c r="AE410" s="27">
        <v>0</v>
      </c>
      <c r="AF410" s="27">
        <v>0</v>
      </c>
      <c r="AG410" s="27">
        <v>0</v>
      </c>
      <c r="AH410" s="27">
        <v>0</v>
      </c>
      <c r="AJ410">
        <f t="shared" si="6"/>
        <v>1</v>
      </c>
    </row>
    <row r="411" spans="1:36">
      <c r="A411" t="s">
        <v>2989</v>
      </c>
      <c r="B411" t="s">
        <v>2990</v>
      </c>
      <c r="C411" t="s">
        <v>2991</v>
      </c>
      <c r="D411" t="s">
        <v>2992</v>
      </c>
      <c r="E411">
        <v>2019</v>
      </c>
      <c r="F411" t="s">
        <v>2993</v>
      </c>
      <c r="G411">
        <v>525</v>
      </c>
      <c r="J411">
        <v>798</v>
      </c>
      <c r="K411">
        <v>808</v>
      </c>
      <c r="L411">
        <v>10</v>
      </c>
      <c r="M411">
        <v>4</v>
      </c>
      <c r="N411" t="s">
        <v>2994</v>
      </c>
      <c r="O411" t="s">
        <v>2995</v>
      </c>
      <c r="P411" s="22" t="str">
        <f>HYPERLINK(O411)</f>
        <v>https://www.scopus.com/inward/record.uri?eid=2-s2.0-85064003318&amp;doi=10.1016%2fj.physa.2019.04.040&amp;partnerID=40&amp;md5=b6ef42837e9c80ce6e3e07fcd85f1c41</v>
      </c>
      <c r="Q411" t="s">
        <v>156</v>
      </c>
      <c r="R411" t="s">
        <v>48</v>
      </c>
      <c r="T411" t="s">
        <v>6</v>
      </c>
      <c r="U411" t="s">
        <v>2996</v>
      </c>
      <c r="V411" s="36">
        <v>0</v>
      </c>
      <c r="W411" s="27">
        <v>1</v>
      </c>
      <c r="X411" s="27">
        <v>0</v>
      </c>
      <c r="Y411" s="27">
        <v>0</v>
      </c>
      <c r="Z411" s="27">
        <v>0</v>
      </c>
      <c r="AA411" s="27">
        <v>0</v>
      </c>
      <c r="AB411" s="27">
        <v>0</v>
      </c>
      <c r="AC411" s="27">
        <v>0</v>
      </c>
      <c r="AD411" s="27">
        <v>0</v>
      </c>
      <c r="AE411" s="27">
        <v>0</v>
      </c>
      <c r="AF411" s="27">
        <v>0</v>
      </c>
      <c r="AG411" s="27">
        <v>0</v>
      </c>
      <c r="AH411" s="27">
        <v>0</v>
      </c>
      <c r="AJ411">
        <f t="shared" si="6"/>
        <v>1</v>
      </c>
    </row>
    <row r="412" spans="1:36">
      <c r="A412" t="s">
        <v>2997</v>
      </c>
      <c r="B412" t="s">
        <v>2998</v>
      </c>
      <c r="C412" t="s">
        <v>2999</v>
      </c>
      <c r="D412" t="s">
        <v>3000</v>
      </c>
      <c r="E412">
        <v>2023</v>
      </c>
      <c r="F412" t="s">
        <v>3001</v>
      </c>
      <c r="G412">
        <v>4</v>
      </c>
      <c r="H412">
        <v>1</v>
      </c>
      <c r="J412">
        <v>102</v>
      </c>
      <c r="K412">
        <v>107</v>
      </c>
      <c r="L412">
        <v>5</v>
      </c>
      <c r="M412">
        <v>0</v>
      </c>
      <c r="N412" t="s">
        <v>3002</v>
      </c>
      <c r="O412" t="s">
        <v>3003</v>
      </c>
      <c r="P412" s="22" t="str">
        <f>HYPERLINK(O412)</f>
        <v>https://www.scopus.com/inward/record.uri?eid=2-s2.0-85208624481&amp;doi=10.51559%2fptji.v4i1.88&amp;partnerID=40&amp;md5=117cb04b7ee97905676824d997916ddd</v>
      </c>
      <c r="Q412" t="s">
        <v>156</v>
      </c>
      <c r="R412" t="s">
        <v>48</v>
      </c>
      <c r="S412" t="s">
        <v>436</v>
      </c>
      <c r="T412" t="s">
        <v>6</v>
      </c>
      <c r="U412" t="s">
        <v>3004</v>
      </c>
      <c r="V412" s="36">
        <v>0</v>
      </c>
      <c r="W412" s="27">
        <v>0</v>
      </c>
      <c r="X412" s="27">
        <v>0</v>
      </c>
      <c r="Y412" s="27">
        <v>0</v>
      </c>
      <c r="Z412" s="27">
        <v>0</v>
      </c>
      <c r="AA412" s="27">
        <v>0</v>
      </c>
      <c r="AB412" s="27">
        <v>0</v>
      </c>
      <c r="AC412" s="27">
        <v>0</v>
      </c>
      <c r="AD412" s="27">
        <v>0</v>
      </c>
      <c r="AE412" s="27">
        <v>0</v>
      </c>
      <c r="AF412" s="27">
        <v>0</v>
      </c>
      <c r="AG412" s="27">
        <v>0</v>
      </c>
      <c r="AH412" s="27">
        <v>1</v>
      </c>
      <c r="AJ412">
        <f t="shared" si="6"/>
        <v>1</v>
      </c>
    </row>
    <row r="413" spans="1:36">
      <c r="A413" t="s">
        <v>3005</v>
      </c>
      <c r="B413" t="s">
        <v>3006</v>
      </c>
      <c r="C413" t="s">
        <v>3007</v>
      </c>
      <c r="D413" t="s">
        <v>3008</v>
      </c>
      <c r="E413">
        <v>2012</v>
      </c>
      <c r="F413" t="s">
        <v>3009</v>
      </c>
      <c r="J413">
        <v>388</v>
      </c>
      <c r="K413">
        <v>395</v>
      </c>
      <c r="L413">
        <v>7</v>
      </c>
      <c r="M413">
        <v>0</v>
      </c>
      <c r="N413" t="s">
        <v>3010</v>
      </c>
      <c r="O413" t="s">
        <v>3011</v>
      </c>
      <c r="P413" s="22" t="str">
        <f>HYPERLINK(O413)</f>
        <v>https://www.scopus.com/inward/record.uri?eid=2-s2.0-84872593284&amp;doi=10.1061%2f9780784412480.035&amp;partnerID=40&amp;md5=305ecd5147885a39fc9fed09b8e82f60</v>
      </c>
      <c r="Q413" t="s">
        <v>62</v>
      </c>
      <c r="R413" t="s">
        <v>48</v>
      </c>
      <c r="T413" t="s">
        <v>6</v>
      </c>
      <c r="U413" t="s">
        <v>3012</v>
      </c>
      <c r="V413" s="36">
        <v>0</v>
      </c>
      <c r="W413" s="27">
        <v>0</v>
      </c>
      <c r="X413" s="27">
        <v>0</v>
      </c>
      <c r="Y413" s="27">
        <v>0</v>
      </c>
      <c r="Z413" s="27">
        <v>0</v>
      </c>
      <c r="AA413" s="27">
        <v>0</v>
      </c>
      <c r="AB413" s="27">
        <v>0</v>
      </c>
      <c r="AC413" s="27">
        <v>0</v>
      </c>
      <c r="AD413" s="27">
        <v>0</v>
      </c>
      <c r="AE413" s="27">
        <v>0</v>
      </c>
      <c r="AF413" s="27">
        <v>0</v>
      </c>
      <c r="AG413" s="27">
        <v>0</v>
      </c>
      <c r="AH413" s="27">
        <v>1</v>
      </c>
      <c r="AJ413">
        <f t="shared" si="6"/>
        <v>1</v>
      </c>
    </row>
    <row r="414" spans="1:36">
      <c r="A414" t="s">
        <v>3013</v>
      </c>
      <c r="B414" t="s">
        <v>3014</v>
      </c>
      <c r="C414">
        <v>57869015500</v>
      </c>
      <c r="D414" t="s">
        <v>3015</v>
      </c>
      <c r="E414">
        <v>2022</v>
      </c>
      <c r="F414" t="s">
        <v>3016</v>
      </c>
      <c r="G414">
        <v>3</v>
      </c>
      <c r="J414">
        <v>260</v>
      </c>
      <c r="K414">
        <v>267</v>
      </c>
      <c r="L414">
        <v>7</v>
      </c>
      <c r="M414">
        <v>0</v>
      </c>
      <c r="N414" t="s">
        <v>3017</v>
      </c>
      <c r="O414" t="s">
        <v>3018</v>
      </c>
      <c r="P414" s="22" t="str">
        <f>HYPERLINK(O414)</f>
        <v>https://www.scopus.com/inward/record.uri?eid=2-s2.0-85137045029&amp;doi=10.1061%2f9780784484296.031&amp;partnerID=40&amp;md5=b8c19f9ed951b9998dc63ed5d847e867</v>
      </c>
      <c r="Q414" t="s">
        <v>62</v>
      </c>
      <c r="R414" t="s">
        <v>48</v>
      </c>
      <c r="T414" t="s">
        <v>6</v>
      </c>
      <c r="U414" t="s">
        <v>3019</v>
      </c>
      <c r="V414" s="36">
        <v>0</v>
      </c>
      <c r="W414" s="27">
        <v>0</v>
      </c>
      <c r="X414" s="27">
        <v>0</v>
      </c>
      <c r="Y414" s="27">
        <v>0</v>
      </c>
      <c r="Z414" s="27">
        <v>0</v>
      </c>
      <c r="AA414" s="27">
        <v>0</v>
      </c>
      <c r="AB414" s="27">
        <v>0</v>
      </c>
      <c r="AC414" s="27">
        <v>0</v>
      </c>
      <c r="AD414" s="27">
        <v>0</v>
      </c>
      <c r="AE414" s="27">
        <v>0</v>
      </c>
      <c r="AF414" s="27">
        <v>0</v>
      </c>
      <c r="AG414" s="27">
        <v>0</v>
      </c>
      <c r="AH414" s="27">
        <v>1</v>
      </c>
      <c r="AJ414">
        <f t="shared" si="6"/>
        <v>1</v>
      </c>
    </row>
    <row r="415" spans="1:36">
      <c r="A415" t="s">
        <v>3020</v>
      </c>
      <c r="B415" t="s">
        <v>3021</v>
      </c>
      <c r="C415" t="s">
        <v>3022</v>
      </c>
      <c r="D415" t="s">
        <v>3023</v>
      </c>
      <c r="E415">
        <v>2024</v>
      </c>
      <c r="F415" t="s">
        <v>3024</v>
      </c>
      <c r="G415">
        <v>13</v>
      </c>
      <c r="H415">
        <v>13</v>
      </c>
      <c r="I415">
        <v>1752</v>
      </c>
      <c r="M415">
        <v>1</v>
      </c>
      <c r="N415" t="s">
        <v>3025</v>
      </c>
      <c r="O415" t="s">
        <v>3026</v>
      </c>
      <c r="P415" s="22" t="str">
        <f>HYPERLINK(O415)</f>
        <v>https://www.scopus.com/inward/record.uri?eid=2-s2.0-85198479750&amp;doi=10.3390%2fplants13131752&amp;partnerID=40&amp;md5=81c95e6da14a5b2ceca54ad3ccd685dd</v>
      </c>
      <c r="Q415" t="s">
        <v>156</v>
      </c>
      <c r="R415" t="s">
        <v>48</v>
      </c>
      <c r="S415" t="s">
        <v>225</v>
      </c>
      <c r="T415" t="s">
        <v>6</v>
      </c>
      <c r="U415" t="s">
        <v>3027</v>
      </c>
      <c r="V415" s="36">
        <v>0</v>
      </c>
      <c r="W415" s="27">
        <v>0</v>
      </c>
      <c r="X415" s="27">
        <v>0</v>
      </c>
      <c r="Y415" s="27">
        <v>0</v>
      </c>
      <c r="Z415" s="27">
        <v>0</v>
      </c>
      <c r="AA415" s="27">
        <v>0</v>
      </c>
      <c r="AB415" s="27">
        <v>0</v>
      </c>
      <c r="AC415" s="27">
        <v>0</v>
      </c>
      <c r="AD415" s="27">
        <v>0</v>
      </c>
      <c r="AE415" s="27">
        <v>0</v>
      </c>
      <c r="AF415" s="27">
        <v>0</v>
      </c>
      <c r="AG415" s="27">
        <v>0</v>
      </c>
      <c r="AH415" s="27">
        <v>1</v>
      </c>
      <c r="AJ415">
        <f t="shared" si="6"/>
        <v>1</v>
      </c>
    </row>
    <row r="416" spans="1:36">
      <c r="A416" t="s">
        <v>3028</v>
      </c>
      <c r="B416" t="s">
        <v>3029</v>
      </c>
      <c r="C416" t="s">
        <v>3030</v>
      </c>
      <c r="D416" t="s">
        <v>3031</v>
      </c>
      <c r="E416">
        <v>2024</v>
      </c>
      <c r="F416" t="s">
        <v>3032</v>
      </c>
      <c r="G416">
        <v>19</v>
      </c>
      <c r="H416" s="32">
        <v>45782</v>
      </c>
      <c r="I416" t="s">
        <v>3033</v>
      </c>
      <c r="M416">
        <v>0</v>
      </c>
      <c r="N416" t="s">
        <v>3034</v>
      </c>
      <c r="O416" t="s">
        <v>3035</v>
      </c>
      <c r="P416" s="22" t="str">
        <f>HYPERLINK(O416)</f>
        <v>https://www.scopus.com/inward/record.uri?eid=2-s2.0-85194016002&amp;doi=10.1371%2fjournal.pone.0300181&amp;partnerID=40&amp;md5=a68933bcbfb12a7971d42ddc9236afbd</v>
      </c>
      <c r="Q416" t="s">
        <v>156</v>
      </c>
      <c r="R416" t="s">
        <v>48</v>
      </c>
      <c r="S416" t="s">
        <v>225</v>
      </c>
      <c r="T416" t="s">
        <v>6</v>
      </c>
      <c r="U416" t="s">
        <v>3036</v>
      </c>
      <c r="V416" s="36">
        <v>0</v>
      </c>
      <c r="W416" s="27">
        <v>1</v>
      </c>
      <c r="X416" s="27">
        <v>0</v>
      </c>
      <c r="Y416" s="27">
        <v>0</v>
      </c>
      <c r="Z416" s="27">
        <v>0</v>
      </c>
      <c r="AA416" s="27">
        <v>0</v>
      </c>
      <c r="AB416" s="27">
        <v>0</v>
      </c>
      <c r="AC416" s="27">
        <v>0</v>
      </c>
      <c r="AD416" s="27">
        <v>0</v>
      </c>
      <c r="AE416" s="27">
        <v>0</v>
      </c>
      <c r="AF416" s="27">
        <v>0</v>
      </c>
      <c r="AG416" s="27">
        <v>0</v>
      </c>
      <c r="AH416" s="27">
        <v>1</v>
      </c>
      <c r="AJ416">
        <f t="shared" si="6"/>
        <v>2</v>
      </c>
    </row>
    <row r="417" spans="1:36">
      <c r="A417" t="s">
        <v>3037</v>
      </c>
      <c r="B417" t="s">
        <v>3038</v>
      </c>
      <c r="C417" t="s">
        <v>3039</v>
      </c>
      <c r="D417" t="s">
        <v>3040</v>
      </c>
      <c r="E417">
        <v>2024</v>
      </c>
      <c r="F417" t="s">
        <v>3032</v>
      </c>
      <c r="G417">
        <v>19</v>
      </c>
      <c r="H417" s="32">
        <v>45782</v>
      </c>
      <c r="I417" t="s">
        <v>3041</v>
      </c>
      <c r="M417">
        <v>1</v>
      </c>
      <c r="N417" t="s">
        <v>3042</v>
      </c>
      <c r="O417" t="s">
        <v>3043</v>
      </c>
      <c r="P417" s="22" t="str">
        <f>HYPERLINK(O417)</f>
        <v>https://www.scopus.com/inward/record.uri?eid=2-s2.0-85192871814&amp;doi=10.1371%2fjournal.pone.0297442&amp;partnerID=40&amp;md5=63e75f1a455aa9db65f967f2e7f31301</v>
      </c>
      <c r="Q417" t="s">
        <v>156</v>
      </c>
      <c r="R417" t="s">
        <v>48</v>
      </c>
      <c r="S417" t="s">
        <v>185</v>
      </c>
      <c r="T417" t="s">
        <v>6</v>
      </c>
      <c r="U417" t="s">
        <v>3044</v>
      </c>
      <c r="V417" s="36">
        <v>0</v>
      </c>
      <c r="W417" s="27">
        <v>0</v>
      </c>
      <c r="X417" s="27">
        <v>0</v>
      </c>
      <c r="Y417" s="27">
        <v>0</v>
      </c>
      <c r="Z417" s="27">
        <v>0</v>
      </c>
      <c r="AA417" s="27">
        <v>0</v>
      </c>
      <c r="AB417" s="27">
        <v>0</v>
      </c>
      <c r="AC417" s="27">
        <v>0</v>
      </c>
      <c r="AD417" s="27">
        <v>0</v>
      </c>
      <c r="AE417" s="27">
        <v>0</v>
      </c>
      <c r="AF417" s="27">
        <v>0</v>
      </c>
      <c r="AG417" s="27">
        <v>1</v>
      </c>
      <c r="AH417" s="27">
        <v>1</v>
      </c>
      <c r="AJ417">
        <f t="shared" si="6"/>
        <v>2</v>
      </c>
    </row>
    <row r="418" spans="1:36">
      <c r="A418" t="s">
        <v>3045</v>
      </c>
      <c r="B418" t="s">
        <v>3046</v>
      </c>
      <c r="C418" t="s">
        <v>3047</v>
      </c>
      <c r="D418" t="s">
        <v>3048</v>
      </c>
      <c r="E418">
        <v>2021</v>
      </c>
      <c r="F418" t="s">
        <v>3032</v>
      </c>
      <c r="G418">
        <v>16</v>
      </c>
      <c r="H418" s="32">
        <v>45972</v>
      </c>
      <c r="I418" t="s">
        <v>3049</v>
      </c>
      <c r="M418">
        <v>25</v>
      </c>
      <c r="N418" t="s">
        <v>3050</v>
      </c>
      <c r="O418" t="s">
        <v>3051</v>
      </c>
      <c r="P418" s="22" t="str">
        <f>HYPERLINK(O418)</f>
        <v>https://www.scopus.com/inward/record.uri?eid=2-s2.0-85119257565&amp;doi=10.1371%2fjournal.pone.0257400&amp;partnerID=40&amp;md5=ce47dfb6cd9a8773d53c706970648a16</v>
      </c>
      <c r="Q418" t="s">
        <v>156</v>
      </c>
      <c r="R418" t="s">
        <v>48</v>
      </c>
      <c r="S418" t="s">
        <v>225</v>
      </c>
      <c r="T418" t="s">
        <v>6</v>
      </c>
      <c r="U418" t="s">
        <v>3052</v>
      </c>
      <c r="V418" s="36">
        <v>0</v>
      </c>
      <c r="W418" s="27">
        <v>0</v>
      </c>
      <c r="X418" s="27">
        <v>0</v>
      </c>
      <c r="Y418" s="27">
        <v>0</v>
      </c>
      <c r="Z418" s="27">
        <v>0</v>
      </c>
      <c r="AA418" s="27">
        <v>0</v>
      </c>
      <c r="AB418" s="27">
        <v>0</v>
      </c>
      <c r="AC418" s="27">
        <v>0</v>
      </c>
      <c r="AD418" s="27">
        <v>0</v>
      </c>
      <c r="AE418" s="27">
        <v>0</v>
      </c>
      <c r="AF418" s="27">
        <v>0</v>
      </c>
      <c r="AG418" s="27">
        <v>0</v>
      </c>
      <c r="AH418" s="27">
        <v>1</v>
      </c>
      <c r="AJ418">
        <f t="shared" si="6"/>
        <v>1</v>
      </c>
    </row>
    <row r="419" spans="1:36">
      <c r="A419" t="s">
        <v>3053</v>
      </c>
      <c r="B419" t="s">
        <v>3054</v>
      </c>
      <c r="C419">
        <v>57218956518</v>
      </c>
      <c r="D419" t="s">
        <v>3055</v>
      </c>
      <c r="E419">
        <v>2021</v>
      </c>
      <c r="F419" t="s">
        <v>3032</v>
      </c>
      <c r="G419">
        <v>16</v>
      </c>
      <c r="H419" s="32">
        <v>45877</v>
      </c>
      <c r="I419" t="s">
        <v>3056</v>
      </c>
      <c r="M419">
        <v>2</v>
      </c>
      <c r="N419" t="s">
        <v>3057</v>
      </c>
      <c r="O419" t="s">
        <v>3058</v>
      </c>
      <c r="P419" s="22" t="str">
        <f>HYPERLINK(O419)</f>
        <v>https://www.scopus.com/inward/record.uri?eid=2-s2.0-85111769624&amp;doi=10.1371%2fjournal.pone.0255395&amp;partnerID=40&amp;md5=7781d6514a828e9f7544a6d08591eb92</v>
      </c>
      <c r="Q419" t="s">
        <v>184</v>
      </c>
      <c r="R419" t="s">
        <v>48</v>
      </c>
      <c r="S419" t="s">
        <v>225</v>
      </c>
      <c r="T419" t="s">
        <v>6</v>
      </c>
      <c r="U419" t="s">
        <v>3059</v>
      </c>
      <c r="V419" s="36">
        <v>0</v>
      </c>
      <c r="W419" s="27">
        <v>0</v>
      </c>
      <c r="X419" s="27">
        <v>0</v>
      </c>
      <c r="Y419" s="27">
        <v>0</v>
      </c>
      <c r="Z419" s="27">
        <v>0</v>
      </c>
      <c r="AA419" s="27">
        <v>0</v>
      </c>
      <c r="AB419" s="27">
        <v>0</v>
      </c>
      <c r="AC419" s="27">
        <v>0</v>
      </c>
      <c r="AD419" s="27">
        <v>0</v>
      </c>
      <c r="AE419" s="27">
        <v>0</v>
      </c>
      <c r="AF419" s="27">
        <v>0</v>
      </c>
      <c r="AG419" s="27">
        <v>0</v>
      </c>
      <c r="AH419" s="27">
        <v>1</v>
      </c>
      <c r="AJ419">
        <f t="shared" si="6"/>
        <v>1</v>
      </c>
    </row>
    <row r="420" spans="1:36">
      <c r="A420" t="s">
        <v>3060</v>
      </c>
      <c r="B420" t="s">
        <v>3061</v>
      </c>
      <c r="C420" t="s">
        <v>3062</v>
      </c>
      <c r="D420" t="s">
        <v>3063</v>
      </c>
      <c r="E420">
        <v>2024</v>
      </c>
      <c r="F420" t="s">
        <v>3032</v>
      </c>
      <c r="G420">
        <v>19</v>
      </c>
      <c r="H420" s="32">
        <v>45690</v>
      </c>
      <c r="I420" t="s">
        <v>3064</v>
      </c>
      <c r="M420">
        <v>1</v>
      </c>
      <c r="N420" t="s">
        <v>3065</v>
      </c>
      <c r="O420" t="s">
        <v>3066</v>
      </c>
      <c r="P420" s="22" t="str">
        <f>HYPERLINK(O420)</f>
        <v>https://www.scopus.com/inward/record.uri?eid=2-s2.0-85185718753&amp;doi=10.1371%2fjournal.pone.0295186&amp;partnerID=40&amp;md5=e639bfc711523b9dca1cf1cd3fbe33d8</v>
      </c>
      <c r="Q420" t="s">
        <v>156</v>
      </c>
      <c r="R420" t="s">
        <v>48</v>
      </c>
      <c r="S420" t="s">
        <v>225</v>
      </c>
      <c r="T420" t="s">
        <v>6</v>
      </c>
      <c r="U420" t="s">
        <v>3067</v>
      </c>
      <c r="V420" s="36">
        <v>0</v>
      </c>
      <c r="W420" s="27">
        <v>1</v>
      </c>
      <c r="X420" s="27">
        <v>0</v>
      </c>
      <c r="Y420" s="27">
        <v>0</v>
      </c>
      <c r="Z420" s="27">
        <v>0</v>
      </c>
      <c r="AA420" s="27">
        <v>0</v>
      </c>
      <c r="AB420" s="27">
        <v>0</v>
      </c>
      <c r="AC420" s="27">
        <v>0</v>
      </c>
      <c r="AD420" s="27">
        <v>0</v>
      </c>
      <c r="AE420" s="27">
        <v>0</v>
      </c>
      <c r="AF420" s="27">
        <v>0</v>
      </c>
      <c r="AG420" s="27">
        <v>0</v>
      </c>
      <c r="AH420" s="27">
        <v>0</v>
      </c>
      <c r="AJ420">
        <f t="shared" si="6"/>
        <v>1</v>
      </c>
    </row>
    <row r="421" spans="1:36">
      <c r="A421" t="s">
        <v>3068</v>
      </c>
      <c r="B421" t="s">
        <v>3069</v>
      </c>
      <c r="C421" t="s">
        <v>3070</v>
      </c>
      <c r="D421" t="s">
        <v>3071</v>
      </c>
      <c r="E421">
        <v>2018</v>
      </c>
      <c r="F421" t="s">
        <v>3032</v>
      </c>
      <c r="G421">
        <v>13</v>
      </c>
      <c r="H421">
        <v>10</v>
      </c>
      <c r="I421" t="s">
        <v>3072</v>
      </c>
      <c r="M421">
        <v>79</v>
      </c>
      <c r="N421" t="s">
        <v>3073</v>
      </c>
      <c r="O421" t="s">
        <v>3074</v>
      </c>
      <c r="P421" s="22" t="str">
        <f>HYPERLINK(O421)</f>
        <v>https://www.scopus.com/inward/record.uri?eid=2-s2.0-85055427801&amp;doi=10.1371%2fjournal.pone.0205321&amp;partnerID=40&amp;md5=fa2831bb9d8352c395f41a7573ac2899</v>
      </c>
      <c r="Q421" t="s">
        <v>156</v>
      </c>
      <c r="R421" t="s">
        <v>48</v>
      </c>
      <c r="S421" t="s">
        <v>225</v>
      </c>
      <c r="T421" t="s">
        <v>6</v>
      </c>
      <c r="U421" t="s">
        <v>3075</v>
      </c>
      <c r="V421" s="36">
        <v>0</v>
      </c>
      <c r="W421" s="27">
        <v>0</v>
      </c>
      <c r="X421" s="27">
        <v>0</v>
      </c>
      <c r="Y421" s="27">
        <v>0</v>
      </c>
      <c r="Z421" s="27">
        <v>0</v>
      </c>
      <c r="AA421" s="27">
        <v>0</v>
      </c>
      <c r="AB421" s="27">
        <v>0</v>
      </c>
      <c r="AC421" s="27">
        <v>0</v>
      </c>
      <c r="AD421" s="27">
        <v>0</v>
      </c>
      <c r="AE421" s="27">
        <v>0</v>
      </c>
      <c r="AF421" s="27">
        <v>0</v>
      </c>
      <c r="AG421" s="27">
        <v>0</v>
      </c>
      <c r="AH421" s="27">
        <v>1</v>
      </c>
      <c r="AJ421">
        <f t="shared" si="6"/>
        <v>1</v>
      </c>
    </row>
    <row r="422" spans="1:36">
      <c r="A422" t="s">
        <v>3076</v>
      </c>
      <c r="B422" t="s">
        <v>3077</v>
      </c>
      <c r="C422" t="s">
        <v>3078</v>
      </c>
      <c r="D422" t="s">
        <v>3079</v>
      </c>
      <c r="E422">
        <v>2022</v>
      </c>
      <c r="F422" t="s">
        <v>3032</v>
      </c>
      <c r="G422">
        <v>17</v>
      </c>
      <c r="H422" s="32">
        <v>45877</v>
      </c>
      <c r="I422" t="s">
        <v>3080</v>
      </c>
      <c r="M422">
        <v>5</v>
      </c>
      <c r="N422" t="s">
        <v>3081</v>
      </c>
      <c r="O422" t="s">
        <v>3082</v>
      </c>
      <c r="P422" s="22" t="str">
        <f>HYPERLINK(O422)</f>
        <v>https://www.scopus.com/inward/record.uri?eid=2-s2.0-85136192496&amp;doi=10.1371%2fjournal.pone.0272964&amp;partnerID=40&amp;md5=c9a08b481e992d2c08ff0f0484c10820</v>
      </c>
      <c r="Q422" t="s">
        <v>156</v>
      </c>
      <c r="R422" t="s">
        <v>48</v>
      </c>
      <c r="S422" t="s">
        <v>225</v>
      </c>
      <c r="T422" t="s">
        <v>6</v>
      </c>
      <c r="U422" t="s">
        <v>3083</v>
      </c>
      <c r="V422" s="36">
        <v>0</v>
      </c>
      <c r="W422" s="27">
        <v>1</v>
      </c>
      <c r="X422" s="27">
        <v>0</v>
      </c>
      <c r="Y422" s="27">
        <v>0</v>
      </c>
      <c r="Z422" s="27">
        <v>0</v>
      </c>
      <c r="AA422" s="27">
        <v>0</v>
      </c>
      <c r="AB422" s="27">
        <v>0</v>
      </c>
      <c r="AC422" s="27">
        <v>0</v>
      </c>
      <c r="AD422" s="27">
        <v>0</v>
      </c>
      <c r="AE422" s="27">
        <v>0</v>
      </c>
      <c r="AF422" s="27">
        <v>0</v>
      </c>
      <c r="AG422" s="27">
        <v>0</v>
      </c>
      <c r="AH422" s="27">
        <v>0</v>
      </c>
      <c r="AJ422">
        <f t="shared" si="6"/>
        <v>1</v>
      </c>
    </row>
    <row r="423" spans="1:36">
      <c r="A423" t="s">
        <v>3084</v>
      </c>
      <c r="B423" t="s">
        <v>3085</v>
      </c>
      <c r="C423" t="s">
        <v>3086</v>
      </c>
      <c r="D423" t="s">
        <v>3087</v>
      </c>
      <c r="E423">
        <v>2024</v>
      </c>
      <c r="F423" t="s">
        <v>3032</v>
      </c>
      <c r="G423">
        <v>19</v>
      </c>
      <c r="H423" s="32">
        <v>45972</v>
      </c>
      <c r="I423" t="s">
        <v>3088</v>
      </c>
      <c r="M423">
        <v>0</v>
      </c>
      <c r="N423" t="s">
        <v>3089</v>
      </c>
      <c r="O423" t="s">
        <v>3090</v>
      </c>
      <c r="P423" s="22" t="str">
        <f>HYPERLINK(O423)</f>
        <v>https://www.scopus.com/inward/record.uri?eid=2-s2.0-85209404837&amp;doi=10.1371%2fjournal.pone.0313500&amp;partnerID=40&amp;md5=137ec2114117650fdd5b5877de222b5c</v>
      </c>
      <c r="Q423" t="s">
        <v>156</v>
      </c>
      <c r="R423" t="s">
        <v>48</v>
      </c>
      <c r="T423" t="s">
        <v>6</v>
      </c>
      <c r="U423" t="s">
        <v>3091</v>
      </c>
      <c r="V423" s="36">
        <v>0</v>
      </c>
      <c r="W423" s="27">
        <v>1</v>
      </c>
      <c r="X423" s="27">
        <v>0</v>
      </c>
      <c r="Y423" s="27">
        <v>0</v>
      </c>
      <c r="Z423" s="27">
        <v>0</v>
      </c>
      <c r="AA423" s="27">
        <v>0</v>
      </c>
      <c r="AB423" s="27">
        <v>0</v>
      </c>
      <c r="AC423" s="27">
        <v>0</v>
      </c>
      <c r="AD423" s="27">
        <v>0</v>
      </c>
      <c r="AE423" s="27">
        <v>0</v>
      </c>
      <c r="AF423" s="27">
        <v>0</v>
      </c>
      <c r="AG423" s="27">
        <v>0</v>
      </c>
      <c r="AH423" s="27">
        <v>0</v>
      </c>
      <c r="AJ423">
        <f t="shared" si="6"/>
        <v>1</v>
      </c>
    </row>
    <row r="424" spans="1:36">
      <c r="A424" t="s">
        <v>3092</v>
      </c>
      <c r="B424" t="s">
        <v>3093</v>
      </c>
      <c r="C424" t="s">
        <v>3094</v>
      </c>
      <c r="D424" t="s">
        <v>3095</v>
      </c>
      <c r="E424">
        <v>2023</v>
      </c>
      <c r="F424" t="s">
        <v>3032</v>
      </c>
      <c r="G424">
        <v>18</v>
      </c>
      <c r="H424" s="32">
        <v>45845</v>
      </c>
      <c r="I424" t="s">
        <v>3096</v>
      </c>
      <c r="M424">
        <v>0</v>
      </c>
      <c r="N424" t="s">
        <v>3097</v>
      </c>
      <c r="O424" t="s">
        <v>3098</v>
      </c>
      <c r="P424" s="22" t="str">
        <f>HYPERLINK(O424)</f>
        <v>https://www.scopus.com/inward/record.uri?eid=2-s2.0-85165518490&amp;doi=10.1371%2fjournal.pone.0287695&amp;partnerID=40&amp;md5=dce50db6cbe9bcd9a216ff9f29a0626e</v>
      </c>
      <c r="Q424" t="s">
        <v>156</v>
      </c>
      <c r="R424" t="s">
        <v>48</v>
      </c>
      <c r="S424" t="s">
        <v>225</v>
      </c>
      <c r="T424" t="s">
        <v>6</v>
      </c>
      <c r="U424" t="s">
        <v>3099</v>
      </c>
      <c r="V424" s="36">
        <v>0</v>
      </c>
      <c r="W424" s="27">
        <v>0</v>
      </c>
      <c r="X424" s="27">
        <v>0</v>
      </c>
      <c r="Y424" s="27">
        <v>0</v>
      </c>
      <c r="Z424" s="27">
        <v>0</v>
      </c>
      <c r="AA424" s="27">
        <v>0</v>
      </c>
      <c r="AB424" s="27">
        <v>0</v>
      </c>
      <c r="AC424" s="27">
        <v>0</v>
      </c>
      <c r="AD424" s="27">
        <v>0</v>
      </c>
      <c r="AE424" s="27">
        <v>0</v>
      </c>
      <c r="AF424" s="27">
        <v>0</v>
      </c>
      <c r="AG424" s="27">
        <v>0</v>
      </c>
      <c r="AH424" s="27">
        <v>0</v>
      </c>
      <c r="AJ424">
        <f t="shared" si="6"/>
        <v>0</v>
      </c>
    </row>
    <row r="425" spans="1:36">
      <c r="A425" t="s">
        <v>3100</v>
      </c>
      <c r="B425" t="s">
        <v>3101</v>
      </c>
      <c r="C425" t="s">
        <v>3102</v>
      </c>
      <c r="D425" t="s">
        <v>3103</v>
      </c>
      <c r="E425">
        <v>2024</v>
      </c>
      <c r="F425" t="s">
        <v>3032</v>
      </c>
      <c r="G425">
        <v>19</v>
      </c>
      <c r="H425">
        <v>5</v>
      </c>
      <c r="I425" t="s">
        <v>3104</v>
      </c>
      <c r="M425">
        <v>0</v>
      </c>
      <c r="N425" t="s">
        <v>3105</v>
      </c>
      <c r="O425" t="s">
        <v>3106</v>
      </c>
      <c r="P425" s="22" t="str">
        <f>HYPERLINK(O425)</f>
        <v>https://www.scopus.com/inward/record.uri?eid=2-s2.0-85193843327&amp;doi=10.1371%2fjournal.pone.0300392&amp;partnerID=40&amp;md5=0ffac37caed751a0c731f8d465dcc3ca</v>
      </c>
      <c r="Q425" t="s">
        <v>156</v>
      </c>
      <c r="R425" t="s">
        <v>48</v>
      </c>
      <c r="S425" t="s">
        <v>225</v>
      </c>
      <c r="T425" t="s">
        <v>6</v>
      </c>
      <c r="U425" t="s">
        <v>3107</v>
      </c>
      <c r="V425" s="36">
        <v>0</v>
      </c>
      <c r="W425" s="27">
        <v>0</v>
      </c>
      <c r="X425" s="27">
        <v>0</v>
      </c>
      <c r="Y425" s="27">
        <v>0</v>
      </c>
      <c r="Z425" s="27">
        <v>0</v>
      </c>
      <c r="AA425" s="27">
        <v>0</v>
      </c>
      <c r="AB425" s="27">
        <v>1</v>
      </c>
      <c r="AC425" s="27">
        <v>0</v>
      </c>
      <c r="AD425" s="27">
        <v>0</v>
      </c>
      <c r="AE425" s="27">
        <v>0</v>
      </c>
      <c r="AF425" s="27">
        <v>0</v>
      </c>
      <c r="AG425" s="27">
        <v>0</v>
      </c>
      <c r="AH425" s="27">
        <v>0</v>
      </c>
      <c r="AJ425">
        <f t="shared" si="6"/>
        <v>1</v>
      </c>
    </row>
    <row r="426" spans="1:36">
      <c r="A426" t="s">
        <v>3108</v>
      </c>
      <c r="B426" t="s">
        <v>3109</v>
      </c>
      <c r="C426" t="s">
        <v>3110</v>
      </c>
      <c r="D426" t="s">
        <v>3111</v>
      </c>
      <c r="E426">
        <v>2016</v>
      </c>
      <c r="F426" t="s">
        <v>3032</v>
      </c>
      <c r="G426">
        <v>11</v>
      </c>
      <c r="H426">
        <v>5</v>
      </c>
      <c r="I426" t="s">
        <v>3112</v>
      </c>
      <c r="M426">
        <v>43</v>
      </c>
      <c r="N426" t="s">
        <v>3113</v>
      </c>
      <c r="O426" t="s">
        <v>3114</v>
      </c>
      <c r="P426" s="22" t="str">
        <f>HYPERLINK(O426)</f>
        <v>https://www.scopus.com/inward/record.uri?eid=2-s2.0-84969835085&amp;doi=10.1371%2fjournal.pone.0154885&amp;partnerID=40&amp;md5=22565cb7c449f09d128a248e6b5febc0</v>
      </c>
      <c r="Q426" t="s">
        <v>156</v>
      </c>
      <c r="R426" t="s">
        <v>48</v>
      </c>
      <c r="S426" t="s">
        <v>225</v>
      </c>
      <c r="T426" t="s">
        <v>6</v>
      </c>
      <c r="U426" t="s">
        <v>3115</v>
      </c>
      <c r="V426" s="36">
        <v>0</v>
      </c>
      <c r="W426" s="27">
        <v>0</v>
      </c>
      <c r="X426" s="27">
        <v>0</v>
      </c>
      <c r="Y426" s="27">
        <v>0</v>
      </c>
      <c r="Z426" s="27">
        <v>0</v>
      </c>
      <c r="AA426" s="27">
        <v>0</v>
      </c>
      <c r="AB426" s="27">
        <v>0</v>
      </c>
      <c r="AC426" s="27">
        <v>0</v>
      </c>
      <c r="AD426" s="27">
        <v>0</v>
      </c>
      <c r="AE426" s="27">
        <v>0</v>
      </c>
      <c r="AF426" s="27">
        <v>0</v>
      </c>
      <c r="AG426" s="27">
        <v>0</v>
      </c>
      <c r="AH426" s="27">
        <v>0</v>
      </c>
      <c r="AJ426">
        <f t="shared" si="6"/>
        <v>0</v>
      </c>
    </row>
    <row r="427" spans="1:36">
      <c r="A427" t="s">
        <v>3116</v>
      </c>
      <c r="B427" t="s">
        <v>3117</v>
      </c>
      <c r="C427">
        <v>6701525263</v>
      </c>
      <c r="D427" t="s">
        <v>3118</v>
      </c>
      <c r="E427">
        <v>2002</v>
      </c>
      <c r="F427" t="s">
        <v>3119</v>
      </c>
      <c r="G427">
        <v>7</v>
      </c>
      <c r="J427">
        <v>207</v>
      </c>
      <c r="K427">
        <v>214</v>
      </c>
      <c r="L427">
        <v>7</v>
      </c>
      <c r="M427">
        <v>0</v>
      </c>
      <c r="O427" t="s">
        <v>3120</v>
      </c>
      <c r="P427" s="22" t="str">
        <f>HYPERLINK(O427)</f>
        <v>https://www.scopus.com/inward/record.uri?eid=2-s2.0-0036994358&amp;partnerID=40&amp;md5=4497624a11b5bcc14ac474ecf38d8195</v>
      </c>
      <c r="Q427" t="s">
        <v>156</v>
      </c>
      <c r="R427" t="s">
        <v>48</v>
      </c>
      <c r="T427" t="s">
        <v>6</v>
      </c>
      <c r="U427" t="s">
        <v>3121</v>
      </c>
      <c r="V427" s="36">
        <v>0</v>
      </c>
      <c r="W427" s="27">
        <v>0</v>
      </c>
      <c r="X427" s="27">
        <v>0</v>
      </c>
      <c r="Y427" s="27">
        <v>0</v>
      </c>
      <c r="Z427" s="27">
        <v>0</v>
      </c>
      <c r="AA427" s="27">
        <v>0</v>
      </c>
      <c r="AB427" s="27">
        <v>0</v>
      </c>
      <c r="AC427" s="27">
        <v>0</v>
      </c>
      <c r="AD427" s="27">
        <v>0</v>
      </c>
      <c r="AE427" s="27">
        <v>0</v>
      </c>
      <c r="AF427" s="27">
        <v>0</v>
      </c>
      <c r="AG427" s="27">
        <v>0</v>
      </c>
      <c r="AH427" s="27">
        <v>1</v>
      </c>
      <c r="AJ427">
        <f t="shared" si="6"/>
        <v>1</v>
      </c>
    </row>
    <row r="428" spans="1:36">
      <c r="A428" t="s">
        <v>3122</v>
      </c>
      <c r="B428" t="s">
        <v>3123</v>
      </c>
      <c r="C428" t="s">
        <v>3124</v>
      </c>
      <c r="D428" t="s">
        <v>3125</v>
      </c>
      <c r="E428">
        <v>2024</v>
      </c>
      <c r="F428" t="s">
        <v>3126</v>
      </c>
      <c r="J428">
        <v>563</v>
      </c>
      <c r="K428">
        <v>592</v>
      </c>
      <c r="L428">
        <v>29</v>
      </c>
      <c r="M428">
        <v>0</v>
      </c>
      <c r="N428" t="s">
        <v>3127</v>
      </c>
      <c r="O428" t="s">
        <v>3128</v>
      </c>
      <c r="P428" s="22" t="str">
        <f>HYPERLINK(O428)</f>
        <v>https://www.scopus.com/inward/record.uri?eid=2-s2.0-85212896440&amp;doi=10.1016%2fB978-0-443-22259-7.00020-5&amp;partnerID=40&amp;md5=c0a17d0105b0e75fbd5db3df1c9deb48</v>
      </c>
      <c r="Q428" t="s">
        <v>216</v>
      </c>
      <c r="R428" t="s">
        <v>48</v>
      </c>
      <c r="T428" t="s">
        <v>6</v>
      </c>
      <c r="U428" t="s">
        <v>3129</v>
      </c>
      <c r="V428" s="36">
        <v>0</v>
      </c>
      <c r="W428" s="27">
        <v>1</v>
      </c>
      <c r="X428" s="27">
        <v>0</v>
      </c>
      <c r="Y428" s="27">
        <v>0</v>
      </c>
      <c r="Z428" s="27">
        <v>0</v>
      </c>
      <c r="AA428" s="27">
        <v>0</v>
      </c>
      <c r="AB428" s="27">
        <v>0</v>
      </c>
      <c r="AC428" s="27">
        <v>0</v>
      </c>
      <c r="AD428" s="27">
        <v>0</v>
      </c>
      <c r="AE428" s="27">
        <v>0</v>
      </c>
      <c r="AF428" s="27">
        <v>0</v>
      </c>
      <c r="AG428" s="27">
        <v>0</v>
      </c>
      <c r="AH428" s="27">
        <v>0</v>
      </c>
      <c r="AJ428">
        <f t="shared" si="6"/>
        <v>1</v>
      </c>
    </row>
    <row r="429" spans="1:36">
      <c r="A429" t="s">
        <v>3130</v>
      </c>
      <c r="B429" t="s">
        <v>3131</v>
      </c>
      <c r="C429" t="s">
        <v>3132</v>
      </c>
      <c r="D429" t="s">
        <v>3133</v>
      </c>
      <c r="E429">
        <v>2018</v>
      </c>
      <c r="F429" t="s">
        <v>3134</v>
      </c>
      <c r="G429">
        <v>16</v>
      </c>
      <c r="H429">
        <v>1</v>
      </c>
      <c r="J429">
        <v>48</v>
      </c>
      <c r="K429">
        <v>57</v>
      </c>
      <c r="L429">
        <v>9</v>
      </c>
      <c r="M429">
        <v>22</v>
      </c>
      <c r="N429" t="s">
        <v>3135</v>
      </c>
      <c r="O429" t="s">
        <v>3136</v>
      </c>
      <c r="P429" s="22" t="str">
        <f>HYPERLINK(O429)</f>
        <v>https://www.scopus.com/inward/record.uri?eid=2-s2.0-85041365948&amp;doi=10.21511%2fppm.16%281%29.2018.05&amp;partnerID=40&amp;md5=e0ebae52d05620a8aaa1e9ca16e604de</v>
      </c>
      <c r="Q429" t="s">
        <v>184</v>
      </c>
      <c r="R429" t="s">
        <v>48</v>
      </c>
      <c r="S429" t="s">
        <v>225</v>
      </c>
      <c r="T429" t="s">
        <v>6</v>
      </c>
      <c r="U429" t="s">
        <v>3137</v>
      </c>
      <c r="V429" s="36">
        <v>0</v>
      </c>
      <c r="W429" s="27">
        <v>0</v>
      </c>
      <c r="X429" s="27">
        <v>0</v>
      </c>
      <c r="Y429" s="27">
        <v>0</v>
      </c>
      <c r="Z429" s="27">
        <v>0</v>
      </c>
      <c r="AA429" s="27">
        <v>0</v>
      </c>
      <c r="AB429" s="27">
        <v>0</v>
      </c>
      <c r="AC429" s="27">
        <v>0</v>
      </c>
      <c r="AD429" s="27">
        <v>0</v>
      </c>
      <c r="AE429" s="27">
        <v>0</v>
      </c>
      <c r="AF429" s="27">
        <v>0</v>
      </c>
      <c r="AG429" s="27">
        <v>0</v>
      </c>
      <c r="AH429" s="27">
        <v>1</v>
      </c>
      <c r="AJ429">
        <f t="shared" si="6"/>
        <v>1</v>
      </c>
    </row>
    <row r="430" spans="1:36">
      <c r="A430" t="s">
        <v>3138</v>
      </c>
      <c r="B430" t="s">
        <v>3139</v>
      </c>
      <c r="C430" t="s">
        <v>3140</v>
      </c>
      <c r="D430" t="s">
        <v>3141</v>
      </c>
      <c r="E430">
        <v>2018</v>
      </c>
      <c r="F430" t="s">
        <v>3134</v>
      </c>
      <c r="G430">
        <v>16</v>
      </c>
      <c r="H430">
        <v>4</v>
      </c>
      <c r="J430">
        <v>91</v>
      </c>
      <c r="K430">
        <v>101</v>
      </c>
      <c r="L430">
        <v>10</v>
      </c>
      <c r="M430">
        <v>6</v>
      </c>
      <c r="N430" t="s">
        <v>3142</v>
      </c>
      <c r="O430" t="s">
        <v>3143</v>
      </c>
      <c r="P430" s="22" t="str">
        <f>HYPERLINK(O430)</f>
        <v>https://www.scopus.com/inward/record.uri?eid=2-s2.0-85063178828&amp;doi=10.21511%2fppm.16%284%29.2018.09&amp;partnerID=40&amp;md5=6a19f888c88550baa7e207189451f486</v>
      </c>
      <c r="Q430" t="s">
        <v>156</v>
      </c>
      <c r="R430" t="s">
        <v>48</v>
      </c>
      <c r="S430" t="s">
        <v>185</v>
      </c>
      <c r="T430" t="s">
        <v>6</v>
      </c>
      <c r="U430" t="s">
        <v>3144</v>
      </c>
      <c r="V430" s="36">
        <v>1</v>
      </c>
      <c r="W430" s="27">
        <v>0</v>
      </c>
      <c r="X430" s="27">
        <v>0</v>
      </c>
      <c r="Y430" s="27">
        <v>0</v>
      </c>
      <c r="Z430" s="27">
        <v>0</v>
      </c>
      <c r="AA430" s="27">
        <v>0</v>
      </c>
      <c r="AB430" s="27">
        <v>0</v>
      </c>
      <c r="AC430" s="27">
        <v>0</v>
      </c>
      <c r="AD430" s="27">
        <v>0</v>
      </c>
      <c r="AE430" s="27">
        <v>0</v>
      </c>
      <c r="AF430" s="27">
        <v>0</v>
      </c>
      <c r="AG430" s="27">
        <v>0</v>
      </c>
      <c r="AH430" s="27">
        <v>0</v>
      </c>
      <c r="AJ430">
        <f t="shared" si="6"/>
        <v>1</v>
      </c>
    </row>
    <row r="431" spans="1:36">
      <c r="D431" t="s">
        <v>3145</v>
      </c>
      <c r="E431">
        <v>2010</v>
      </c>
      <c r="F431" t="s">
        <v>3145</v>
      </c>
      <c r="L431">
        <v>977</v>
      </c>
      <c r="M431">
        <v>0</v>
      </c>
      <c r="O431" t="s">
        <v>3146</v>
      </c>
      <c r="P431" s="22" t="str">
        <f>HYPERLINK(O431)</f>
        <v>https://www.scopus.com/inward/record.uri?eid=2-s2.0-78651427563&amp;partnerID=40&amp;md5=2cd5b4e7526ef4de8165a0e5f30f0843</v>
      </c>
      <c r="Q431" t="s">
        <v>47</v>
      </c>
      <c r="R431" t="s">
        <v>48</v>
      </c>
      <c r="T431" t="s">
        <v>6</v>
      </c>
      <c r="U431" t="s">
        <v>3147</v>
      </c>
      <c r="V431" s="36">
        <v>0</v>
      </c>
      <c r="W431" s="27">
        <v>0</v>
      </c>
      <c r="X431" s="27">
        <v>0</v>
      </c>
      <c r="Y431" s="27">
        <v>0</v>
      </c>
      <c r="Z431" s="27">
        <v>0</v>
      </c>
      <c r="AA431" s="27">
        <v>0</v>
      </c>
      <c r="AB431" s="27">
        <v>0</v>
      </c>
      <c r="AC431" s="27">
        <v>0</v>
      </c>
      <c r="AD431" s="27">
        <v>0</v>
      </c>
      <c r="AE431" s="27">
        <v>0</v>
      </c>
      <c r="AF431" s="27">
        <v>0</v>
      </c>
      <c r="AG431" s="27">
        <v>0</v>
      </c>
      <c r="AH431" s="27">
        <v>1</v>
      </c>
      <c r="AJ431">
        <f t="shared" si="6"/>
        <v>1</v>
      </c>
    </row>
    <row r="432" spans="1:36">
      <c r="A432" t="s">
        <v>3148</v>
      </c>
      <c r="B432" t="s">
        <v>3149</v>
      </c>
      <c r="C432">
        <v>55320581100</v>
      </c>
      <c r="D432" t="s">
        <v>3150</v>
      </c>
      <c r="E432">
        <v>2012</v>
      </c>
      <c r="F432" t="s">
        <v>3151</v>
      </c>
      <c r="I432">
        <v>6219278</v>
      </c>
      <c r="J432">
        <v>668</v>
      </c>
      <c r="K432">
        <v>671</v>
      </c>
      <c r="L432">
        <v>3</v>
      </c>
      <c r="M432">
        <v>0</v>
      </c>
      <c r="N432" t="s">
        <v>3152</v>
      </c>
      <c r="O432" t="s">
        <v>3153</v>
      </c>
      <c r="P432" s="22" t="str">
        <f>HYPERLINK(O432)</f>
        <v>https://www.scopus.com/inward/record.uri?eid=2-s2.0-84864211900&amp;doi=10.1109%2fISRA.2012.6219278&amp;partnerID=40&amp;md5=97b095f06dd935754dd464f88d5d2e2a</v>
      </c>
      <c r="Q432" t="s">
        <v>62</v>
      </c>
      <c r="R432" t="s">
        <v>48</v>
      </c>
      <c r="T432" t="s">
        <v>6</v>
      </c>
      <c r="U432" t="s">
        <v>3154</v>
      </c>
      <c r="V432" s="36">
        <v>0</v>
      </c>
      <c r="W432" s="27">
        <v>0</v>
      </c>
      <c r="X432" s="27">
        <v>0</v>
      </c>
      <c r="Y432" s="27">
        <v>0</v>
      </c>
      <c r="Z432" s="27">
        <v>0</v>
      </c>
      <c r="AA432" s="27">
        <v>0</v>
      </c>
      <c r="AB432" s="27">
        <v>0</v>
      </c>
      <c r="AC432" s="27">
        <v>0</v>
      </c>
      <c r="AD432" s="27">
        <v>0</v>
      </c>
      <c r="AE432" s="27">
        <v>0</v>
      </c>
      <c r="AF432" s="27">
        <v>1</v>
      </c>
      <c r="AG432" s="27">
        <v>0</v>
      </c>
      <c r="AH432" s="27">
        <v>0</v>
      </c>
      <c r="AJ432">
        <f t="shared" si="6"/>
        <v>1</v>
      </c>
    </row>
    <row r="433" spans="1:36">
      <c r="A433" t="s">
        <v>3155</v>
      </c>
      <c r="B433" t="s">
        <v>3156</v>
      </c>
      <c r="C433" t="s">
        <v>3157</v>
      </c>
      <c r="D433" t="s">
        <v>3158</v>
      </c>
      <c r="E433">
        <v>2014</v>
      </c>
      <c r="F433" t="s">
        <v>3159</v>
      </c>
      <c r="I433">
        <v>6906771</v>
      </c>
      <c r="J433">
        <v>136</v>
      </c>
      <c r="K433">
        <v>143</v>
      </c>
      <c r="L433">
        <v>7</v>
      </c>
      <c r="M433">
        <v>56</v>
      </c>
      <c r="N433" t="s">
        <v>3160</v>
      </c>
      <c r="O433" t="s">
        <v>3161</v>
      </c>
      <c r="P433" s="22" t="str">
        <f>HYPERLINK(O433)</f>
        <v>https://www.scopus.com/inward/record.uri?eid=2-s2.0-84923882854&amp;doi=10.1109%2fBigData.Congress.2014.28&amp;partnerID=40&amp;md5=da80fed1bd69fcf061fc647d0d28d34f</v>
      </c>
      <c r="Q433" t="s">
        <v>62</v>
      </c>
      <c r="R433" t="s">
        <v>48</v>
      </c>
      <c r="T433" t="s">
        <v>6</v>
      </c>
      <c r="U433" t="s">
        <v>3162</v>
      </c>
      <c r="V433" s="36">
        <v>0</v>
      </c>
      <c r="W433" s="27">
        <v>0</v>
      </c>
      <c r="X433" s="27">
        <v>0</v>
      </c>
      <c r="Y433" s="27">
        <v>0</v>
      </c>
      <c r="Z433" s="27">
        <v>0</v>
      </c>
      <c r="AA433" s="27">
        <v>0</v>
      </c>
      <c r="AB433" s="27">
        <v>0</v>
      </c>
      <c r="AC433" s="27">
        <v>0</v>
      </c>
      <c r="AD433" s="27">
        <v>0</v>
      </c>
      <c r="AE433" s="27">
        <v>0</v>
      </c>
      <c r="AF433" s="27">
        <v>0</v>
      </c>
      <c r="AG433" s="27">
        <v>0</v>
      </c>
      <c r="AH433" s="27">
        <v>1</v>
      </c>
      <c r="AJ433">
        <f t="shared" si="6"/>
        <v>1</v>
      </c>
    </row>
    <row r="434" spans="1:36">
      <c r="A434" t="s">
        <v>3163</v>
      </c>
      <c r="B434" t="s">
        <v>3164</v>
      </c>
      <c r="C434" t="s">
        <v>3165</v>
      </c>
      <c r="D434" t="s">
        <v>3166</v>
      </c>
      <c r="E434">
        <v>2013</v>
      </c>
      <c r="F434" t="s">
        <v>3167</v>
      </c>
      <c r="I434">
        <v>6714743</v>
      </c>
      <c r="J434">
        <v>62</v>
      </c>
      <c r="K434">
        <v>66</v>
      </c>
      <c r="L434">
        <v>4</v>
      </c>
      <c r="M434">
        <v>2</v>
      </c>
      <c r="N434" t="s">
        <v>3168</v>
      </c>
      <c r="O434" t="s">
        <v>3169</v>
      </c>
      <c r="P434" s="22" t="str">
        <f>HYPERLINK(O434)</f>
        <v>https://www.scopus.com/inward/record.uri?eid=2-s2.0-84897894676&amp;doi=10.1109%2fGSIS.2013.6714743&amp;partnerID=40&amp;md5=dc04b1ad4d1278f9fc26884411762000</v>
      </c>
      <c r="Q434" t="s">
        <v>62</v>
      </c>
      <c r="R434" t="s">
        <v>48</v>
      </c>
      <c r="T434" t="s">
        <v>6</v>
      </c>
      <c r="U434" t="s">
        <v>3170</v>
      </c>
      <c r="V434" s="36">
        <v>0</v>
      </c>
      <c r="W434" s="27">
        <v>1</v>
      </c>
      <c r="X434" s="27">
        <v>0</v>
      </c>
      <c r="Y434" s="27">
        <v>0</v>
      </c>
      <c r="Z434" s="27">
        <v>0</v>
      </c>
      <c r="AA434" s="27">
        <v>0</v>
      </c>
      <c r="AB434" s="27">
        <v>0</v>
      </c>
      <c r="AC434" s="27">
        <v>0</v>
      </c>
      <c r="AD434" s="27">
        <v>0</v>
      </c>
      <c r="AE434" s="27">
        <v>0</v>
      </c>
      <c r="AF434" s="27">
        <v>0</v>
      </c>
      <c r="AG434" s="27">
        <v>0</v>
      </c>
      <c r="AH434" s="27">
        <v>0</v>
      </c>
      <c r="AJ434">
        <f t="shared" si="6"/>
        <v>1</v>
      </c>
    </row>
    <row r="435" spans="1:36">
      <c r="D435" t="s">
        <v>3171</v>
      </c>
      <c r="E435">
        <v>2013</v>
      </c>
      <c r="F435" t="s">
        <v>3167</v>
      </c>
      <c r="L435">
        <v>576</v>
      </c>
      <c r="M435">
        <v>0</v>
      </c>
      <c r="O435" t="s">
        <v>3172</v>
      </c>
      <c r="P435" s="22" t="str">
        <f>HYPERLINK(O435)</f>
        <v>https://www.scopus.com/inward/record.uri?eid=2-s2.0-84897859620&amp;partnerID=40&amp;md5=4a0263a19f2ab512a096209f177a6557</v>
      </c>
      <c r="Q435" t="s">
        <v>47</v>
      </c>
      <c r="R435" t="s">
        <v>48</v>
      </c>
      <c r="T435" t="s">
        <v>6</v>
      </c>
      <c r="U435" t="s">
        <v>3173</v>
      </c>
      <c r="V435" s="36">
        <v>0</v>
      </c>
      <c r="W435" s="27">
        <v>0</v>
      </c>
      <c r="X435" s="27">
        <v>0</v>
      </c>
      <c r="Y435" s="27">
        <v>0</v>
      </c>
      <c r="Z435" s="27">
        <v>0</v>
      </c>
      <c r="AA435" s="27">
        <v>0</v>
      </c>
      <c r="AB435" s="27">
        <v>0</v>
      </c>
      <c r="AC435" s="27">
        <v>0</v>
      </c>
      <c r="AD435" s="27">
        <v>0</v>
      </c>
      <c r="AE435" s="27">
        <v>0</v>
      </c>
      <c r="AF435" s="27">
        <v>0</v>
      </c>
      <c r="AG435" s="27">
        <v>0</v>
      </c>
      <c r="AH435" s="27">
        <v>1</v>
      </c>
      <c r="AJ435">
        <f t="shared" si="6"/>
        <v>1</v>
      </c>
    </row>
    <row r="436" spans="1:36">
      <c r="A436" t="s">
        <v>3174</v>
      </c>
      <c r="B436" t="s">
        <v>3175</v>
      </c>
      <c r="C436">
        <v>56967840500</v>
      </c>
      <c r="D436" t="s">
        <v>3176</v>
      </c>
      <c r="E436">
        <v>2019</v>
      </c>
      <c r="F436" t="s">
        <v>3177</v>
      </c>
      <c r="J436">
        <v>215</v>
      </c>
      <c r="K436">
        <v>225</v>
      </c>
      <c r="L436">
        <v>10</v>
      </c>
      <c r="M436">
        <v>1</v>
      </c>
      <c r="O436" t="s">
        <v>3178</v>
      </c>
      <c r="P436" s="22" t="str">
        <f>HYPERLINK(O436)</f>
        <v>https://www.scopus.com/inward/record.uri?eid=2-s2.0-85074068069&amp;partnerID=40&amp;md5=6c8898e4b9aa94842f67bf9e0e3c1165</v>
      </c>
      <c r="Q436" t="s">
        <v>62</v>
      </c>
      <c r="R436" t="s">
        <v>48</v>
      </c>
      <c r="T436" t="s">
        <v>6</v>
      </c>
      <c r="U436" t="s">
        <v>3179</v>
      </c>
      <c r="V436" s="36">
        <v>0</v>
      </c>
      <c r="W436" s="27">
        <v>0</v>
      </c>
      <c r="X436" s="27">
        <v>0</v>
      </c>
      <c r="Y436" s="27">
        <v>0</v>
      </c>
      <c r="Z436" s="27">
        <v>0</v>
      </c>
      <c r="AA436" s="27">
        <v>0</v>
      </c>
      <c r="AB436" s="27">
        <v>0</v>
      </c>
      <c r="AC436" s="27">
        <v>0</v>
      </c>
      <c r="AD436" s="27">
        <v>0</v>
      </c>
      <c r="AE436" s="27">
        <v>0</v>
      </c>
      <c r="AF436" s="27">
        <v>1</v>
      </c>
      <c r="AG436" s="27">
        <v>0</v>
      </c>
      <c r="AH436" s="27">
        <v>0</v>
      </c>
      <c r="AJ436">
        <f t="shared" si="6"/>
        <v>1</v>
      </c>
    </row>
    <row r="437" spans="1:36">
      <c r="A437" t="s">
        <v>3180</v>
      </c>
      <c r="B437" t="s">
        <v>3181</v>
      </c>
      <c r="C437" t="s">
        <v>3182</v>
      </c>
      <c r="D437" t="s">
        <v>3183</v>
      </c>
      <c r="E437">
        <v>1994</v>
      </c>
      <c r="F437" t="s">
        <v>3184</v>
      </c>
      <c r="J437">
        <v>504</v>
      </c>
      <c r="K437">
        <v>513</v>
      </c>
      <c r="L437">
        <v>9</v>
      </c>
      <c r="M437">
        <v>6</v>
      </c>
      <c r="O437" t="s">
        <v>3185</v>
      </c>
      <c r="P437" s="22" t="str">
        <f>HYPERLINK(O437)</f>
        <v>https://www.scopus.com/inward/record.uri?eid=2-s2.0-0028259460&amp;partnerID=40&amp;md5=230b06de6a8e89b419abd10e6ed6b5ab</v>
      </c>
      <c r="Q437" t="s">
        <v>62</v>
      </c>
      <c r="R437" t="s">
        <v>48</v>
      </c>
      <c r="T437" t="s">
        <v>6</v>
      </c>
      <c r="U437" t="s">
        <v>3186</v>
      </c>
      <c r="V437" s="36">
        <v>0</v>
      </c>
      <c r="W437" s="27">
        <v>1</v>
      </c>
      <c r="X437" s="27">
        <v>0</v>
      </c>
      <c r="Y437" s="27">
        <v>0</v>
      </c>
      <c r="Z437" s="27">
        <v>0</v>
      </c>
      <c r="AA437" s="27">
        <v>0</v>
      </c>
      <c r="AB437" s="27">
        <v>0</v>
      </c>
      <c r="AC437" s="27">
        <v>0</v>
      </c>
      <c r="AD437" s="27">
        <v>0</v>
      </c>
      <c r="AE437" s="27">
        <v>0</v>
      </c>
      <c r="AF437" s="27">
        <v>0</v>
      </c>
      <c r="AG437" s="27">
        <v>0</v>
      </c>
      <c r="AH437" s="27">
        <v>0</v>
      </c>
      <c r="AJ437">
        <f t="shared" si="6"/>
        <v>1</v>
      </c>
    </row>
    <row r="438" spans="1:36">
      <c r="A438" t="s">
        <v>3187</v>
      </c>
      <c r="B438" t="s">
        <v>3188</v>
      </c>
      <c r="C438" t="s">
        <v>3189</v>
      </c>
      <c r="D438" t="s">
        <v>3190</v>
      </c>
      <c r="E438">
        <v>2005</v>
      </c>
      <c r="F438" t="s">
        <v>3191</v>
      </c>
      <c r="G438">
        <v>2</v>
      </c>
      <c r="J438">
        <v>973</v>
      </c>
      <c r="K438">
        <v>984</v>
      </c>
      <c r="L438">
        <v>11</v>
      </c>
      <c r="M438">
        <v>2</v>
      </c>
      <c r="O438" t="s">
        <v>3192</v>
      </c>
      <c r="P438" s="22" t="str">
        <f>HYPERLINK(O438)</f>
        <v>https://www.scopus.com/inward/record.uri?eid=2-s2.0-84859361810&amp;partnerID=40&amp;md5=772e57ccd10856a43b756eaa8599770e</v>
      </c>
      <c r="Q438" t="s">
        <v>62</v>
      </c>
      <c r="R438" t="s">
        <v>48</v>
      </c>
      <c r="T438" t="s">
        <v>6</v>
      </c>
      <c r="U438" t="s">
        <v>3193</v>
      </c>
      <c r="V438" s="36">
        <v>0</v>
      </c>
      <c r="W438" s="27">
        <v>0</v>
      </c>
      <c r="X438" s="27">
        <v>0</v>
      </c>
      <c r="Y438" s="27">
        <v>0</v>
      </c>
      <c r="Z438" s="27">
        <v>0</v>
      </c>
      <c r="AA438" s="27">
        <v>0</v>
      </c>
      <c r="AB438" s="27">
        <v>0</v>
      </c>
      <c r="AC438" s="27">
        <v>0</v>
      </c>
      <c r="AD438" s="27">
        <v>0</v>
      </c>
      <c r="AE438" s="27">
        <v>0</v>
      </c>
      <c r="AF438" s="27">
        <v>0</v>
      </c>
      <c r="AG438" s="27">
        <v>0</v>
      </c>
      <c r="AH438" s="27">
        <v>1</v>
      </c>
      <c r="AJ438">
        <f t="shared" si="6"/>
        <v>1</v>
      </c>
    </row>
    <row r="439" spans="1:36">
      <c r="A439" t="s">
        <v>3194</v>
      </c>
      <c r="B439" t="s">
        <v>3195</v>
      </c>
      <c r="C439" t="s">
        <v>3196</v>
      </c>
      <c r="D439" t="s">
        <v>3197</v>
      </c>
      <c r="E439">
        <v>2022</v>
      </c>
      <c r="F439" t="s">
        <v>3198</v>
      </c>
      <c r="J439">
        <v>6303</v>
      </c>
      <c r="K439">
        <v>6308</v>
      </c>
      <c r="L439">
        <v>5</v>
      </c>
      <c r="M439">
        <v>1</v>
      </c>
      <c r="N439" t="s">
        <v>3199</v>
      </c>
      <c r="O439" t="s">
        <v>3200</v>
      </c>
      <c r="P439" s="22" t="str">
        <f>HYPERLINK(O439)</f>
        <v>https://www.scopus.com/inward/record.uri?eid=2-s2.0-85178378271&amp;doi=10.3850%2fIAHR-39WC2521716X2022214&amp;partnerID=40&amp;md5=80db45653f9a6de1b1afabddd04c6677</v>
      </c>
      <c r="Q439" t="s">
        <v>62</v>
      </c>
      <c r="R439" t="s">
        <v>48</v>
      </c>
      <c r="T439" t="s">
        <v>6</v>
      </c>
      <c r="U439" t="s">
        <v>3201</v>
      </c>
      <c r="V439" s="36">
        <v>0</v>
      </c>
      <c r="W439" s="27">
        <v>0</v>
      </c>
      <c r="X439" s="27">
        <v>0</v>
      </c>
      <c r="Y439" s="27">
        <v>0</v>
      </c>
      <c r="Z439" s="27">
        <v>0</v>
      </c>
      <c r="AA439" s="27">
        <v>0</v>
      </c>
      <c r="AB439" s="27">
        <v>0</v>
      </c>
      <c r="AC439" s="27">
        <v>0</v>
      </c>
      <c r="AD439" s="27">
        <v>0</v>
      </c>
      <c r="AE439" s="27">
        <v>0</v>
      </c>
      <c r="AF439" s="27">
        <v>0</v>
      </c>
      <c r="AG439" s="27">
        <v>0</v>
      </c>
      <c r="AH439" s="27">
        <v>1</v>
      </c>
      <c r="AJ439">
        <f t="shared" si="6"/>
        <v>1</v>
      </c>
    </row>
    <row r="440" spans="1:36">
      <c r="A440" t="s">
        <v>3202</v>
      </c>
      <c r="B440" t="s">
        <v>3203</v>
      </c>
      <c r="C440" t="s">
        <v>3204</v>
      </c>
      <c r="D440" t="s">
        <v>3205</v>
      </c>
      <c r="E440">
        <v>2022</v>
      </c>
      <c r="F440" t="s">
        <v>3206</v>
      </c>
      <c r="G440" t="s">
        <v>3207</v>
      </c>
      <c r="M440">
        <v>1</v>
      </c>
      <c r="O440" t="s">
        <v>3208</v>
      </c>
      <c r="P440" s="22" t="str">
        <f>HYPERLINK(O440)</f>
        <v>https://www.scopus.com/inward/record.uri?eid=2-s2.0-85167570718&amp;partnerID=40&amp;md5=c36d4cfdd86044537da8be1388cca91f</v>
      </c>
      <c r="Q440" t="s">
        <v>62</v>
      </c>
      <c r="R440" t="s">
        <v>48</v>
      </c>
      <c r="T440" t="s">
        <v>6</v>
      </c>
      <c r="U440" t="s">
        <v>3209</v>
      </c>
      <c r="V440" s="36">
        <v>0</v>
      </c>
      <c r="W440" s="27">
        <v>1</v>
      </c>
      <c r="X440" s="27">
        <v>0</v>
      </c>
      <c r="Y440" s="27">
        <v>0</v>
      </c>
      <c r="Z440" s="27">
        <v>0</v>
      </c>
      <c r="AA440" s="27">
        <v>0</v>
      </c>
      <c r="AB440" s="27">
        <v>0</v>
      </c>
      <c r="AC440" s="27">
        <v>0</v>
      </c>
      <c r="AD440" s="27">
        <v>0</v>
      </c>
      <c r="AE440" s="27">
        <v>0</v>
      </c>
      <c r="AF440" s="27">
        <v>0</v>
      </c>
      <c r="AG440" s="27">
        <v>0</v>
      </c>
      <c r="AH440" s="27">
        <v>0</v>
      </c>
      <c r="AJ440">
        <f t="shared" si="6"/>
        <v>1</v>
      </c>
    </row>
    <row r="441" spans="1:36">
      <c r="A441" t="s">
        <v>3210</v>
      </c>
      <c r="B441" t="s">
        <v>3211</v>
      </c>
      <c r="C441" t="s">
        <v>3212</v>
      </c>
      <c r="D441" t="s">
        <v>3213</v>
      </c>
      <c r="E441">
        <v>2021</v>
      </c>
      <c r="F441" t="s">
        <v>3206</v>
      </c>
      <c r="G441" t="s">
        <v>3214</v>
      </c>
      <c r="M441">
        <v>0</v>
      </c>
      <c r="O441" t="s">
        <v>3215</v>
      </c>
      <c r="P441" s="22" t="str">
        <f>HYPERLINK(O441)</f>
        <v>https://www.scopus.com/inward/record.uri?eid=2-s2.0-85127604734&amp;partnerID=40&amp;md5=bdc6c0a6d07b9c26f1ca5e48066c36d5</v>
      </c>
      <c r="Q441" t="s">
        <v>62</v>
      </c>
      <c r="R441" t="s">
        <v>48</v>
      </c>
      <c r="T441" t="s">
        <v>6</v>
      </c>
      <c r="U441" t="s">
        <v>3216</v>
      </c>
      <c r="V441" s="36">
        <v>0</v>
      </c>
      <c r="W441" s="27">
        <v>1</v>
      </c>
      <c r="X441" s="27">
        <v>0</v>
      </c>
      <c r="Y441" s="27">
        <v>0</v>
      </c>
      <c r="Z441" s="27">
        <v>0</v>
      </c>
      <c r="AA441" s="27">
        <v>0</v>
      </c>
      <c r="AB441" s="27">
        <v>0</v>
      </c>
      <c r="AC441" s="27">
        <v>0</v>
      </c>
      <c r="AD441" s="27">
        <v>0</v>
      </c>
      <c r="AE441" s="27">
        <v>0</v>
      </c>
      <c r="AF441" s="27">
        <v>0</v>
      </c>
      <c r="AG441" s="27">
        <v>0</v>
      </c>
      <c r="AH441" s="27">
        <v>0</v>
      </c>
      <c r="AJ441">
        <f t="shared" si="6"/>
        <v>1</v>
      </c>
    </row>
    <row r="442" spans="1:36">
      <c r="A442" t="s">
        <v>3217</v>
      </c>
      <c r="B442" t="s">
        <v>3218</v>
      </c>
      <c r="C442" t="s">
        <v>3219</v>
      </c>
      <c r="D442" t="s">
        <v>3220</v>
      </c>
      <c r="E442">
        <v>2022</v>
      </c>
      <c r="F442" t="s">
        <v>3206</v>
      </c>
      <c r="G442" t="s">
        <v>3207</v>
      </c>
      <c r="M442">
        <v>0</v>
      </c>
      <c r="O442" t="s">
        <v>3221</v>
      </c>
      <c r="P442" s="22" t="str">
        <f>HYPERLINK(O442)</f>
        <v>https://www.scopus.com/inward/record.uri?eid=2-s2.0-85167608336&amp;partnerID=40&amp;md5=d026ef9d4ae4579ef741e9ccb55af232</v>
      </c>
      <c r="Q442" t="s">
        <v>62</v>
      </c>
      <c r="R442" t="s">
        <v>48</v>
      </c>
      <c r="T442" t="s">
        <v>6</v>
      </c>
      <c r="U442" t="s">
        <v>3222</v>
      </c>
      <c r="V442" s="36">
        <v>0</v>
      </c>
      <c r="W442" s="27">
        <v>1</v>
      </c>
      <c r="X442" s="27">
        <v>0</v>
      </c>
      <c r="Y442" s="27">
        <v>0</v>
      </c>
      <c r="Z442" s="27">
        <v>0</v>
      </c>
      <c r="AA442" s="27">
        <v>0</v>
      </c>
      <c r="AB442" s="27">
        <v>0</v>
      </c>
      <c r="AC442" s="27">
        <v>0</v>
      </c>
      <c r="AD442" s="27">
        <v>0</v>
      </c>
      <c r="AE442" s="27">
        <v>0</v>
      </c>
      <c r="AF442" s="27">
        <v>0</v>
      </c>
      <c r="AG442" s="27">
        <v>0</v>
      </c>
      <c r="AH442" s="27">
        <v>0</v>
      </c>
      <c r="AJ442">
        <f t="shared" si="6"/>
        <v>1</v>
      </c>
    </row>
    <row r="443" spans="1:36">
      <c r="A443" t="s">
        <v>3223</v>
      </c>
      <c r="B443" t="s">
        <v>3224</v>
      </c>
      <c r="C443" t="s">
        <v>3225</v>
      </c>
      <c r="D443" t="s">
        <v>3226</v>
      </c>
      <c r="E443">
        <v>2020</v>
      </c>
      <c r="F443" t="s">
        <v>3206</v>
      </c>
      <c r="G443" t="s">
        <v>3227</v>
      </c>
      <c r="M443">
        <v>1</v>
      </c>
      <c r="O443" t="s">
        <v>3228</v>
      </c>
      <c r="P443" s="22" t="str">
        <f>HYPERLINK(O443)</f>
        <v>https://www.scopus.com/inward/record.uri?eid=2-s2.0-85100916311&amp;partnerID=40&amp;md5=2a7c82887c19993f7dd8daffd4174cec</v>
      </c>
      <c r="Q443" t="s">
        <v>62</v>
      </c>
      <c r="R443" t="s">
        <v>48</v>
      </c>
      <c r="T443" t="s">
        <v>6</v>
      </c>
      <c r="U443" t="s">
        <v>3229</v>
      </c>
      <c r="V443" s="36">
        <v>0</v>
      </c>
      <c r="W443" s="27">
        <v>1</v>
      </c>
      <c r="X443" s="27">
        <v>0</v>
      </c>
      <c r="Y443" s="27">
        <v>0</v>
      </c>
      <c r="Z443" s="27">
        <v>0</v>
      </c>
      <c r="AA443" s="27">
        <v>0</v>
      </c>
      <c r="AB443" s="27">
        <v>0</v>
      </c>
      <c r="AC443" s="27">
        <v>0</v>
      </c>
      <c r="AD443" s="27">
        <v>0</v>
      </c>
      <c r="AE443" s="27">
        <v>0</v>
      </c>
      <c r="AF443" s="27">
        <v>0</v>
      </c>
      <c r="AG443" s="27">
        <v>0</v>
      </c>
      <c r="AH443" s="27">
        <v>0</v>
      </c>
      <c r="AJ443">
        <f t="shared" si="6"/>
        <v>1</v>
      </c>
    </row>
    <row r="444" spans="1:36">
      <c r="A444" t="s">
        <v>3230</v>
      </c>
      <c r="B444" t="s">
        <v>3231</v>
      </c>
      <c r="C444" t="s">
        <v>3232</v>
      </c>
      <c r="D444" t="s">
        <v>3233</v>
      </c>
      <c r="E444">
        <v>2022</v>
      </c>
      <c r="F444" t="s">
        <v>3206</v>
      </c>
      <c r="G444" t="s">
        <v>3207</v>
      </c>
      <c r="M444">
        <v>0</v>
      </c>
      <c r="O444" t="s">
        <v>3234</v>
      </c>
      <c r="P444" s="22" t="str">
        <f>HYPERLINK(O444)</f>
        <v>https://www.scopus.com/inward/record.uri?eid=2-s2.0-85167611777&amp;partnerID=40&amp;md5=4da20c77411a33669baba2c321ae98a9</v>
      </c>
      <c r="Q444" t="s">
        <v>62</v>
      </c>
      <c r="R444" t="s">
        <v>48</v>
      </c>
      <c r="T444" t="s">
        <v>6</v>
      </c>
      <c r="U444" t="s">
        <v>3235</v>
      </c>
      <c r="V444" s="36">
        <v>0</v>
      </c>
      <c r="W444" s="27">
        <v>1</v>
      </c>
      <c r="X444" s="27">
        <v>0</v>
      </c>
      <c r="Y444" s="27">
        <v>0</v>
      </c>
      <c r="Z444" s="27">
        <v>0</v>
      </c>
      <c r="AA444" s="27">
        <v>0</v>
      </c>
      <c r="AB444" s="27">
        <v>0</v>
      </c>
      <c r="AC444" s="27">
        <v>0</v>
      </c>
      <c r="AD444" s="27">
        <v>0</v>
      </c>
      <c r="AE444" s="27">
        <v>0</v>
      </c>
      <c r="AF444" s="27">
        <v>0</v>
      </c>
      <c r="AG444" s="27">
        <v>0</v>
      </c>
      <c r="AH444" s="27">
        <v>0</v>
      </c>
      <c r="AJ444">
        <f t="shared" si="6"/>
        <v>1</v>
      </c>
    </row>
    <row r="445" spans="1:36">
      <c r="A445" t="s">
        <v>3236</v>
      </c>
      <c r="B445" t="s">
        <v>3237</v>
      </c>
      <c r="C445" t="s">
        <v>3238</v>
      </c>
      <c r="D445" t="s">
        <v>3239</v>
      </c>
      <c r="E445">
        <v>2013</v>
      </c>
      <c r="F445" t="s">
        <v>3206</v>
      </c>
      <c r="G445">
        <v>12</v>
      </c>
      <c r="J445">
        <v>9474</v>
      </c>
      <c r="K445">
        <v>9483</v>
      </c>
      <c r="L445">
        <v>9</v>
      </c>
      <c r="M445">
        <v>5</v>
      </c>
      <c r="O445" t="s">
        <v>3240</v>
      </c>
      <c r="P445" s="22" t="str">
        <f>HYPERLINK(O445)</f>
        <v>https://www.scopus.com/inward/record.uri?eid=2-s2.0-84904633053&amp;partnerID=40&amp;md5=643cdb979d6035fb08103ac177e2fff5</v>
      </c>
      <c r="Q445" t="s">
        <v>62</v>
      </c>
      <c r="R445" t="s">
        <v>48</v>
      </c>
      <c r="T445" t="s">
        <v>6</v>
      </c>
      <c r="U445" t="s">
        <v>3241</v>
      </c>
      <c r="V445" s="36">
        <v>0</v>
      </c>
      <c r="W445" s="27">
        <v>1</v>
      </c>
      <c r="X445" s="27">
        <v>0</v>
      </c>
      <c r="Y445" s="27">
        <v>0</v>
      </c>
      <c r="Z445" s="27">
        <v>0</v>
      </c>
      <c r="AA445" s="27">
        <v>0</v>
      </c>
      <c r="AB445" s="27">
        <v>0</v>
      </c>
      <c r="AC445" s="27">
        <v>0</v>
      </c>
      <c r="AD445" s="27">
        <v>0</v>
      </c>
      <c r="AE445" s="27">
        <v>0</v>
      </c>
      <c r="AF445" s="27">
        <v>0</v>
      </c>
      <c r="AG445" s="27">
        <v>0</v>
      </c>
      <c r="AH445" s="27">
        <v>0</v>
      </c>
      <c r="AJ445">
        <f t="shared" si="6"/>
        <v>1</v>
      </c>
    </row>
    <row r="446" spans="1:36">
      <c r="A446" t="s">
        <v>3242</v>
      </c>
      <c r="B446" t="s">
        <v>3243</v>
      </c>
      <c r="C446">
        <v>7402035312</v>
      </c>
      <c r="D446" t="s">
        <v>3244</v>
      </c>
      <c r="E446">
        <v>2019</v>
      </c>
      <c r="F446" t="s">
        <v>3206</v>
      </c>
      <c r="G446" t="s">
        <v>3245</v>
      </c>
      <c r="I446" t="s">
        <v>3246</v>
      </c>
      <c r="M446">
        <v>0</v>
      </c>
      <c r="O446" t="s">
        <v>3247</v>
      </c>
      <c r="P446" s="22" t="str">
        <f>HYPERLINK(O446)</f>
        <v>https://www.scopus.com/inward/record.uri?eid=2-s2.0-85079183066&amp;partnerID=40&amp;md5=74d6177f7a2fb6f85d80ed4e74c45c79</v>
      </c>
      <c r="Q446" t="s">
        <v>62</v>
      </c>
      <c r="R446" t="s">
        <v>48</v>
      </c>
      <c r="T446" t="s">
        <v>6</v>
      </c>
      <c r="U446" t="s">
        <v>3248</v>
      </c>
      <c r="V446" s="36">
        <v>0</v>
      </c>
      <c r="W446" s="27">
        <v>1</v>
      </c>
      <c r="X446" s="27">
        <v>0</v>
      </c>
      <c r="Y446" s="27">
        <v>0</v>
      </c>
      <c r="Z446" s="27">
        <v>0</v>
      </c>
      <c r="AA446" s="27">
        <v>0</v>
      </c>
      <c r="AB446" s="27">
        <v>0</v>
      </c>
      <c r="AC446" s="27">
        <v>0</v>
      </c>
      <c r="AD446" s="27">
        <v>0</v>
      </c>
      <c r="AE446" s="27">
        <v>0</v>
      </c>
      <c r="AF446" s="27">
        <v>0</v>
      </c>
      <c r="AG446" s="27">
        <v>0</v>
      </c>
      <c r="AH446" s="27">
        <v>0</v>
      </c>
      <c r="AJ446">
        <f t="shared" si="6"/>
        <v>1</v>
      </c>
    </row>
    <row r="447" spans="1:36">
      <c r="A447" t="s">
        <v>349</v>
      </c>
      <c r="B447" t="s">
        <v>350</v>
      </c>
      <c r="C447" t="s">
        <v>351</v>
      </c>
      <c r="D447" t="s">
        <v>3249</v>
      </c>
      <c r="E447">
        <v>2013</v>
      </c>
      <c r="F447" t="s">
        <v>3206</v>
      </c>
      <c r="G447">
        <v>13</v>
      </c>
      <c r="J447">
        <v>10660</v>
      </c>
      <c r="K447">
        <v>10664</v>
      </c>
      <c r="L447">
        <v>4</v>
      </c>
      <c r="M447">
        <v>0</v>
      </c>
      <c r="O447" t="s">
        <v>3250</v>
      </c>
      <c r="P447" s="22" t="str">
        <f>HYPERLINK(O447)</f>
        <v>https://www.scopus.com/inward/record.uri?eid=2-s2.0-84904644051&amp;partnerID=40&amp;md5=2fb0d90564236909ce2a3cb4d55e2718</v>
      </c>
      <c r="Q447" t="s">
        <v>62</v>
      </c>
      <c r="R447" t="s">
        <v>48</v>
      </c>
      <c r="T447" t="s">
        <v>6</v>
      </c>
      <c r="U447" t="s">
        <v>3251</v>
      </c>
      <c r="V447" s="36">
        <v>0</v>
      </c>
      <c r="W447" s="27">
        <v>1</v>
      </c>
      <c r="X447" s="27">
        <v>0</v>
      </c>
      <c r="Y447" s="27">
        <v>0</v>
      </c>
      <c r="Z447" s="27">
        <v>0</v>
      </c>
      <c r="AA447" s="27">
        <v>0</v>
      </c>
      <c r="AB447" s="27">
        <v>0</v>
      </c>
      <c r="AC447" s="27">
        <v>0</v>
      </c>
      <c r="AD447" s="27">
        <v>0</v>
      </c>
      <c r="AE447" s="27">
        <v>0</v>
      </c>
      <c r="AF447" s="27">
        <v>0</v>
      </c>
      <c r="AG447" s="27">
        <v>0</v>
      </c>
      <c r="AH447" s="27">
        <v>0</v>
      </c>
      <c r="AJ447">
        <f t="shared" si="6"/>
        <v>1</v>
      </c>
    </row>
    <row r="448" spans="1:36">
      <c r="A448" t="s">
        <v>3252</v>
      </c>
      <c r="B448" t="s">
        <v>3253</v>
      </c>
      <c r="C448">
        <v>55845704000</v>
      </c>
      <c r="D448" t="s">
        <v>3254</v>
      </c>
      <c r="E448">
        <v>2012</v>
      </c>
      <c r="F448" t="s">
        <v>3206</v>
      </c>
      <c r="G448">
        <v>7</v>
      </c>
      <c r="J448">
        <v>5168</v>
      </c>
      <c r="K448">
        <v>5176</v>
      </c>
      <c r="L448">
        <v>8</v>
      </c>
      <c r="M448">
        <v>0</v>
      </c>
      <c r="O448" t="s">
        <v>3255</v>
      </c>
      <c r="P448" s="22" t="str">
        <f>HYPERLINK(O448)</f>
        <v>https://www.scopus.com/inward/record.uri?eid=2-s2.0-84883512530&amp;partnerID=40&amp;md5=af9f6fc1c7a20584145c4545c117207c</v>
      </c>
      <c r="Q448" t="s">
        <v>62</v>
      </c>
      <c r="R448" t="s">
        <v>48</v>
      </c>
      <c r="T448" t="s">
        <v>6</v>
      </c>
      <c r="U448" t="s">
        <v>3256</v>
      </c>
      <c r="V448" s="36">
        <v>0</v>
      </c>
      <c r="W448" s="27">
        <v>1</v>
      </c>
      <c r="X448" s="27">
        <v>0</v>
      </c>
      <c r="Y448" s="27">
        <v>0</v>
      </c>
      <c r="Z448" s="27">
        <v>0</v>
      </c>
      <c r="AA448" s="27">
        <v>0</v>
      </c>
      <c r="AB448" s="27">
        <v>0</v>
      </c>
      <c r="AC448" s="27">
        <v>0</v>
      </c>
      <c r="AD448" s="27">
        <v>0</v>
      </c>
      <c r="AE448" s="27">
        <v>0</v>
      </c>
      <c r="AF448" s="27">
        <v>0</v>
      </c>
      <c r="AG448" s="27">
        <v>0</v>
      </c>
      <c r="AH448" s="27">
        <v>0</v>
      </c>
      <c r="AJ448">
        <f t="shared" si="6"/>
        <v>1</v>
      </c>
    </row>
    <row r="449" spans="1:36">
      <c r="A449" t="s">
        <v>3257</v>
      </c>
      <c r="B449" t="s">
        <v>3258</v>
      </c>
      <c r="C449" t="s">
        <v>3259</v>
      </c>
      <c r="D449" t="s">
        <v>3260</v>
      </c>
      <c r="E449">
        <v>2023</v>
      </c>
      <c r="F449" t="s">
        <v>3206</v>
      </c>
      <c r="G449" t="s">
        <v>3261</v>
      </c>
      <c r="M449">
        <v>0</v>
      </c>
      <c r="O449" t="s">
        <v>3262</v>
      </c>
      <c r="P449" s="22" t="str">
        <f>HYPERLINK(O449)</f>
        <v>https://www.scopus.com/inward/record.uri?eid=2-s2.0-85187992546&amp;partnerID=40&amp;md5=5f362a63e278ae87561c8ce55d5926dc</v>
      </c>
      <c r="Q449" t="s">
        <v>62</v>
      </c>
      <c r="R449" t="s">
        <v>48</v>
      </c>
      <c r="T449" t="s">
        <v>6</v>
      </c>
      <c r="U449" t="s">
        <v>3263</v>
      </c>
      <c r="V449" s="36">
        <v>0</v>
      </c>
      <c r="W449" s="27">
        <v>1</v>
      </c>
      <c r="X449" s="27">
        <v>0</v>
      </c>
      <c r="Y449" s="27">
        <v>0</v>
      </c>
      <c r="Z449" s="27">
        <v>0</v>
      </c>
      <c r="AA449" s="27">
        <v>0</v>
      </c>
      <c r="AB449" s="27">
        <v>0</v>
      </c>
      <c r="AC449" s="27">
        <v>0</v>
      </c>
      <c r="AD449" s="27">
        <v>0</v>
      </c>
      <c r="AE449" s="27">
        <v>0</v>
      </c>
      <c r="AF449" s="27">
        <v>0</v>
      </c>
      <c r="AG449" s="27">
        <v>0</v>
      </c>
      <c r="AH449" s="27">
        <v>0</v>
      </c>
      <c r="AJ449">
        <f t="shared" si="6"/>
        <v>1</v>
      </c>
    </row>
    <row r="450" spans="1:36">
      <c r="A450" t="s">
        <v>2901</v>
      </c>
      <c r="B450" t="s">
        <v>2902</v>
      </c>
      <c r="C450">
        <v>57222007312</v>
      </c>
      <c r="D450" t="s">
        <v>3264</v>
      </c>
      <c r="E450">
        <v>2020</v>
      </c>
      <c r="F450" t="s">
        <v>3206</v>
      </c>
      <c r="G450" t="s">
        <v>3227</v>
      </c>
      <c r="M450">
        <v>0</v>
      </c>
      <c r="O450" t="s">
        <v>3265</v>
      </c>
      <c r="P450" s="22" t="str">
        <f>HYPERLINK(O450)</f>
        <v>https://www.scopus.com/inward/record.uri?eid=2-s2.0-85100915993&amp;partnerID=40&amp;md5=5fb3d2d88a8124883d5508f115d70b13</v>
      </c>
      <c r="Q450" t="s">
        <v>62</v>
      </c>
      <c r="R450" t="s">
        <v>48</v>
      </c>
      <c r="T450" t="s">
        <v>6</v>
      </c>
      <c r="U450" t="s">
        <v>3266</v>
      </c>
      <c r="V450" s="36">
        <v>0</v>
      </c>
      <c r="W450" s="27">
        <v>1</v>
      </c>
      <c r="X450" s="27">
        <v>0</v>
      </c>
      <c r="Y450" s="27">
        <v>0</v>
      </c>
      <c r="Z450" s="27">
        <v>0</v>
      </c>
      <c r="AA450" s="27">
        <v>0</v>
      </c>
      <c r="AB450" s="27">
        <v>0</v>
      </c>
      <c r="AC450" s="27">
        <v>0</v>
      </c>
      <c r="AD450" s="27">
        <v>0</v>
      </c>
      <c r="AE450" s="27">
        <v>0</v>
      </c>
      <c r="AF450" s="27">
        <v>0</v>
      </c>
      <c r="AG450" s="27">
        <v>0</v>
      </c>
      <c r="AH450" s="27">
        <v>0</v>
      </c>
      <c r="AJ450">
        <f t="shared" ref="AJ450:AJ513" si="7">SUM(V450:AH450)</f>
        <v>1</v>
      </c>
    </row>
    <row r="451" spans="1:36">
      <c r="A451" t="s">
        <v>3267</v>
      </c>
      <c r="B451" t="s">
        <v>3268</v>
      </c>
      <c r="C451" t="s">
        <v>3269</v>
      </c>
      <c r="D451" t="s">
        <v>3270</v>
      </c>
      <c r="E451">
        <v>2020</v>
      </c>
      <c r="F451" t="s">
        <v>3206</v>
      </c>
      <c r="G451" t="s">
        <v>3227</v>
      </c>
      <c r="M451">
        <v>34</v>
      </c>
      <c r="O451" t="s">
        <v>3271</v>
      </c>
      <c r="P451" s="22" t="str">
        <f>HYPERLINK(O451)</f>
        <v>https://www.scopus.com/inward/record.uri?eid=2-s2.0-85100938130&amp;partnerID=40&amp;md5=effad0fa677a7991880f436359d73916</v>
      </c>
      <c r="Q451" t="s">
        <v>62</v>
      </c>
      <c r="R451" t="s">
        <v>48</v>
      </c>
      <c r="T451" t="s">
        <v>6</v>
      </c>
      <c r="U451" t="s">
        <v>3272</v>
      </c>
      <c r="V451" s="36">
        <v>0</v>
      </c>
      <c r="W451" s="27">
        <v>1</v>
      </c>
      <c r="X451" s="27">
        <v>0</v>
      </c>
      <c r="Y451" s="27">
        <v>0</v>
      </c>
      <c r="Z451" s="27">
        <v>0</v>
      </c>
      <c r="AA451" s="27">
        <v>0</v>
      </c>
      <c r="AB451" s="27">
        <v>0</v>
      </c>
      <c r="AC451" s="27">
        <v>0</v>
      </c>
      <c r="AD451" s="27">
        <v>0</v>
      </c>
      <c r="AE451" s="27">
        <v>0</v>
      </c>
      <c r="AF451" s="27">
        <v>0</v>
      </c>
      <c r="AG451" s="27">
        <v>0</v>
      </c>
      <c r="AH451" s="27">
        <v>0</v>
      </c>
      <c r="AJ451">
        <f t="shared" si="7"/>
        <v>1</v>
      </c>
    </row>
    <row r="452" spans="1:36">
      <c r="A452" t="s">
        <v>3273</v>
      </c>
      <c r="B452" t="s">
        <v>3274</v>
      </c>
      <c r="C452" t="s">
        <v>3275</v>
      </c>
      <c r="D452" t="s">
        <v>3276</v>
      </c>
      <c r="E452">
        <v>2016</v>
      </c>
      <c r="F452" t="s">
        <v>3206</v>
      </c>
      <c r="G452">
        <v>0</v>
      </c>
      <c r="M452">
        <v>0</v>
      </c>
      <c r="O452" t="s">
        <v>3277</v>
      </c>
      <c r="P452" s="22" t="str">
        <f>HYPERLINK(O452)</f>
        <v>https://www.scopus.com/inward/record.uri?eid=2-s2.0-85016454345&amp;partnerID=40&amp;md5=d46d0d04bff70ba4528cff9bffb5caba</v>
      </c>
      <c r="Q452" t="s">
        <v>62</v>
      </c>
      <c r="R452" t="s">
        <v>48</v>
      </c>
      <c r="T452" t="s">
        <v>6</v>
      </c>
      <c r="U452" t="s">
        <v>3278</v>
      </c>
      <c r="V452" s="36">
        <v>0</v>
      </c>
      <c r="W452" s="27">
        <v>1</v>
      </c>
      <c r="X452" s="27">
        <v>0</v>
      </c>
      <c r="Y452" s="27">
        <v>0</v>
      </c>
      <c r="Z452" s="27">
        <v>0</v>
      </c>
      <c r="AA452" s="27">
        <v>0</v>
      </c>
      <c r="AB452" s="27">
        <v>0</v>
      </c>
      <c r="AC452" s="27">
        <v>0</v>
      </c>
      <c r="AD452" s="27">
        <v>0</v>
      </c>
      <c r="AE452" s="27">
        <v>0</v>
      </c>
      <c r="AF452" s="27">
        <v>0</v>
      </c>
      <c r="AG452" s="27">
        <v>0</v>
      </c>
      <c r="AH452" s="27">
        <v>0</v>
      </c>
      <c r="AJ452">
        <f t="shared" si="7"/>
        <v>1</v>
      </c>
    </row>
    <row r="453" spans="1:36">
      <c r="A453" t="s">
        <v>3279</v>
      </c>
      <c r="B453" t="s">
        <v>3280</v>
      </c>
      <c r="C453">
        <v>57222003905</v>
      </c>
      <c r="D453" t="s">
        <v>3281</v>
      </c>
      <c r="E453">
        <v>2020</v>
      </c>
      <c r="F453" t="s">
        <v>3206</v>
      </c>
      <c r="G453" t="s">
        <v>3227</v>
      </c>
      <c r="M453">
        <v>0</v>
      </c>
      <c r="O453" t="s">
        <v>3282</v>
      </c>
      <c r="P453" s="22" t="str">
        <f>HYPERLINK(O453)</f>
        <v>https://www.scopus.com/inward/record.uri?eid=2-s2.0-85100927702&amp;partnerID=40&amp;md5=6410ecfb85668ecfb734d3d695f61bc6</v>
      </c>
      <c r="Q453" t="s">
        <v>62</v>
      </c>
      <c r="R453" t="s">
        <v>48</v>
      </c>
      <c r="T453" t="s">
        <v>6</v>
      </c>
      <c r="U453" t="s">
        <v>3283</v>
      </c>
      <c r="V453" s="36">
        <v>0</v>
      </c>
      <c r="W453" s="27">
        <v>1</v>
      </c>
      <c r="X453" s="27">
        <v>0</v>
      </c>
      <c r="Y453" s="27">
        <v>0</v>
      </c>
      <c r="Z453" s="27">
        <v>0</v>
      </c>
      <c r="AA453" s="27">
        <v>0</v>
      </c>
      <c r="AB453" s="27">
        <v>0</v>
      </c>
      <c r="AC453" s="27">
        <v>0</v>
      </c>
      <c r="AD453" s="27">
        <v>0</v>
      </c>
      <c r="AE453" s="27">
        <v>0</v>
      </c>
      <c r="AF453" s="27">
        <v>0</v>
      </c>
      <c r="AG453" s="27">
        <v>0</v>
      </c>
      <c r="AH453" s="27">
        <v>0</v>
      </c>
      <c r="AJ453">
        <f t="shared" si="7"/>
        <v>1</v>
      </c>
    </row>
    <row r="454" spans="1:36">
      <c r="A454" t="s">
        <v>3284</v>
      </c>
      <c r="B454" t="s">
        <v>3285</v>
      </c>
      <c r="C454" t="s">
        <v>3286</v>
      </c>
      <c r="D454" t="s">
        <v>3287</v>
      </c>
      <c r="E454">
        <v>2020</v>
      </c>
      <c r="F454" t="s">
        <v>3206</v>
      </c>
      <c r="G454" t="s">
        <v>3227</v>
      </c>
      <c r="M454">
        <v>0</v>
      </c>
      <c r="O454" t="s">
        <v>3288</v>
      </c>
      <c r="P454" s="22" t="str">
        <f>HYPERLINK(O454)</f>
        <v>https://www.scopus.com/inward/record.uri?eid=2-s2.0-85100940477&amp;partnerID=40&amp;md5=12f48e36e8e4df61d42bb44e9abf0646</v>
      </c>
      <c r="Q454" t="s">
        <v>62</v>
      </c>
      <c r="R454" t="s">
        <v>48</v>
      </c>
      <c r="T454" t="s">
        <v>6</v>
      </c>
      <c r="U454" t="s">
        <v>3289</v>
      </c>
      <c r="V454" s="36">
        <v>0</v>
      </c>
      <c r="W454" s="27">
        <v>1</v>
      </c>
      <c r="X454" s="27">
        <v>0</v>
      </c>
      <c r="Y454" s="27">
        <v>0</v>
      </c>
      <c r="Z454" s="27">
        <v>0</v>
      </c>
      <c r="AA454" s="27">
        <v>0</v>
      </c>
      <c r="AB454" s="27">
        <v>0</v>
      </c>
      <c r="AC454" s="27">
        <v>0</v>
      </c>
      <c r="AD454" s="27">
        <v>0</v>
      </c>
      <c r="AE454" s="27">
        <v>0</v>
      </c>
      <c r="AF454" s="27">
        <v>0</v>
      </c>
      <c r="AG454" s="27">
        <v>0</v>
      </c>
      <c r="AH454" s="27">
        <v>0</v>
      </c>
      <c r="AJ454">
        <f t="shared" si="7"/>
        <v>1</v>
      </c>
    </row>
    <row r="455" spans="1:36">
      <c r="A455" t="s">
        <v>3290</v>
      </c>
      <c r="B455" t="s">
        <v>3291</v>
      </c>
      <c r="C455" t="s">
        <v>3292</v>
      </c>
      <c r="D455" t="s">
        <v>3293</v>
      </c>
      <c r="E455">
        <v>2022</v>
      </c>
      <c r="F455" t="s">
        <v>3206</v>
      </c>
      <c r="G455" t="s">
        <v>3207</v>
      </c>
      <c r="M455">
        <v>0</v>
      </c>
      <c r="O455" t="s">
        <v>3294</v>
      </c>
      <c r="P455" s="22" t="str">
        <f>HYPERLINK(O455)</f>
        <v>https://www.scopus.com/inward/record.uri?eid=2-s2.0-85167569283&amp;partnerID=40&amp;md5=a0b6dc0ff43fd57b0b99bc6641687f2b</v>
      </c>
      <c r="Q455" t="s">
        <v>62</v>
      </c>
      <c r="R455" t="s">
        <v>48</v>
      </c>
      <c r="T455" t="s">
        <v>6</v>
      </c>
      <c r="U455" t="s">
        <v>3295</v>
      </c>
      <c r="V455" s="36">
        <v>0</v>
      </c>
      <c r="W455" s="27">
        <v>1</v>
      </c>
      <c r="X455" s="27">
        <v>0</v>
      </c>
      <c r="Y455" s="27">
        <v>0</v>
      </c>
      <c r="Z455" s="27">
        <v>0</v>
      </c>
      <c r="AA455" s="27">
        <v>0</v>
      </c>
      <c r="AB455" s="27">
        <v>0</v>
      </c>
      <c r="AC455" s="27">
        <v>0</v>
      </c>
      <c r="AD455" s="27">
        <v>0</v>
      </c>
      <c r="AE455" s="27">
        <v>0</v>
      </c>
      <c r="AF455" s="27">
        <v>0</v>
      </c>
      <c r="AG455" s="27">
        <v>0</v>
      </c>
      <c r="AH455" s="27">
        <v>0</v>
      </c>
      <c r="AJ455">
        <f t="shared" si="7"/>
        <v>1</v>
      </c>
    </row>
    <row r="456" spans="1:36">
      <c r="A456" t="s">
        <v>3296</v>
      </c>
      <c r="B456" t="s">
        <v>3297</v>
      </c>
      <c r="C456" t="s">
        <v>3298</v>
      </c>
      <c r="D456" t="s">
        <v>3299</v>
      </c>
      <c r="E456">
        <v>2016</v>
      </c>
      <c r="F456" t="s">
        <v>3206</v>
      </c>
      <c r="G456">
        <v>0</v>
      </c>
      <c r="M456">
        <v>0</v>
      </c>
      <c r="O456" t="s">
        <v>3300</v>
      </c>
      <c r="P456" s="22" t="str">
        <f>HYPERLINK(O456)</f>
        <v>https://www.scopus.com/inward/record.uri?eid=2-s2.0-85016451118&amp;partnerID=40&amp;md5=de199060888498f70250da43098fd969</v>
      </c>
      <c r="Q456" t="s">
        <v>62</v>
      </c>
      <c r="R456" t="s">
        <v>48</v>
      </c>
      <c r="T456" t="s">
        <v>6</v>
      </c>
      <c r="U456" t="s">
        <v>3301</v>
      </c>
      <c r="V456" s="36">
        <v>0</v>
      </c>
      <c r="W456" s="27">
        <v>1</v>
      </c>
      <c r="X456" s="27">
        <v>0</v>
      </c>
      <c r="Y456" s="27">
        <v>0</v>
      </c>
      <c r="Z456" s="27">
        <v>0</v>
      </c>
      <c r="AA456" s="27">
        <v>0</v>
      </c>
      <c r="AB456" s="27">
        <v>0</v>
      </c>
      <c r="AC456" s="27">
        <v>0</v>
      </c>
      <c r="AD456" s="27">
        <v>0</v>
      </c>
      <c r="AE456" s="27">
        <v>0</v>
      </c>
      <c r="AF456" s="27">
        <v>0</v>
      </c>
      <c r="AG456" s="27">
        <v>0</v>
      </c>
      <c r="AH456" s="27">
        <v>0</v>
      </c>
      <c r="AJ456">
        <f t="shared" si="7"/>
        <v>1</v>
      </c>
    </row>
    <row r="457" spans="1:36">
      <c r="A457" t="s">
        <v>3302</v>
      </c>
      <c r="B457" t="s">
        <v>3303</v>
      </c>
      <c r="C457">
        <v>23976723500</v>
      </c>
      <c r="D457" t="s">
        <v>3304</v>
      </c>
      <c r="E457">
        <v>2012</v>
      </c>
      <c r="F457" t="s">
        <v>3206</v>
      </c>
      <c r="G457">
        <v>14</v>
      </c>
      <c r="J457">
        <v>11397</v>
      </c>
      <c r="K457">
        <v>11401</v>
      </c>
      <c r="L457">
        <v>4</v>
      </c>
      <c r="M457">
        <v>1</v>
      </c>
      <c r="O457" t="s">
        <v>3305</v>
      </c>
      <c r="P457" s="22" t="str">
        <f>HYPERLINK(O457)</f>
        <v>https://www.scopus.com/inward/record.uri?eid=2-s2.0-84883548500&amp;partnerID=40&amp;md5=638410523018b59eaa27536e88f3dec3</v>
      </c>
      <c r="Q457" t="s">
        <v>62</v>
      </c>
      <c r="R457" t="s">
        <v>48</v>
      </c>
      <c r="T457" t="s">
        <v>6</v>
      </c>
      <c r="U457" t="s">
        <v>3306</v>
      </c>
      <c r="V457" s="36">
        <v>0</v>
      </c>
      <c r="W457" s="27">
        <v>1</v>
      </c>
      <c r="X457" s="27">
        <v>0</v>
      </c>
      <c r="Y457" s="27">
        <v>0</v>
      </c>
      <c r="Z457" s="27">
        <v>0</v>
      </c>
      <c r="AA457" s="27">
        <v>0</v>
      </c>
      <c r="AB457" s="27">
        <v>0</v>
      </c>
      <c r="AC457" s="27">
        <v>0</v>
      </c>
      <c r="AD457" s="27">
        <v>0</v>
      </c>
      <c r="AE457" s="27">
        <v>0</v>
      </c>
      <c r="AF457" s="27">
        <v>0</v>
      </c>
      <c r="AG457" s="27">
        <v>0</v>
      </c>
      <c r="AH457" s="27">
        <v>0</v>
      </c>
      <c r="AJ457">
        <f t="shared" si="7"/>
        <v>1</v>
      </c>
    </row>
    <row r="458" spans="1:36">
      <c r="A458" t="s">
        <v>158</v>
      </c>
      <c r="B458" t="s">
        <v>159</v>
      </c>
      <c r="C458" t="s">
        <v>160</v>
      </c>
      <c r="D458" t="s">
        <v>3307</v>
      </c>
      <c r="E458">
        <v>2014</v>
      </c>
      <c r="F458" t="s">
        <v>3206</v>
      </c>
      <c r="G458">
        <v>10</v>
      </c>
      <c r="J458">
        <v>7409</v>
      </c>
      <c r="K458">
        <v>7421</v>
      </c>
      <c r="L458">
        <v>12</v>
      </c>
      <c r="M458">
        <v>3</v>
      </c>
      <c r="O458" t="s">
        <v>3308</v>
      </c>
      <c r="P458" s="22" t="str">
        <f>HYPERLINK(O458)</f>
        <v>https://www.scopus.com/inward/record.uri?eid=2-s2.0-84938278336&amp;partnerID=40&amp;md5=6e6bc4863233b2d953296d97997ad889</v>
      </c>
      <c r="Q458" t="s">
        <v>62</v>
      </c>
      <c r="R458" t="s">
        <v>48</v>
      </c>
      <c r="T458" t="s">
        <v>6</v>
      </c>
      <c r="U458" t="s">
        <v>3309</v>
      </c>
      <c r="V458" s="36">
        <v>0</v>
      </c>
      <c r="W458" s="27">
        <v>1</v>
      </c>
      <c r="X458" s="27">
        <v>0</v>
      </c>
      <c r="Y458" s="27">
        <v>0</v>
      </c>
      <c r="Z458" s="27">
        <v>0</v>
      </c>
      <c r="AA458" s="27">
        <v>0</v>
      </c>
      <c r="AB458" s="27">
        <v>0</v>
      </c>
      <c r="AC458" s="27">
        <v>0</v>
      </c>
      <c r="AD458" s="27">
        <v>0</v>
      </c>
      <c r="AE458" s="27">
        <v>0</v>
      </c>
      <c r="AF458" s="27">
        <v>0</v>
      </c>
      <c r="AG458" s="27">
        <v>0</v>
      </c>
      <c r="AH458" s="27">
        <v>0</v>
      </c>
      <c r="AJ458">
        <f t="shared" si="7"/>
        <v>1</v>
      </c>
    </row>
    <row r="459" spans="1:36">
      <c r="A459" t="s">
        <v>3310</v>
      </c>
      <c r="B459" t="s">
        <v>3311</v>
      </c>
      <c r="C459" t="s">
        <v>3312</v>
      </c>
      <c r="D459" t="s">
        <v>3313</v>
      </c>
      <c r="E459">
        <v>2016</v>
      </c>
      <c r="F459" t="s">
        <v>3206</v>
      </c>
      <c r="G459">
        <v>0</v>
      </c>
      <c r="M459">
        <v>0</v>
      </c>
      <c r="O459" t="s">
        <v>3314</v>
      </c>
      <c r="P459" s="22" t="str">
        <f>HYPERLINK(O459)</f>
        <v>https://www.scopus.com/inward/record.uri?eid=2-s2.0-85016484324&amp;partnerID=40&amp;md5=f495aa562dc75027f19fb208447c0ec8</v>
      </c>
      <c r="Q459" t="s">
        <v>62</v>
      </c>
      <c r="R459" t="s">
        <v>48</v>
      </c>
      <c r="T459" t="s">
        <v>6</v>
      </c>
      <c r="U459" t="s">
        <v>3315</v>
      </c>
      <c r="V459" s="36">
        <v>0</v>
      </c>
      <c r="W459" s="27">
        <v>1</v>
      </c>
      <c r="X459" s="27">
        <v>0</v>
      </c>
      <c r="Y459" s="27">
        <v>0</v>
      </c>
      <c r="Z459" s="27">
        <v>0</v>
      </c>
      <c r="AA459" s="27">
        <v>0</v>
      </c>
      <c r="AB459" s="27">
        <v>0</v>
      </c>
      <c r="AC459" s="27">
        <v>0</v>
      </c>
      <c r="AD459" s="27">
        <v>0</v>
      </c>
      <c r="AE459" s="27">
        <v>0</v>
      </c>
      <c r="AF459" s="27">
        <v>0</v>
      </c>
      <c r="AG459" s="27">
        <v>0</v>
      </c>
      <c r="AH459" s="27">
        <v>0</v>
      </c>
      <c r="AJ459">
        <f t="shared" si="7"/>
        <v>1</v>
      </c>
    </row>
    <row r="460" spans="1:36">
      <c r="A460" t="s">
        <v>3316</v>
      </c>
      <c r="B460" t="s">
        <v>3317</v>
      </c>
      <c r="C460" t="s">
        <v>3318</v>
      </c>
      <c r="D460" t="s">
        <v>3319</v>
      </c>
      <c r="E460">
        <v>2013</v>
      </c>
      <c r="F460" t="s">
        <v>3206</v>
      </c>
      <c r="G460">
        <v>11</v>
      </c>
      <c r="J460">
        <v>8915</v>
      </c>
      <c r="K460">
        <v>8918</v>
      </c>
      <c r="L460">
        <v>3</v>
      </c>
      <c r="M460">
        <v>0</v>
      </c>
      <c r="O460" t="s">
        <v>3320</v>
      </c>
      <c r="P460" s="22" t="str">
        <f>HYPERLINK(O460)</f>
        <v>https://www.scopus.com/inward/record.uri?eid=2-s2.0-84904701283&amp;partnerID=40&amp;md5=aa5230a9ff195ddd7d8c5d9bed806487</v>
      </c>
      <c r="Q460" t="s">
        <v>62</v>
      </c>
      <c r="R460" t="s">
        <v>48</v>
      </c>
      <c r="T460" t="s">
        <v>6</v>
      </c>
      <c r="U460" t="s">
        <v>3321</v>
      </c>
      <c r="V460" s="36">
        <v>0</v>
      </c>
      <c r="W460" s="27">
        <v>1</v>
      </c>
      <c r="X460" s="27">
        <v>0</v>
      </c>
      <c r="Y460" s="27">
        <v>0</v>
      </c>
      <c r="Z460" s="27">
        <v>0</v>
      </c>
      <c r="AA460" s="27">
        <v>0</v>
      </c>
      <c r="AB460" s="27">
        <v>0</v>
      </c>
      <c r="AC460" s="27">
        <v>0</v>
      </c>
      <c r="AD460" s="27">
        <v>0</v>
      </c>
      <c r="AE460" s="27">
        <v>0</v>
      </c>
      <c r="AF460" s="27">
        <v>0</v>
      </c>
      <c r="AG460" s="27">
        <v>0</v>
      </c>
      <c r="AH460" s="27">
        <v>0</v>
      </c>
      <c r="AJ460">
        <f t="shared" si="7"/>
        <v>1</v>
      </c>
    </row>
    <row r="461" spans="1:36">
      <c r="A461" t="s">
        <v>3322</v>
      </c>
      <c r="B461" t="s">
        <v>3323</v>
      </c>
      <c r="C461" t="s">
        <v>3324</v>
      </c>
      <c r="D461" t="s">
        <v>3325</v>
      </c>
      <c r="E461">
        <v>2016</v>
      </c>
      <c r="F461" t="s">
        <v>3206</v>
      </c>
      <c r="G461">
        <v>0</v>
      </c>
      <c r="M461">
        <v>0</v>
      </c>
      <c r="O461" t="s">
        <v>3326</v>
      </c>
      <c r="P461" s="22" t="str">
        <f>HYPERLINK(O461)</f>
        <v>https://www.scopus.com/inward/record.uri?eid=2-s2.0-85016470332&amp;partnerID=40&amp;md5=d8f5a5a89b1e066deb7c7d7d27f5933f</v>
      </c>
      <c r="Q461" t="s">
        <v>62</v>
      </c>
      <c r="R461" t="s">
        <v>48</v>
      </c>
      <c r="T461" t="s">
        <v>6</v>
      </c>
      <c r="U461" t="s">
        <v>3327</v>
      </c>
      <c r="V461" s="36">
        <v>0</v>
      </c>
      <c r="W461" s="27">
        <v>1</v>
      </c>
      <c r="X461" s="27">
        <v>0</v>
      </c>
      <c r="Y461" s="27">
        <v>0</v>
      </c>
      <c r="Z461" s="27">
        <v>0</v>
      </c>
      <c r="AA461" s="27">
        <v>0</v>
      </c>
      <c r="AB461" s="27">
        <v>0</v>
      </c>
      <c r="AC461" s="27">
        <v>0</v>
      </c>
      <c r="AD461" s="27">
        <v>0</v>
      </c>
      <c r="AE461" s="27">
        <v>0</v>
      </c>
      <c r="AF461" s="27">
        <v>0</v>
      </c>
      <c r="AG461" s="27">
        <v>0</v>
      </c>
      <c r="AH461" s="27">
        <v>0</v>
      </c>
      <c r="AJ461">
        <f t="shared" si="7"/>
        <v>1</v>
      </c>
    </row>
    <row r="462" spans="1:36">
      <c r="A462" t="s">
        <v>3328</v>
      </c>
      <c r="B462" t="s">
        <v>3329</v>
      </c>
      <c r="C462">
        <v>6507248059</v>
      </c>
      <c r="D462" t="s">
        <v>3330</v>
      </c>
      <c r="E462">
        <v>2022</v>
      </c>
      <c r="F462" t="s">
        <v>3206</v>
      </c>
      <c r="G462" t="s">
        <v>3207</v>
      </c>
      <c r="M462">
        <v>0</v>
      </c>
      <c r="O462" t="s">
        <v>3331</v>
      </c>
      <c r="P462" s="22" t="str">
        <f>HYPERLINK(O462)</f>
        <v>https://www.scopus.com/inward/record.uri?eid=2-s2.0-85167622579&amp;partnerID=40&amp;md5=c5a813c74075921a32f1db13e173ba13</v>
      </c>
      <c r="Q462" t="s">
        <v>62</v>
      </c>
      <c r="R462" t="s">
        <v>48</v>
      </c>
      <c r="T462" t="s">
        <v>6</v>
      </c>
      <c r="U462" t="s">
        <v>3332</v>
      </c>
      <c r="V462" s="36">
        <v>0</v>
      </c>
      <c r="W462" s="27">
        <v>1</v>
      </c>
      <c r="X462" s="27">
        <v>0</v>
      </c>
      <c r="Y462" s="27">
        <v>0</v>
      </c>
      <c r="Z462" s="27">
        <v>0</v>
      </c>
      <c r="AA462" s="27">
        <v>0</v>
      </c>
      <c r="AB462" s="27">
        <v>0</v>
      </c>
      <c r="AC462" s="27">
        <v>0</v>
      </c>
      <c r="AD462" s="27">
        <v>0</v>
      </c>
      <c r="AE462" s="27">
        <v>0</v>
      </c>
      <c r="AF462" s="27">
        <v>0</v>
      </c>
      <c r="AG462" s="27">
        <v>0</v>
      </c>
      <c r="AH462" s="27">
        <v>0</v>
      </c>
      <c r="AJ462">
        <f t="shared" si="7"/>
        <v>1</v>
      </c>
    </row>
    <row r="463" spans="1:36">
      <c r="A463" t="s">
        <v>3333</v>
      </c>
      <c r="B463" t="s">
        <v>3334</v>
      </c>
      <c r="C463" t="s">
        <v>3335</v>
      </c>
      <c r="D463" t="s">
        <v>3336</v>
      </c>
      <c r="E463">
        <v>2019</v>
      </c>
      <c r="F463" t="s">
        <v>3206</v>
      </c>
      <c r="G463" t="s">
        <v>3245</v>
      </c>
      <c r="I463" t="s">
        <v>3337</v>
      </c>
      <c r="M463">
        <v>1</v>
      </c>
      <c r="O463" t="s">
        <v>3338</v>
      </c>
      <c r="P463" s="22" t="str">
        <f>HYPERLINK(O463)</f>
        <v>https://www.scopus.com/inward/record.uri?eid=2-s2.0-85079162276&amp;partnerID=40&amp;md5=9381c7565d4c29c8432a721d47f46543</v>
      </c>
      <c r="Q463" t="s">
        <v>62</v>
      </c>
      <c r="R463" t="s">
        <v>48</v>
      </c>
      <c r="T463" t="s">
        <v>6</v>
      </c>
      <c r="U463" t="s">
        <v>3339</v>
      </c>
      <c r="V463" s="36">
        <v>0</v>
      </c>
      <c r="W463" s="27">
        <v>1</v>
      </c>
      <c r="X463" s="27">
        <v>0</v>
      </c>
      <c r="Y463" s="27">
        <v>0</v>
      </c>
      <c r="Z463" s="27">
        <v>0</v>
      </c>
      <c r="AA463" s="27">
        <v>0</v>
      </c>
      <c r="AB463" s="27">
        <v>0</v>
      </c>
      <c r="AC463" s="27">
        <v>0</v>
      </c>
      <c r="AD463" s="27">
        <v>0</v>
      </c>
      <c r="AE463" s="27">
        <v>0</v>
      </c>
      <c r="AF463" s="27">
        <v>0</v>
      </c>
      <c r="AG463" s="27">
        <v>0</v>
      </c>
      <c r="AH463" s="27">
        <v>0</v>
      </c>
      <c r="AJ463">
        <f t="shared" si="7"/>
        <v>1</v>
      </c>
    </row>
    <row r="464" spans="1:36">
      <c r="A464" t="s">
        <v>3340</v>
      </c>
      <c r="B464" t="s">
        <v>3341</v>
      </c>
      <c r="C464" t="s">
        <v>3342</v>
      </c>
      <c r="D464" t="s">
        <v>3343</v>
      </c>
      <c r="E464">
        <v>2017</v>
      </c>
      <c r="F464" t="s">
        <v>3206</v>
      </c>
      <c r="G464">
        <v>15</v>
      </c>
      <c r="J464">
        <v>10264</v>
      </c>
      <c r="K464">
        <v>10271</v>
      </c>
      <c r="L464">
        <v>7</v>
      </c>
      <c r="M464">
        <v>2</v>
      </c>
      <c r="O464" t="s">
        <v>3344</v>
      </c>
      <c r="P464" s="22" t="str">
        <f>HYPERLINK(O464)</f>
        <v>https://www.scopus.com/inward/record.uri?eid=2-s2.0-85051386799&amp;partnerID=40&amp;md5=28b602ebfc05501a66f9de416b028c7c</v>
      </c>
      <c r="Q464" t="s">
        <v>62</v>
      </c>
      <c r="R464" t="s">
        <v>48</v>
      </c>
      <c r="T464" t="s">
        <v>6</v>
      </c>
      <c r="U464" t="s">
        <v>3345</v>
      </c>
      <c r="V464" s="36">
        <v>0</v>
      </c>
      <c r="W464" s="27">
        <v>1</v>
      </c>
      <c r="X464" s="27">
        <v>0</v>
      </c>
      <c r="Y464" s="27">
        <v>0</v>
      </c>
      <c r="Z464" s="27">
        <v>0</v>
      </c>
      <c r="AA464" s="27">
        <v>0</v>
      </c>
      <c r="AB464" s="27">
        <v>0</v>
      </c>
      <c r="AC464" s="27">
        <v>0</v>
      </c>
      <c r="AD464" s="27">
        <v>0</v>
      </c>
      <c r="AE464" s="27">
        <v>0</v>
      </c>
      <c r="AF464" s="27">
        <v>0</v>
      </c>
      <c r="AG464" s="27">
        <v>0</v>
      </c>
      <c r="AH464" s="27">
        <v>0</v>
      </c>
      <c r="AJ464">
        <f t="shared" si="7"/>
        <v>1</v>
      </c>
    </row>
    <row r="465" spans="1:36">
      <c r="A465" t="s">
        <v>3346</v>
      </c>
      <c r="B465" t="s">
        <v>3347</v>
      </c>
      <c r="C465">
        <v>57214103383</v>
      </c>
      <c r="D465" t="s">
        <v>3348</v>
      </c>
      <c r="E465">
        <v>2023</v>
      </c>
      <c r="F465" t="s">
        <v>3206</v>
      </c>
      <c r="G465" t="s">
        <v>3261</v>
      </c>
      <c r="M465">
        <v>0</v>
      </c>
      <c r="O465" t="s">
        <v>3349</v>
      </c>
      <c r="P465" s="22" t="str">
        <f>HYPERLINK(O465)</f>
        <v>https://www.scopus.com/inward/record.uri?eid=2-s2.0-85188012004&amp;partnerID=40&amp;md5=67c8100598cdc8aa157720594108c9fc</v>
      </c>
      <c r="Q465" t="s">
        <v>62</v>
      </c>
      <c r="R465" t="s">
        <v>48</v>
      </c>
      <c r="T465" t="s">
        <v>6</v>
      </c>
      <c r="U465" t="s">
        <v>3350</v>
      </c>
      <c r="V465" s="36">
        <v>0</v>
      </c>
      <c r="W465" s="27">
        <v>1</v>
      </c>
      <c r="X465" s="27">
        <v>0</v>
      </c>
      <c r="Y465" s="27">
        <v>0</v>
      </c>
      <c r="Z465" s="27">
        <v>0</v>
      </c>
      <c r="AA465" s="27">
        <v>0</v>
      </c>
      <c r="AB465" s="27">
        <v>0</v>
      </c>
      <c r="AC465" s="27">
        <v>0</v>
      </c>
      <c r="AD465" s="27">
        <v>0</v>
      </c>
      <c r="AE465" s="27">
        <v>0</v>
      </c>
      <c r="AF465" s="27">
        <v>0</v>
      </c>
      <c r="AG465" s="27">
        <v>0</v>
      </c>
      <c r="AH465" s="27">
        <v>0</v>
      </c>
      <c r="AJ465">
        <f t="shared" si="7"/>
        <v>1</v>
      </c>
    </row>
    <row r="466" spans="1:36">
      <c r="A466" t="s">
        <v>3351</v>
      </c>
      <c r="B466" t="s">
        <v>3352</v>
      </c>
      <c r="C466">
        <v>57222007572</v>
      </c>
      <c r="D466" t="s">
        <v>3353</v>
      </c>
      <c r="E466">
        <v>2020</v>
      </c>
      <c r="F466" t="s">
        <v>3206</v>
      </c>
      <c r="G466" t="s">
        <v>3227</v>
      </c>
      <c r="M466">
        <v>9</v>
      </c>
      <c r="O466" t="s">
        <v>3354</v>
      </c>
      <c r="P466" s="22" t="str">
        <f>HYPERLINK(O466)</f>
        <v>https://www.scopus.com/inward/record.uri?eid=2-s2.0-85100951233&amp;partnerID=40&amp;md5=2e42b6c85020f54516ea493ca4a8e9f9</v>
      </c>
      <c r="Q466" t="s">
        <v>62</v>
      </c>
      <c r="R466" t="s">
        <v>48</v>
      </c>
      <c r="T466" t="s">
        <v>6</v>
      </c>
      <c r="U466" t="s">
        <v>3355</v>
      </c>
      <c r="V466" s="36">
        <v>0</v>
      </c>
      <c r="W466" s="27">
        <v>1</v>
      </c>
      <c r="X466" s="27">
        <v>0</v>
      </c>
      <c r="Y466" s="27">
        <v>0</v>
      </c>
      <c r="Z466" s="27">
        <v>0</v>
      </c>
      <c r="AA466" s="27">
        <v>0</v>
      </c>
      <c r="AB466" s="27">
        <v>0</v>
      </c>
      <c r="AC466" s="27">
        <v>0</v>
      </c>
      <c r="AD466" s="27">
        <v>0</v>
      </c>
      <c r="AE466" s="27">
        <v>0</v>
      </c>
      <c r="AF466" s="27">
        <v>0</v>
      </c>
      <c r="AG466" s="27">
        <v>0</v>
      </c>
      <c r="AH466" s="27">
        <v>0</v>
      </c>
      <c r="AJ466">
        <f t="shared" si="7"/>
        <v>1</v>
      </c>
    </row>
    <row r="467" spans="1:36">
      <c r="A467" t="s">
        <v>3356</v>
      </c>
      <c r="B467" t="s">
        <v>3357</v>
      </c>
      <c r="C467" t="s">
        <v>3358</v>
      </c>
      <c r="D467" t="s">
        <v>3359</v>
      </c>
      <c r="E467">
        <v>2019</v>
      </c>
      <c r="F467" t="s">
        <v>3206</v>
      </c>
      <c r="G467" t="s">
        <v>3245</v>
      </c>
      <c r="I467" t="s">
        <v>3360</v>
      </c>
      <c r="M467">
        <v>2</v>
      </c>
      <c r="O467" t="s">
        <v>3361</v>
      </c>
      <c r="P467" s="22" t="str">
        <f>HYPERLINK(O467)</f>
        <v>https://www.scopus.com/inward/record.uri?eid=2-s2.0-85079138711&amp;partnerID=40&amp;md5=da1d1684a9c37b2c01e9fba62a0d5134</v>
      </c>
      <c r="Q467" t="s">
        <v>62</v>
      </c>
      <c r="R467" t="s">
        <v>48</v>
      </c>
      <c r="T467" t="s">
        <v>6</v>
      </c>
      <c r="U467" t="s">
        <v>3362</v>
      </c>
      <c r="V467" s="36">
        <v>0</v>
      </c>
      <c r="W467" s="27">
        <v>1</v>
      </c>
      <c r="X467" s="27">
        <v>0</v>
      </c>
      <c r="Y467" s="27">
        <v>0</v>
      </c>
      <c r="Z467" s="27">
        <v>0</v>
      </c>
      <c r="AA467" s="27">
        <v>0</v>
      </c>
      <c r="AB467" s="27">
        <v>0</v>
      </c>
      <c r="AC467" s="27">
        <v>0</v>
      </c>
      <c r="AD467" s="27">
        <v>0</v>
      </c>
      <c r="AE467" s="27">
        <v>0</v>
      </c>
      <c r="AF467" s="27">
        <v>0</v>
      </c>
      <c r="AG467" s="27">
        <v>0</v>
      </c>
      <c r="AH467" s="27">
        <v>0</v>
      </c>
      <c r="AJ467">
        <f t="shared" si="7"/>
        <v>1</v>
      </c>
    </row>
    <row r="468" spans="1:36">
      <c r="A468" t="s">
        <v>3363</v>
      </c>
      <c r="B468" t="s">
        <v>2040</v>
      </c>
      <c r="C468" t="s">
        <v>2041</v>
      </c>
      <c r="D468" t="s">
        <v>3364</v>
      </c>
      <c r="E468">
        <v>1998</v>
      </c>
      <c r="F468" t="s">
        <v>3365</v>
      </c>
      <c r="J468">
        <v>744</v>
      </c>
      <c r="K468">
        <v>751</v>
      </c>
      <c r="L468">
        <v>7</v>
      </c>
      <c r="M468">
        <v>1</v>
      </c>
      <c r="O468" t="s">
        <v>3366</v>
      </c>
      <c r="P468" s="22" t="str">
        <f>HYPERLINK(O468)</f>
        <v>https://www.scopus.com/inward/record.uri?eid=2-s2.0-0031699847&amp;partnerID=40&amp;md5=8649db773fcdc84375ada407645703ad</v>
      </c>
      <c r="Q468" t="s">
        <v>62</v>
      </c>
      <c r="R468" t="s">
        <v>48</v>
      </c>
      <c r="T468" t="s">
        <v>6</v>
      </c>
      <c r="U468" t="s">
        <v>3367</v>
      </c>
      <c r="V468" s="36">
        <v>0</v>
      </c>
      <c r="W468" s="27">
        <v>1</v>
      </c>
      <c r="X468" s="27">
        <v>0</v>
      </c>
      <c r="Y468" s="27">
        <v>0</v>
      </c>
      <c r="Z468" s="27">
        <v>0</v>
      </c>
      <c r="AA468" s="27">
        <v>0</v>
      </c>
      <c r="AB468" s="27">
        <v>0</v>
      </c>
      <c r="AC468" s="27">
        <v>0</v>
      </c>
      <c r="AD468" s="27">
        <v>0</v>
      </c>
      <c r="AE468" s="27">
        <v>0</v>
      </c>
      <c r="AF468" s="27">
        <v>0</v>
      </c>
      <c r="AG468" s="27">
        <v>0</v>
      </c>
      <c r="AH468" s="27">
        <v>0</v>
      </c>
      <c r="AJ468">
        <f t="shared" si="7"/>
        <v>1</v>
      </c>
    </row>
    <row r="469" spans="1:36">
      <c r="D469" t="s">
        <v>3368</v>
      </c>
      <c r="E469">
        <v>1998</v>
      </c>
      <c r="F469" t="s">
        <v>3365</v>
      </c>
      <c r="L469">
        <v>847</v>
      </c>
      <c r="M469">
        <v>0</v>
      </c>
      <c r="O469" t="s">
        <v>3369</v>
      </c>
      <c r="P469" s="22" t="str">
        <f>HYPERLINK(O469)</f>
        <v>https://www.scopus.com/inward/record.uri?eid=2-s2.0-0031701969&amp;partnerID=40&amp;md5=f845a1432df6a4227fb57aa22b58bde8</v>
      </c>
      <c r="Q469" t="s">
        <v>47</v>
      </c>
      <c r="R469" t="s">
        <v>48</v>
      </c>
      <c r="T469" t="s">
        <v>6</v>
      </c>
      <c r="U469" t="s">
        <v>3370</v>
      </c>
      <c r="V469" s="36">
        <v>0</v>
      </c>
      <c r="W469" s="27">
        <v>1</v>
      </c>
      <c r="X469" s="27">
        <v>0</v>
      </c>
      <c r="Y469" s="27">
        <v>0</v>
      </c>
      <c r="Z469" s="27">
        <v>0</v>
      </c>
      <c r="AA469" s="27">
        <v>0</v>
      </c>
      <c r="AB469" s="27">
        <v>0</v>
      </c>
      <c r="AC469" s="27">
        <v>0</v>
      </c>
      <c r="AD469" s="27">
        <v>0</v>
      </c>
      <c r="AE469" s="27">
        <v>0</v>
      </c>
      <c r="AF469" s="27">
        <v>0</v>
      </c>
      <c r="AG469" s="27">
        <v>0</v>
      </c>
      <c r="AH469" s="27">
        <v>0</v>
      </c>
      <c r="AJ469">
        <f t="shared" si="7"/>
        <v>1</v>
      </c>
    </row>
    <row r="470" spans="1:36">
      <c r="A470" t="s">
        <v>3363</v>
      </c>
      <c r="B470" t="s">
        <v>2040</v>
      </c>
      <c r="C470" t="s">
        <v>2041</v>
      </c>
      <c r="D470" t="s">
        <v>2042</v>
      </c>
      <c r="E470">
        <v>1996</v>
      </c>
      <c r="F470" t="s">
        <v>3371</v>
      </c>
      <c r="G470">
        <v>1</v>
      </c>
      <c r="J470">
        <v>200</v>
      </c>
      <c r="K470">
        <v>205</v>
      </c>
      <c r="L470">
        <v>5</v>
      </c>
      <c r="M470">
        <v>2</v>
      </c>
      <c r="O470" t="s">
        <v>3372</v>
      </c>
      <c r="P470" s="22" t="str">
        <f>HYPERLINK(O470)</f>
        <v>https://www.scopus.com/inward/record.uri?eid=2-s2.0-0029709893&amp;partnerID=40&amp;md5=7e72783a0500735bda78c6982776691b</v>
      </c>
      <c r="Q470" t="s">
        <v>62</v>
      </c>
      <c r="R470" t="s">
        <v>48</v>
      </c>
      <c r="T470" t="s">
        <v>6</v>
      </c>
      <c r="U470" t="s">
        <v>3373</v>
      </c>
      <c r="V470" s="36">
        <v>0</v>
      </c>
      <c r="W470" s="27">
        <v>1</v>
      </c>
      <c r="X470" s="27">
        <v>0</v>
      </c>
      <c r="Y470" s="27">
        <v>0</v>
      </c>
      <c r="Z470" s="27">
        <v>0</v>
      </c>
      <c r="AA470" s="27">
        <v>0</v>
      </c>
      <c r="AB470" s="27">
        <v>0</v>
      </c>
      <c r="AC470" s="27">
        <v>0</v>
      </c>
      <c r="AD470" s="27">
        <v>0</v>
      </c>
      <c r="AE470" s="27">
        <v>0</v>
      </c>
      <c r="AF470" s="27">
        <v>0</v>
      </c>
      <c r="AG470" s="27">
        <v>0</v>
      </c>
      <c r="AH470" s="27">
        <v>0</v>
      </c>
      <c r="AJ470">
        <f t="shared" si="7"/>
        <v>1</v>
      </c>
    </row>
    <row r="471" spans="1:36">
      <c r="A471" t="s">
        <v>3374</v>
      </c>
      <c r="B471" t="s">
        <v>3375</v>
      </c>
      <c r="C471" t="s">
        <v>3376</v>
      </c>
      <c r="D471" t="s">
        <v>3377</v>
      </c>
      <c r="E471">
        <v>2019</v>
      </c>
      <c r="F471" t="s">
        <v>3378</v>
      </c>
      <c r="M471">
        <v>3</v>
      </c>
      <c r="O471" t="s">
        <v>3379</v>
      </c>
      <c r="P471" s="22" t="str">
        <f>HYPERLINK(O471)</f>
        <v>https://www.scopus.com/inward/record.uri?eid=2-s2.0-85086523663&amp;partnerID=40&amp;md5=2d8decdebf28f0e758b4e711f2fe2f3f</v>
      </c>
      <c r="Q471" t="s">
        <v>62</v>
      </c>
      <c r="R471" t="s">
        <v>48</v>
      </c>
      <c r="T471" t="s">
        <v>6</v>
      </c>
      <c r="U471" t="s">
        <v>3380</v>
      </c>
      <c r="V471" s="36">
        <v>0</v>
      </c>
      <c r="W471" s="27">
        <v>1</v>
      </c>
      <c r="X471" s="27">
        <v>0</v>
      </c>
      <c r="Y471" s="27">
        <v>0</v>
      </c>
      <c r="Z471" s="27">
        <v>0</v>
      </c>
      <c r="AA471" s="27">
        <v>0</v>
      </c>
      <c r="AB471" s="27">
        <v>0</v>
      </c>
      <c r="AC471" s="27">
        <v>0</v>
      </c>
      <c r="AD471" s="27">
        <v>0</v>
      </c>
      <c r="AE471" s="27">
        <v>0</v>
      </c>
      <c r="AF471" s="27">
        <v>0</v>
      </c>
      <c r="AG471" s="27">
        <v>0</v>
      </c>
      <c r="AH471" s="27">
        <v>0</v>
      </c>
      <c r="AJ471">
        <f t="shared" si="7"/>
        <v>1</v>
      </c>
    </row>
    <row r="472" spans="1:36">
      <c r="A472" t="s">
        <v>3381</v>
      </c>
      <c r="B472" t="s">
        <v>3382</v>
      </c>
      <c r="C472" t="s">
        <v>3383</v>
      </c>
      <c r="D472" t="s">
        <v>3384</v>
      </c>
      <c r="E472">
        <v>2022</v>
      </c>
      <c r="F472" t="s">
        <v>3385</v>
      </c>
      <c r="G472" t="s">
        <v>3386</v>
      </c>
      <c r="J472">
        <v>8</v>
      </c>
      <c r="K472">
        <v>24</v>
      </c>
      <c r="L472">
        <v>16</v>
      </c>
      <c r="M472">
        <v>1</v>
      </c>
      <c r="O472" t="s">
        <v>3387</v>
      </c>
      <c r="P472" s="22" t="str">
        <f>HYPERLINK(O472)</f>
        <v>https://www.scopus.com/inward/record.uri?eid=2-s2.0-85170646408&amp;partnerID=40&amp;md5=9b8a53a845f31e1a13fb6b49797fbdb2</v>
      </c>
      <c r="Q472" t="s">
        <v>62</v>
      </c>
      <c r="R472" t="s">
        <v>48</v>
      </c>
      <c r="T472" t="s">
        <v>6</v>
      </c>
      <c r="U472" t="s">
        <v>3388</v>
      </c>
      <c r="V472" s="36">
        <v>0</v>
      </c>
      <c r="W472" s="27">
        <v>1</v>
      </c>
      <c r="X472" s="27">
        <v>0</v>
      </c>
      <c r="Y472" s="27">
        <v>0</v>
      </c>
      <c r="Z472" s="27">
        <v>0</v>
      </c>
      <c r="AA472" s="27">
        <v>0</v>
      </c>
      <c r="AB472" s="27">
        <v>0</v>
      </c>
      <c r="AC472" s="27">
        <v>0</v>
      </c>
      <c r="AD472" s="27">
        <v>0</v>
      </c>
      <c r="AE472" s="27">
        <v>0</v>
      </c>
      <c r="AF472" s="27">
        <v>0</v>
      </c>
      <c r="AG472" s="27">
        <v>0</v>
      </c>
      <c r="AH472" s="27">
        <v>0</v>
      </c>
      <c r="AJ472">
        <f t="shared" si="7"/>
        <v>1</v>
      </c>
    </row>
    <row r="473" spans="1:36">
      <c r="A473" t="s">
        <v>3389</v>
      </c>
      <c r="B473" t="s">
        <v>3390</v>
      </c>
      <c r="C473" t="s">
        <v>3391</v>
      </c>
      <c r="D473" t="s">
        <v>3392</v>
      </c>
      <c r="E473">
        <v>1997</v>
      </c>
      <c r="F473" t="s">
        <v>3393</v>
      </c>
      <c r="G473" t="s">
        <v>3394</v>
      </c>
      <c r="J473">
        <v>677</v>
      </c>
      <c r="K473">
        <v>682</v>
      </c>
      <c r="L473">
        <v>5</v>
      </c>
      <c r="M473">
        <v>1</v>
      </c>
      <c r="O473" t="s">
        <v>3395</v>
      </c>
      <c r="P473" s="22" t="str">
        <f>HYPERLINK(O473)</f>
        <v>https://www.scopus.com/inward/record.uri?eid=2-s2.0-0030673897&amp;partnerID=40&amp;md5=ebf63d49fbdc0f3b899d3d125a61f029</v>
      </c>
      <c r="Q473" t="s">
        <v>62</v>
      </c>
      <c r="R473" t="s">
        <v>48</v>
      </c>
      <c r="T473" t="s">
        <v>6</v>
      </c>
      <c r="U473" t="s">
        <v>3396</v>
      </c>
      <c r="V473" s="36">
        <v>0</v>
      </c>
      <c r="W473" s="27">
        <v>1</v>
      </c>
      <c r="X473" s="27">
        <v>0</v>
      </c>
      <c r="Y473" s="27">
        <v>0</v>
      </c>
      <c r="Z473" s="27">
        <v>0</v>
      </c>
      <c r="AA473" s="27">
        <v>0</v>
      </c>
      <c r="AB473" s="27">
        <v>0</v>
      </c>
      <c r="AC473" s="27">
        <v>0</v>
      </c>
      <c r="AD473" s="27">
        <v>0</v>
      </c>
      <c r="AE473" s="27">
        <v>0</v>
      </c>
      <c r="AF473" s="27">
        <v>0</v>
      </c>
      <c r="AG473" s="27">
        <v>0</v>
      </c>
      <c r="AH473" s="27">
        <v>0</v>
      </c>
      <c r="AJ473">
        <f t="shared" si="7"/>
        <v>1</v>
      </c>
    </row>
    <row r="474" spans="1:36">
      <c r="A474" t="s">
        <v>3397</v>
      </c>
      <c r="B474" t="s">
        <v>3398</v>
      </c>
      <c r="C474">
        <v>25937481500</v>
      </c>
      <c r="D474" t="s">
        <v>3399</v>
      </c>
      <c r="E474">
        <v>2010</v>
      </c>
      <c r="F474" t="s">
        <v>3400</v>
      </c>
      <c r="G474">
        <v>23</v>
      </c>
      <c r="H474">
        <v>2</v>
      </c>
      <c r="J474">
        <v>16</v>
      </c>
      <c r="K474">
        <v>17</v>
      </c>
      <c r="L474">
        <v>1</v>
      </c>
      <c r="M474">
        <v>0</v>
      </c>
      <c r="O474" t="s">
        <v>3401</v>
      </c>
      <c r="P474" s="22" t="str">
        <f>HYPERLINK(O474)</f>
        <v>https://www.scopus.com/inward/record.uri?eid=2-s2.0-77956034132&amp;partnerID=40&amp;md5=bcf3f2384209004deae2c995c9c1f0f0</v>
      </c>
      <c r="Q474" t="s">
        <v>156</v>
      </c>
      <c r="R474" t="s">
        <v>48</v>
      </c>
      <c r="T474" t="s">
        <v>6</v>
      </c>
      <c r="U474" t="s">
        <v>3402</v>
      </c>
      <c r="V474" s="36">
        <v>0</v>
      </c>
      <c r="W474" s="27">
        <v>1</v>
      </c>
      <c r="X474" s="27">
        <v>0</v>
      </c>
      <c r="Y474" s="27">
        <v>0</v>
      </c>
      <c r="Z474" s="27">
        <v>0</v>
      </c>
      <c r="AA474" s="27">
        <v>0</v>
      </c>
      <c r="AB474" s="27">
        <v>0</v>
      </c>
      <c r="AC474" s="27">
        <v>0</v>
      </c>
      <c r="AD474" s="27">
        <v>0</v>
      </c>
      <c r="AE474" s="27">
        <v>0</v>
      </c>
      <c r="AF474" s="27">
        <v>0</v>
      </c>
      <c r="AG474" s="27">
        <v>0</v>
      </c>
      <c r="AH474" s="27">
        <v>0</v>
      </c>
      <c r="AJ474">
        <f t="shared" si="7"/>
        <v>1</v>
      </c>
    </row>
    <row r="475" spans="1:36">
      <c r="A475" t="s">
        <v>3403</v>
      </c>
      <c r="B475" t="s">
        <v>3404</v>
      </c>
      <c r="C475" t="s">
        <v>3405</v>
      </c>
      <c r="D475" t="s">
        <v>3406</v>
      </c>
      <c r="E475">
        <v>2013</v>
      </c>
      <c r="F475" t="s">
        <v>3407</v>
      </c>
      <c r="G475">
        <v>65</v>
      </c>
      <c r="H475">
        <v>2</v>
      </c>
      <c r="J475">
        <v>265</v>
      </c>
      <c r="K475">
        <v>282</v>
      </c>
      <c r="L475">
        <v>17</v>
      </c>
      <c r="M475">
        <v>62</v>
      </c>
      <c r="N475" t="s">
        <v>3408</v>
      </c>
      <c r="O475" t="s">
        <v>3409</v>
      </c>
      <c r="P475" s="22" t="str">
        <f>HYPERLINK(O475)</f>
        <v>https://www.scopus.com/inward/record.uri?eid=2-s2.0-84875300944&amp;doi=10.1080%2f00330124.2012.679445&amp;partnerID=40&amp;md5=3aead66327fad66e4566933f67f34e80</v>
      </c>
      <c r="Q475" t="s">
        <v>156</v>
      </c>
      <c r="R475" t="s">
        <v>48</v>
      </c>
      <c r="T475" t="s">
        <v>6</v>
      </c>
      <c r="U475" t="s">
        <v>3410</v>
      </c>
      <c r="V475" s="36">
        <v>0</v>
      </c>
      <c r="W475" s="27">
        <v>1</v>
      </c>
      <c r="X475" s="27">
        <v>0</v>
      </c>
      <c r="Y475" s="27">
        <v>0</v>
      </c>
      <c r="Z475" s="27">
        <v>0</v>
      </c>
      <c r="AA475" s="27">
        <v>0</v>
      </c>
      <c r="AB475" s="27">
        <v>0</v>
      </c>
      <c r="AC475" s="27">
        <v>0</v>
      </c>
      <c r="AD475" s="27">
        <v>0</v>
      </c>
      <c r="AE475" s="27">
        <v>0</v>
      </c>
      <c r="AF475" s="27">
        <v>0</v>
      </c>
      <c r="AG475" s="27">
        <v>0</v>
      </c>
      <c r="AH475" s="27">
        <v>0</v>
      </c>
      <c r="AJ475">
        <f t="shared" si="7"/>
        <v>1</v>
      </c>
    </row>
    <row r="476" spans="1:36">
      <c r="A476" t="s">
        <v>3411</v>
      </c>
      <c r="B476" t="s">
        <v>3412</v>
      </c>
      <c r="C476">
        <v>56637730800</v>
      </c>
      <c r="D476" t="s">
        <v>3413</v>
      </c>
      <c r="E476">
        <v>2024</v>
      </c>
      <c r="F476" t="s">
        <v>3414</v>
      </c>
      <c r="J476">
        <v>90</v>
      </c>
      <c r="K476">
        <v>105</v>
      </c>
      <c r="L476">
        <v>15</v>
      </c>
      <c r="M476">
        <v>0</v>
      </c>
      <c r="N476" t="s">
        <v>3415</v>
      </c>
      <c r="O476" t="s">
        <v>3416</v>
      </c>
      <c r="P476" s="22" t="str">
        <f>HYPERLINK(O476)</f>
        <v>https://www.scopus.com/inward/record.uri?eid=2-s2.0-85209968049&amp;doi=10.4324%2f9781003474012-7&amp;partnerID=40&amp;md5=52d622bc29bfa5169c7c891f5aa1afce</v>
      </c>
      <c r="Q476" t="s">
        <v>216</v>
      </c>
      <c r="R476" t="s">
        <v>48</v>
      </c>
      <c r="T476" t="s">
        <v>6</v>
      </c>
      <c r="U476" t="s">
        <v>3417</v>
      </c>
      <c r="V476" s="36">
        <v>0</v>
      </c>
      <c r="W476" s="27">
        <v>0</v>
      </c>
      <c r="X476" s="27">
        <v>0</v>
      </c>
      <c r="Y476" s="27">
        <v>0</v>
      </c>
      <c r="Z476" s="27">
        <v>0</v>
      </c>
      <c r="AA476" s="27">
        <v>0</v>
      </c>
      <c r="AB476" s="27">
        <v>0</v>
      </c>
      <c r="AC476" s="27">
        <v>0</v>
      </c>
      <c r="AD476" s="27">
        <v>0</v>
      </c>
      <c r="AE476" s="27">
        <v>0</v>
      </c>
      <c r="AF476" s="27">
        <v>1</v>
      </c>
      <c r="AG476" s="27">
        <v>0</v>
      </c>
      <c r="AH476" s="27">
        <v>0</v>
      </c>
      <c r="AJ476">
        <f t="shared" si="7"/>
        <v>1</v>
      </c>
    </row>
    <row r="477" spans="1:36">
      <c r="A477" t="s">
        <v>3418</v>
      </c>
      <c r="B477" t="s">
        <v>3419</v>
      </c>
      <c r="C477" t="s">
        <v>3420</v>
      </c>
      <c r="D477" t="s">
        <v>3421</v>
      </c>
      <c r="E477">
        <v>2016</v>
      </c>
      <c r="F477" t="s">
        <v>3422</v>
      </c>
      <c r="G477">
        <v>173</v>
      </c>
      <c r="H477">
        <v>4</v>
      </c>
      <c r="J477">
        <v>1243</v>
      </c>
      <c r="K477">
        <v>1264</v>
      </c>
      <c r="L477">
        <v>21</v>
      </c>
      <c r="M477">
        <v>29</v>
      </c>
      <c r="N477" t="s">
        <v>3423</v>
      </c>
      <c r="O477" t="s">
        <v>3424</v>
      </c>
      <c r="P477" s="22" t="str">
        <f>HYPERLINK(O477)</f>
        <v>https://www.scopus.com/inward/record.uri?eid=2-s2.0-84962656441&amp;doi=10.1007%2fs00024-015-1182-y&amp;partnerID=40&amp;md5=d2aaa9de03763b8a8b148f5623215b42</v>
      </c>
      <c r="Q477" t="s">
        <v>156</v>
      </c>
      <c r="R477" t="s">
        <v>48</v>
      </c>
      <c r="T477" t="s">
        <v>6</v>
      </c>
      <c r="U477" t="s">
        <v>3425</v>
      </c>
      <c r="V477" s="36">
        <v>0</v>
      </c>
      <c r="W477" s="27">
        <v>0</v>
      </c>
      <c r="X477" s="27">
        <v>0</v>
      </c>
      <c r="Y477" s="27">
        <v>0</v>
      </c>
      <c r="Z477" s="27">
        <v>0</v>
      </c>
      <c r="AA477" s="27">
        <v>0</v>
      </c>
      <c r="AB477" s="27">
        <v>0</v>
      </c>
      <c r="AC477" s="27">
        <v>0</v>
      </c>
      <c r="AD477" s="27">
        <v>0</v>
      </c>
      <c r="AE477" s="27">
        <v>0</v>
      </c>
      <c r="AF477" s="27">
        <v>0</v>
      </c>
      <c r="AG477" s="27">
        <v>0</v>
      </c>
      <c r="AH477" s="27">
        <v>1</v>
      </c>
      <c r="AJ477">
        <f t="shared" si="7"/>
        <v>1</v>
      </c>
    </row>
    <row r="478" spans="1:36">
      <c r="A478" t="s">
        <v>3426</v>
      </c>
      <c r="B478" t="s">
        <v>3427</v>
      </c>
      <c r="C478">
        <v>7003967790</v>
      </c>
      <c r="D478" t="s">
        <v>3428</v>
      </c>
      <c r="E478">
        <v>2013</v>
      </c>
      <c r="F478" t="s">
        <v>3429</v>
      </c>
      <c r="G478">
        <v>9783790828795</v>
      </c>
      <c r="J478">
        <v>113</v>
      </c>
      <c r="K478">
        <v>126</v>
      </c>
      <c r="L478">
        <v>13</v>
      </c>
      <c r="M478">
        <v>18</v>
      </c>
      <c r="N478" t="s">
        <v>3430</v>
      </c>
      <c r="O478" t="s">
        <v>3431</v>
      </c>
      <c r="P478" s="22" t="str">
        <f>HYPERLINK(O478)</f>
        <v>https://www.scopus.com/inward/record.uri?eid=2-s2.0-84925413075&amp;doi=10.1007%2f978-3-7908-2879-5_7&amp;partnerID=40&amp;md5=a8288c2f08f7cadcd5f3cfb76feb5188</v>
      </c>
      <c r="Q478" t="s">
        <v>216</v>
      </c>
      <c r="R478" t="s">
        <v>48</v>
      </c>
      <c r="T478" t="s">
        <v>6</v>
      </c>
      <c r="U478" t="s">
        <v>3432</v>
      </c>
      <c r="V478" s="36">
        <v>1</v>
      </c>
      <c r="W478" s="27">
        <v>0</v>
      </c>
      <c r="X478" s="27">
        <v>0</v>
      </c>
      <c r="Y478" s="27">
        <v>0</v>
      </c>
      <c r="Z478" s="27">
        <v>0</v>
      </c>
      <c r="AA478" s="27">
        <v>0</v>
      </c>
      <c r="AB478" s="27">
        <v>0</v>
      </c>
      <c r="AC478" s="27">
        <v>0</v>
      </c>
      <c r="AD478" s="27">
        <v>0</v>
      </c>
      <c r="AE478" s="27">
        <v>0</v>
      </c>
      <c r="AF478" s="27">
        <v>0</v>
      </c>
      <c r="AG478" s="27">
        <v>0</v>
      </c>
      <c r="AH478" s="27">
        <v>0</v>
      </c>
      <c r="AJ478">
        <f t="shared" si="7"/>
        <v>1</v>
      </c>
    </row>
    <row r="479" spans="1:36">
      <c r="A479" t="s">
        <v>3433</v>
      </c>
      <c r="B479" t="s">
        <v>3434</v>
      </c>
      <c r="C479" t="s">
        <v>3435</v>
      </c>
      <c r="D479" t="s">
        <v>3436</v>
      </c>
      <c r="E479">
        <v>2022</v>
      </c>
      <c r="F479" t="s">
        <v>3437</v>
      </c>
      <c r="G479">
        <v>56</v>
      </c>
      <c r="H479">
        <v>3</v>
      </c>
      <c r="J479">
        <v>1685</v>
      </c>
      <c r="K479">
        <v>1716</v>
      </c>
      <c r="L479">
        <v>31</v>
      </c>
      <c r="M479">
        <v>4</v>
      </c>
      <c r="N479" t="s">
        <v>3438</v>
      </c>
      <c r="O479" t="s">
        <v>3439</v>
      </c>
      <c r="P479" s="22" t="str">
        <f>HYPERLINK(O479)</f>
        <v>https://www.scopus.com/inward/record.uri?eid=2-s2.0-85133720432&amp;doi=10.1051%2fro%2f2022082&amp;partnerID=40&amp;md5=064c14acd366b6cbab0e4b98ebac6070</v>
      </c>
      <c r="Q479" t="s">
        <v>156</v>
      </c>
      <c r="R479" t="s">
        <v>48</v>
      </c>
      <c r="S479" t="s">
        <v>467</v>
      </c>
      <c r="T479" t="s">
        <v>6</v>
      </c>
      <c r="U479" t="s">
        <v>3440</v>
      </c>
      <c r="V479" s="36">
        <v>0</v>
      </c>
      <c r="W479" s="27">
        <v>0</v>
      </c>
      <c r="X479" s="27">
        <v>1</v>
      </c>
      <c r="Y479" s="27">
        <v>0</v>
      </c>
      <c r="Z479" s="27">
        <v>0</v>
      </c>
      <c r="AA479" s="27">
        <v>0</v>
      </c>
      <c r="AB479" s="27">
        <v>0</v>
      </c>
      <c r="AC479" s="27">
        <v>0</v>
      </c>
      <c r="AD479" s="27">
        <v>0</v>
      </c>
      <c r="AE479" s="27">
        <v>0</v>
      </c>
      <c r="AF479" s="27">
        <v>0</v>
      </c>
      <c r="AG479" s="27">
        <v>0</v>
      </c>
      <c r="AH479" s="27">
        <v>0</v>
      </c>
      <c r="AJ479">
        <f t="shared" si="7"/>
        <v>1</v>
      </c>
    </row>
    <row r="480" spans="1:36">
      <c r="A480" t="s">
        <v>3441</v>
      </c>
      <c r="B480" t="s">
        <v>3442</v>
      </c>
      <c r="C480">
        <v>7102223533</v>
      </c>
      <c r="D480" t="s">
        <v>3443</v>
      </c>
      <c r="E480">
        <v>1971</v>
      </c>
      <c r="F480" t="s">
        <v>3444</v>
      </c>
      <c r="G480">
        <v>1</v>
      </c>
      <c r="H480">
        <v>1</v>
      </c>
      <c r="J480">
        <v>3</v>
      </c>
      <c r="K480">
        <v>18</v>
      </c>
      <c r="L480">
        <v>15</v>
      </c>
      <c r="M480">
        <v>12</v>
      </c>
      <c r="N480" t="s">
        <v>3445</v>
      </c>
      <c r="O480" t="s">
        <v>3446</v>
      </c>
      <c r="P480" s="22" t="str">
        <f>HYPERLINK(O480)</f>
        <v>https://www.scopus.com/inward/record.uri?eid=2-s2.0-2942636382&amp;doi=10.1016%2f0034-3331%2871%2990015-7&amp;partnerID=40&amp;md5=61ee4c4f915ae1c5d039ab1f847a6338</v>
      </c>
      <c r="Q480" t="s">
        <v>156</v>
      </c>
      <c r="R480" t="s">
        <v>48</v>
      </c>
      <c r="T480" t="s">
        <v>6</v>
      </c>
      <c r="U480" t="s">
        <v>3447</v>
      </c>
      <c r="V480" s="36">
        <v>0</v>
      </c>
      <c r="W480" s="27">
        <v>0</v>
      </c>
      <c r="X480" s="27">
        <v>1</v>
      </c>
      <c r="Y480" s="27">
        <v>0</v>
      </c>
      <c r="Z480" s="27">
        <v>0</v>
      </c>
      <c r="AA480" s="27">
        <v>0</v>
      </c>
      <c r="AB480" s="27">
        <v>0</v>
      </c>
      <c r="AC480" s="27">
        <v>0</v>
      </c>
      <c r="AD480" s="27">
        <v>0</v>
      </c>
      <c r="AE480" s="27">
        <v>0</v>
      </c>
      <c r="AF480" s="27">
        <v>0</v>
      </c>
      <c r="AG480" s="27">
        <v>0</v>
      </c>
      <c r="AH480" s="27">
        <v>0</v>
      </c>
      <c r="AJ480">
        <f t="shared" si="7"/>
        <v>1</v>
      </c>
    </row>
    <row r="481" spans="1:36">
      <c r="A481" t="s">
        <v>3448</v>
      </c>
      <c r="B481" t="s">
        <v>3449</v>
      </c>
      <c r="C481" t="s">
        <v>3450</v>
      </c>
      <c r="D481" t="s">
        <v>3451</v>
      </c>
      <c r="E481">
        <v>2015</v>
      </c>
      <c r="F481" t="s">
        <v>3452</v>
      </c>
      <c r="G481">
        <v>15</v>
      </c>
      <c r="H481">
        <v>2</v>
      </c>
      <c r="J481">
        <v>291</v>
      </c>
      <c r="K481">
        <v>300</v>
      </c>
      <c r="L481">
        <v>9</v>
      </c>
      <c r="M481">
        <v>46</v>
      </c>
      <c r="N481" t="s">
        <v>3453</v>
      </c>
      <c r="O481" t="s">
        <v>3454</v>
      </c>
      <c r="P481" s="22" t="str">
        <f>HYPERLINK(O481)</f>
        <v>https://www.scopus.com/inward/record.uri?eid=2-s2.0-84939886748&amp;doi=10.1007%2fs10113-014-0645-5&amp;partnerID=40&amp;md5=485903959801c03c9d183105e4947d5b</v>
      </c>
      <c r="Q481" t="s">
        <v>156</v>
      </c>
      <c r="R481" t="s">
        <v>48</v>
      </c>
      <c r="T481" t="s">
        <v>6</v>
      </c>
      <c r="U481" t="s">
        <v>3455</v>
      </c>
      <c r="V481" s="36">
        <v>1</v>
      </c>
      <c r="W481" s="27">
        <v>0</v>
      </c>
      <c r="X481" s="27">
        <v>0</v>
      </c>
      <c r="Y481" s="27">
        <v>0</v>
      </c>
      <c r="Z481" s="27">
        <v>0</v>
      </c>
      <c r="AA481" s="27">
        <v>0</v>
      </c>
      <c r="AB481" s="27">
        <v>0</v>
      </c>
      <c r="AC481" s="27">
        <v>0</v>
      </c>
      <c r="AD481" s="27">
        <v>0</v>
      </c>
      <c r="AE481" s="27">
        <v>0</v>
      </c>
      <c r="AF481" s="27">
        <v>0</v>
      </c>
      <c r="AG481" s="27">
        <v>0</v>
      </c>
      <c r="AH481" s="27">
        <v>0</v>
      </c>
      <c r="AJ481">
        <f t="shared" si="7"/>
        <v>1</v>
      </c>
    </row>
    <row r="482" spans="1:36">
      <c r="A482" t="s">
        <v>3456</v>
      </c>
      <c r="B482" t="s">
        <v>3457</v>
      </c>
      <c r="C482" t="s">
        <v>3458</v>
      </c>
      <c r="D482" t="s">
        <v>3459</v>
      </c>
      <c r="E482">
        <v>2017</v>
      </c>
      <c r="F482" t="s">
        <v>3460</v>
      </c>
      <c r="G482">
        <v>7</v>
      </c>
      <c r="H482">
        <v>2</v>
      </c>
      <c r="J482">
        <v>3</v>
      </c>
      <c r="K482">
        <v>34</v>
      </c>
      <c r="L482">
        <v>31</v>
      </c>
      <c r="M482">
        <v>18</v>
      </c>
      <c r="N482" t="s">
        <v>3461</v>
      </c>
      <c r="O482" t="s">
        <v>3462</v>
      </c>
      <c r="P482" s="22" t="str">
        <f>HYPERLINK(O482)</f>
        <v>https://www.scopus.com/inward/record.uri?eid=2-s2.0-85051558635&amp;doi=10.15196%2fRS070205&amp;partnerID=40&amp;md5=23bb18153a775d98074ade3a2fee3b29</v>
      </c>
      <c r="Q482" t="s">
        <v>156</v>
      </c>
      <c r="R482" t="s">
        <v>48</v>
      </c>
      <c r="S482" t="s">
        <v>436</v>
      </c>
      <c r="T482" t="s">
        <v>6</v>
      </c>
      <c r="U482" t="s">
        <v>3463</v>
      </c>
      <c r="V482" s="36">
        <v>0</v>
      </c>
      <c r="W482" s="27">
        <v>0</v>
      </c>
      <c r="X482" s="27">
        <v>0</v>
      </c>
      <c r="Y482" s="27">
        <v>0</v>
      </c>
      <c r="Z482" s="27">
        <v>0</v>
      </c>
      <c r="AA482" s="27">
        <v>0</v>
      </c>
      <c r="AB482" s="27">
        <v>0</v>
      </c>
      <c r="AC482" s="27">
        <v>0</v>
      </c>
      <c r="AD482" s="27">
        <v>0</v>
      </c>
      <c r="AE482" s="27">
        <v>0</v>
      </c>
      <c r="AF482" s="27">
        <v>1</v>
      </c>
      <c r="AG482" s="27">
        <v>0</v>
      </c>
      <c r="AH482" s="27">
        <v>0</v>
      </c>
      <c r="AJ482">
        <f t="shared" si="7"/>
        <v>1</v>
      </c>
    </row>
    <row r="483" spans="1:36">
      <c r="A483" t="s">
        <v>3464</v>
      </c>
      <c r="B483" t="s">
        <v>3465</v>
      </c>
      <c r="C483" t="s">
        <v>3466</v>
      </c>
      <c r="D483" t="s">
        <v>3467</v>
      </c>
      <c r="E483">
        <v>2023</v>
      </c>
      <c r="F483" t="s">
        <v>3468</v>
      </c>
      <c r="G483">
        <v>15</v>
      </c>
      <c r="H483">
        <v>8</v>
      </c>
      <c r="I483">
        <v>2146</v>
      </c>
      <c r="M483">
        <v>4</v>
      </c>
      <c r="N483" t="s">
        <v>3469</v>
      </c>
      <c r="O483" t="s">
        <v>3470</v>
      </c>
      <c r="P483" s="22" t="str">
        <f>HYPERLINK(O483)</f>
        <v>https://www.scopus.com/inward/record.uri?eid=2-s2.0-85156130027&amp;doi=10.3390%2frs15082146&amp;partnerID=40&amp;md5=312a55da120b304245b83e9e8aad5cb3</v>
      </c>
      <c r="Q483" t="s">
        <v>156</v>
      </c>
      <c r="R483" t="s">
        <v>48</v>
      </c>
      <c r="S483" t="s">
        <v>185</v>
      </c>
      <c r="T483" t="s">
        <v>6</v>
      </c>
      <c r="U483" t="s">
        <v>3471</v>
      </c>
      <c r="V483" s="36">
        <v>0</v>
      </c>
      <c r="W483" s="27">
        <v>0</v>
      </c>
      <c r="X483" s="27">
        <v>0</v>
      </c>
      <c r="Y483" s="27">
        <v>0</v>
      </c>
      <c r="Z483" s="27">
        <v>0</v>
      </c>
      <c r="AA483" s="27">
        <v>0</v>
      </c>
      <c r="AB483" s="27">
        <v>0</v>
      </c>
      <c r="AC483" s="27">
        <v>0</v>
      </c>
      <c r="AD483" s="27">
        <v>0</v>
      </c>
      <c r="AE483" s="27">
        <v>0</v>
      </c>
      <c r="AF483" s="27">
        <v>0</v>
      </c>
      <c r="AG483" s="27">
        <v>0</v>
      </c>
      <c r="AH483" s="27">
        <v>1</v>
      </c>
      <c r="AJ483">
        <f t="shared" si="7"/>
        <v>1</v>
      </c>
    </row>
    <row r="484" spans="1:36">
      <c r="A484" t="s">
        <v>3472</v>
      </c>
      <c r="B484" t="s">
        <v>3473</v>
      </c>
      <c r="C484">
        <v>56213274700</v>
      </c>
      <c r="D484" t="s">
        <v>3474</v>
      </c>
      <c r="E484">
        <v>2020</v>
      </c>
      <c r="F484" t="s">
        <v>3468</v>
      </c>
      <c r="G484">
        <v>12</v>
      </c>
      <c r="H484">
        <v>23</v>
      </c>
      <c r="I484">
        <v>3913</v>
      </c>
      <c r="J484">
        <v>1</v>
      </c>
      <c r="K484">
        <v>25</v>
      </c>
      <c r="L484">
        <v>24</v>
      </c>
      <c r="M484">
        <v>18</v>
      </c>
      <c r="N484" t="s">
        <v>3475</v>
      </c>
      <c r="O484" t="s">
        <v>3476</v>
      </c>
      <c r="P484" s="22" t="str">
        <f>HYPERLINK(O484)</f>
        <v>https://www.scopus.com/inward/record.uri?eid=2-s2.0-85097019787&amp;doi=10.3390%2frs12233913&amp;partnerID=40&amp;md5=48be4f46c562eb50c0e156087312df30</v>
      </c>
      <c r="Q484" t="s">
        <v>156</v>
      </c>
      <c r="R484" t="s">
        <v>48</v>
      </c>
      <c r="S484" t="s">
        <v>225</v>
      </c>
      <c r="T484" t="s">
        <v>6</v>
      </c>
      <c r="U484" t="s">
        <v>3477</v>
      </c>
      <c r="V484" s="36">
        <v>0</v>
      </c>
      <c r="W484" s="27">
        <v>0</v>
      </c>
      <c r="X484" s="27">
        <v>0</v>
      </c>
      <c r="Y484" s="27">
        <v>0</v>
      </c>
      <c r="Z484" s="27">
        <v>0</v>
      </c>
      <c r="AA484" s="27">
        <v>0</v>
      </c>
      <c r="AB484" s="27">
        <v>0</v>
      </c>
      <c r="AC484" s="27">
        <v>0</v>
      </c>
      <c r="AD484" s="27">
        <v>0</v>
      </c>
      <c r="AE484" s="27">
        <v>0</v>
      </c>
      <c r="AF484" s="27">
        <v>0</v>
      </c>
      <c r="AG484" s="27">
        <v>0</v>
      </c>
      <c r="AH484" s="27">
        <v>1</v>
      </c>
      <c r="AJ484">
        <f t="shared" si="7"/>
        <v>1</v>
      </c>
    </row>
    <row r="485" spans="1:36">
      <c r="A485" t="s">
        <v>3478</v>
      </c>
      <c r="B485" t="s">
        <v>3479</v>
      </c>
      <c r="C485" t="s">
        <v>3480</v>
      </c>
      <c r="D485" t="s">
        <v>3481</v>
      </c>
      <c r="E485">
        <v>2018</v>
      </c>
      <c r="F485" t="s">
        <v>3482</v>
      </c>
      <c r="J485">
        <v>37</v>
      </c>
      <c r="K485">
        <v>56</v>
      </c>
      <c r="L485">
        <v>19</v>
      </c>
      <c r="M485">
        <v>9</v>
      </c>
      <c r="N485" t="s">
        <v>3483</v>
      </c>
      <c r="O485" t="s">
        <v>3484</v>
      </c>
      <c r="P485" s="22" t="str">
        <f>HYPERLINK(O485)</f>
        <v>https://www.scopus.com/inward/record.uri?eid=2-s2.0-85099381694&amp;doi=10.1007%2f978-981-13-2128-3_3&amp;partnerID=40&amp;md5=efa47c0bd8a4293ff774088dbdce3322</v>
      </c>
      <c r="Q485" t="s">
        <v>216</v>
      </c>
      <c r="R485" t="s">
        <v>48</v>
      </c>
      <c r="T485" t="s">
        <v>6</v>
      </c>
      <c r="U485" t="s">
        <v>3485</v>
      </c>
      <c r="V485" s="36">
        <v>0</v>
      </c>
      <c r="W485" s="27">
        <v>0</v>
      </c>
      <c r="X485" s="27">
        <v>0</v>
      </c>
      <c r="Y485" s="27">
        <v>0</v>
      </c>
      <c r="Z485" s="27">
        <v>0</v>
      </c>
      <c r="AA485" s="27">
        <v>0</v>
      </c>
      <c r="AB485" s="27">
        <v>0</v>
      </c>
      <c r="AC485" s="27">
        <v>0</v>
      </c>
      <c r="AD485" s="27">
        <v>0</v>
      </c>
      <c r="AE485" s="27">
        <v>0</v>
      </c>
      <c r="AF485" s="27">
        <v>0</v>
      </c>
      <c r="AG485" s="27">
        <v>0</v>
      </c>
      <c r="AH485" s="27">
        <v>1</v>
      </c>
      <c r="AJ485">
        <f t="shared" si="7"/>
        <v>1</v>
      </c>
    </row>
    <row r="486" spans="1:36">
      <c r="A486" t="s">
        <v>3486</v>
      </c>
      <c r="B486" t="s">
        <v>3487</v>
      </c>
      <c r="C486" t="s">
        <v>3488</v>
      </c>
      <c r="D486" t="s">
        <v>3489</v>
      </c>
      <c r="E486">
        <v>2019</v>
      </c>
      <c r="F486" t="s">
        <v>3490</v>
      </c>
      <c r="G486">
        <v>49</v>
      </c>
      <c r="J486">
        <v>11</v>
      </c>
      <c r="K486">
        <v>19</v>
      </c>
      <c r="L486">
        <v>8</v>
      </c>
      <c r="M486">
        <v>6</v>
      </c>
      <c r="N486" t="s">
        <v>3491</v>
      </c>
      <c r="O486" t="s">
        <v>3492</v>
      </c>
      <c r="P486" s="22" t="str">
        <f>HYPERLINK(O486)</f>
        <v>https://www.scopus.com/inward/record.uri?eid=2-s2.0-85078207351&amp;doi=10.3301%2fROL.2019.46&amp;partnerID=40&amp;md5=6225d97a352ba21b7c8ea18d9a559e33</v>
      </c>
      <c r="Q486" t="s">
        <v>156</v>
      </c>
      <c r="R486" t="s">
        <v>48</v>
      </c>
      <c r="T486" t="s">
        <v>6</v>
      </c>
      <c r="U486" t="s">
        <v>3493</v>
      </c>
      <c r="V486" s="36">
        <v>0</v>
      </c>
      <c r="W486" s="27">
        <v>0</v>
      </c>
      <c r="X486" s="27">
        <v>0</v>
      </c>
      <c r="Y486" s="27">
        <v>0</v>
      </c>
      <c r="Z486" s="27">
        <v>0</v>
      </c>
      <c r="AA486" s="27">
        <v>0</v>
      </c>
      <c r="AB486" s="27">
        <v>0</v>
      </c>
      <c r="AC486" s="27">
        <v>0</v>
      </c>
      <c r="AD486" s="27">
        <v>0</v>
      </c>
      <c r="AE486" s="27">
        <v>0</v>
      </c>
      <c r="AF486" s="27">
        <v>0</v>
      </c>
      <c r="AG486" s="27">
        <v>0</v>
      </c>
      <c r="AH486" s="27">
        <v>1</v>
      </c>
      <c r="AJ486">
        <f t="shared" si="7"/>
        <v>1</v>
      </c>
    </row>
    <row r="487" spans="1:36">
      <c r="A487" t="s">
        <v>3494</v>
      </c>
      <c r="B487" t="s">
        <v>3495</v>
      </c>
      <c r="C487" t="s">
        <v>3496</v>
      </c>
      <c r="D487" t="s">
        <v>3497</v>
      </c>
      <c r="E487">
        <v>2019</v>
      </c>
      <c r="F487" t="s">
        <v>3490</v>
      </c>
      <c r="G487">
        <v>47</v>
      </c>
      <c r="J487">
        <v>31</v>
      </c>
      <c r="K487">
        <v>35</v>
      </c>
      <c r="L487">
        <v>4</v>
      </c>
      <c r="M487">
        <v>0</v>
      </c>
      <c r="N487" t="s">
        <v>3498</v>
      </c>
      <c r="O487" t="s">
        <v>3499</v>
      </c>
      <c r="P487" s="22" t="str">
        <f>HYPERLINK(O487)</f>
        <v>https://www.scopus.com/inward/record.uri?eid=2-s2.0-85064567944&amp;doi=10.3301%2fROL.2019.06&amp;partnerID=40&amp;md5=8d0050ac891fe9ad08a9a9da9cf047f4</v>
      </c>
      <c r="Q487" t="s">
        <v>156</v>
      </c>
      <c r="R487" t="s">
        <v>48</v>
      </c>
      <c r="T487" t="s">
        <v>6</v>
      </c>
      <c r="U487" t="s">
        <v>3500</v>
      </c>
      <c r="V487" s="36">
        <v>0</v>
      </c>
      <c r="W487" s="27">
        <v>0</v>
      </c>
      <c r="X487" s="27">
        <v>0</v>
      </c>
      <c r="Y487" s="27">
        <v>0</v>
      </c>
      <c r="Z487" s="27">
        <v>0</v>
      </c>
      <c r="AA487" s="27">
        <v>0</v>
      </c>
      <c r="AB487" s="27">
        <v>0</v>
      </c>
      <c r="AC487" s="27">
        <v>0</v>
      </c>
      <c r="AD487" s="27">
        <v>0</v>
      </c>
      <c r="AE487" s="27">
        <v>0</v>
      </c>
      <c r="AF487" s="27">
        <v>0</v>
      </c>
      <c r="AG487" s="27">
        <v>0</v>
      </c>
      <c r="AH487" s="27">
        <v>1</v>
      </c>
      <c r="AJ487">
        <f t="shared" si="7"/>
        <v>1</v>
      </c>
    </row>
    <row r="488" spans="1:36">
      <c r="A488" t="s">
        <v>3501</v>
      </c>
      <c r="B488" t="s">
        <v>3502</v>
      </c>
      <c r="C488" t="s">
        <v>3503</v>
      </c>
      <c r="D488" t="s">
        <v>3504</v>
      </c>
      <c r="E488">
        <v>2020</v>
      </c>
      <c r="F488" t="s">
        <v>3505</v>
      </c>
      <c r="J488">
        <v>303</v>
      </c>
      <c r="K488">
        <v>320</v>
      </c>
      <c r="L488">
        <v>17</v>
      </c>
      <c r="M488">
        <v>0</v>
      </c>
      <c r="N488" t="s">
        <v>3506</v>
      </c>
      <c r="O488" t="s">
        <v>3507</v>
      </c>
      <c r="P488" s="22" t="str">
        <f>HYPERLINK(O488)</f>
        <v>https://www.scopus.com/inward/record.uri?eid=2-s2.0-85089641628&amp;doi=10.1007%2f978-981-15-4661-7_18&amp;partnerID=40&amp;md5=a408f316a9dd1bf5ebfa9b54920ba5db</v>
      </c>
      <c r="Q488" t="s">
        <v>216</v>
      </c>
      <c r="R488" t="s">
        <v>48</v>
      </c>
      <c r="T488" t="s">
        <v>6</v>
      </c>
      <c r="U488" t="s">
        <v>3508</v>
      </c>
      <c r="V488" s="36">
        <v>0</v>
      </c>
      <c r="W488" s="27">
        <v>0</v>
      </c>
      <c r="X488" s="27">
        <v>0</v>
      </c>
      <c r="Y488" s="27">
        <v>0</v>
      </c>
      <c r="Z488" s="27">
        <v>0</v>
      </c>
      <c r="AA488" s="27">
        <v>0</v>
      </c>
      <c r="AB488" s="27">
        <v>0</v>
      </c>
      <c r="AC488" s="27">
        <v>0</v>
      </c>
      <c r="AD488" s="27">
        <v>0</v>
      </c>
      <c r="AE488" s="27">
        <v>0</v>
      </c>
      <c r="AF488" s="27">
        <v>0</v>
      </c>
      <c r="AG488" s="27">
        <v>0</v>
      </c>
      <c r="AH488" s="27">
        <v>1</v>
      </c>
      <c r="AJ488">
        <f t="shared" si="7"/>
        <v>1</v>
      </c>
    </row>
    <row r="489" spans="1:36">
      <c r="A489" t="s">
        <v>3509</v>
      </c>
      <c r="B489" t="s">
        <v>3510</v>
      </c>
      <c r="C489" t="s">
        <v>3511</v>
      </c>
      <c r="D489" t="s">
        <v>3512</v>
      </c>
      <c r="E489">
        <v>2014</v>
      </c>
      <c r="F489" t="s">
        <v>3513</v>
      </c>
      <c r="G489">
        <v>34</v>
      </c>
      <c r="J489">
        <v>349</v>
      </c>
      <c r="K489">
        <v>374</v>
      </c>
      <c r="L489">
        <v>25</v>
      </c>
      <c r="M489">
        <v>2</v>
      </c>
      <c r="N489" t="s">
        <v>3514</v>
      </c>
      <c r="O489" t="s">
        <v>3515</v>
      </c>
      <c r="P489" s="22" t="str">
        <f>HYPERLINK(O489)</f>
        <v>https://www.scopus.com/inward/record.uri?eid=2-s2.0-84908477963&amp;doi=10.1108%2fS0190-128120140000034012&amp;partnerID=40&amp;md5=6c1bd1b6640918742a467ec7dad2dc47</v>
      </c>
      <c r="Q489" t="s">
        <v>156</v>
      </c>
      <c r="R489" t="s">
        <v>48</v>
      </c>
      <c r="S489" t="s">
        <v>164</v>
      </c>
      <c r="T489" t="s">
        <v>6</v>
      </c>
      <c r="U489" t="s">
        <v>3516</v>
      </c>
      <c r="V489" s="36">
        <v>0</v>
      </c>
      <c r="W489" s="27">
        <v>0</v>
      </c>
      <c r="X489" s="27">
        <v>0</v>
      </c>
      <c r="Y489" s="27">
        <v>0</v>
      </c>
      <c r="Z489" s="27">
        <v>0</v>
      </c>
      <c r="AA489" s="27">
        <v>0</v>
      </c>
      <c r="AB489" s="27">
        <v>0</v>
      </c>
      <c r="AC489" s="27">
        <v>0</v>
      </c>
      <c r="AD489" s="27">
        <v>0</v>
      </c>
      <c r="AE489" s="27">
        <v>0</v>
      </c>
      <c r="AF489" s="27">
        <v>0</v>
      </c>
      <c r="AG489" s="27">
        <v>0</v>
      </c>
      <c r="AH489" s="27">
        <v>1</v>
      </c>
      <c r="AJ489">
        <f t="shared" si="7"/>
        <v>1</v>
      </c>
    </row>
    <row r="490" spans="1:36">
      <c r="A490" t="s">
        <v>3517</v>
      </c>
      <c r="B490" t="s">
        <v>3518</v>
      </c>
      <c r="C490" t="s">
        <v>3519</v>
      </c>
      <c r="D490" t="s">
        <v>3520</v>
      </c>
      <c r="E490">
        <v>2024</v>
      </c>
      <c r="F490" t="s">
        <v>3521</v>
      </c>
      <c r="G490">
        <v>55</v>
      </c>
      <c r="I490">
        <v>101134</v>
      </c>
      <c r="M490">
        <v>1</v>
      </c>
      <c r="N490" t="s">
        <v>3522</v>
      </c>
      <c r="O490" t="s">
        <v>3523</v>
      </c>
      <c r="P490" s="22" t="str">
        <f>HYPERLINK(O490)</f>
        <v>https://www.scopus.com/inward/record.uri?eid=2-s2.0-85193233216&amp;doi=10.1016%2fj.rtbm.2024.101134&amp;partnerID=40&amp;md5=22051bff1e329832a2217d75eeed4afb</v>
      </c>
      <c r="Q490" t="s">
        <v>156</v>
      </c>
      <c r="R490" t="s">
        <v>48</v>
      </c>
      <c r="T490" t="s">
        <v>6</v>
      </c>
      <c r="U490" t="s">
        <v>3524</v>
      </c>
      <c r="V490" s="36">
        <v>0</v>
      </c>
      <c r="W490" s="27">
        <v>1</v>
      </c>
      <c r="X490" s="27">
        <v>0</v>
      </c>
      <c r="Y490" s="27">
        <v>0</v>
      </c>
      <c r="Z490" s="27">
        <v>0</v>
      </c>
      <c r="AA490" s="27">
        <v>0</v>
      </c>
      <c r="AB490" s="27">
        <v>0</v>
      </c>
      <c r="AC490" s="27">
        <v>0</v>
      </c>
      <c r="AD490" s="27">
        <v>0</v>
      </c>
      <c r="AE490" s="27">
        <v>0</v>
      </c>
      <c r="AF490" s="27">
        <v>0</v>
      </c>
      <c r="AG490" s="27">
        <v>0</v>
      </c>
      <c r="AH490" s="27">
        <v>0</v>
      </c>
      <c r="AJ490">
        <f t="shared" si="7"/>
        <v>1</v>
      </c>
    </row>
    <row r="491" spans="1:36">
      <c r="A491" t="s">
        <v>2932</v>
      </c>
      <c r="B491" t="s">
        <v>2933</v>
      </c>
      <c r="C491">
        <v>56085736700</v>
      </c>
      <c r="D491" t="s">
        <v>3525</v>
      </c>
      <c r="E491">
        <v>2024</v>
      </c>
      <c r="F491" t="s">
        <v>3526</v>
      </c>
      <c r="G491">
        <v>75</v>
      </c>
      <c r="H491">
        <v>1</v>
      </c>
      <c r="J491">
        <v>21</v>
      </c>
      <c r="K491">
        <v>41</v>
      </c>
      <c r="L491">
        <v>20</v>
      </c>
      <c r="M491">
        <v>0</v>
      </c>
      <c r="N491" t="s">
        <v>3527</v>
      </c>
      <c r="O491" t="s">
        <v>3528</v>
      </c>
      <c r="P491" s="22" t="str">
        <f>HYPERLINK(O491)</f>
        <v>https://www.scopus.com/inward/record.uri?eid=2-s2.0-85190339322&amp;doi=10.1515%2froe-2023-0110&amp;partnerID=40&amp;md5=a7ecedf411f91cd93f065430e36ee911</v>
      </c>
      <c r="Q491" t="s">
        <v>156</v>
      </c>
      <c r="R491" t="s">
        <v>48</v>
      </c>
      <c r="T491" t="s">
        <v>6</v>
      </c>
      <c r="U491" t="s">
        <v>3529</v>
      </c>
      <c r="V491" s="36">
        <v>0</v>
      </c>
      <c r="W491" s="27">
        <v>0</v>
      </c>
      <c r="X491" s="27">
        <v>0</v>
      </c>
      <c r="Y491" s="27">
        <v>0</v>
      </c>
      <c r="Z491" s="27">
        <v>0</v>
      </c>
      <c r="AA491" s="27">
        <v>0</v>
      </c>
      <c r="AB491" s="27">
        <v>0</v>
      </c>
      <c r="AC491" s="27">
        <v>0</v>
      </c>
      <c r="AD491" s="27">
        <v>0</v>
      </c>
      <c r="AE491" s="27">
        <v>1</v>
      </c>
      <c r="AF491" s="27">
        <v>0</v>
      </c>
      <c r="AG491" s="27">
        <v>0</v>
      </c>
      <c r="AH491" s="27">
        <v>0</v>
      </c>
      <c r="AJ491">
        <f t="shared" si="7"/>
        <v>1</v>
      </c>
    </row>
    <row r="492" spans="1:36">
      <c r="A492" t="s">
        <v>3530</v>
      </c>
      <c r="B492" t="s">
        <v>3531</v>
      </c>
      <c r="C492" t="s">
        <v>3532</v>
      </c>
      <c r="D492" t="s">
        <v>3533</v>
      </c>
      <c r="E492">
        <v>2006</v>
      </c>
      <c r="F492" t="s">
        <v>3534</v>
      </c>
      <c r="G492">
        <v>18</v>
      </c>
      <c r="H492">
        <v>2</v>
      </c>
      <c r="J492">
        <v>165</v>
      </c>
      <c r="K492">
        <v>178</v>
      </c>
      <c r="L492">
        <v>13</v>
      </c>
      <c r="M492">
        <v>3</v>
      </c>
      <c r="N492" t="s">
        <v>3535</v>
      </c>
      <c r="O492" t="s">
        <v>3536</v>
      </c>
      <c r="P492" s="22" t="str">
        <f>HYPERLINK(O492)</f>
        <v>https://www.scopus.com/inward/record.uri?eid=2-s2.0-33845686712&amp;doi=10.1111%2fj.1467-940X.2006.00116.x&amp;partnerID=40&amp;md5=a5b729080de0866259a68ad2badc4f37</v>
      </c>
      <c r="Q492" t="s">
        <v>156</v>
      </c>
      <c r="R492" t="s">
        <v>48</v>
      </c>
      <c r="T492" t="s">
        <v>6</v>
      </c>
      <c r="U492" t="s">
        <v>3537</v>
      </c>
      <c r="V492" s="36">
        <v>0</v>
      </c>
      <c r="W492" s="27">
        <v>0</v>
      </c>
      <c r="X492" s="27">
        <v>0</v>
      </c>
      <c r="Y492" s="27">
        <v>0</v>
      </c>
      <c r="Z492" s="27">
        <v>0</v>
      </c>
      <c r="AA492" s="27">
        <v>0</v>
      </c>
      <c r="AB492" s="27">
        <v>0</v>
      </c>
      <c r="AC492" s="27">
        <v>0</v>
      </c>
      <c r="AD492" s="27">
        <v>0</v>
      </c>
      <c r="AE492" s="27">
        <v>0</v>
      </c>
      <c r="AF492" s="27">
        <v>0</v>
      </c>
      <c r="AG492" s="27">
        <v>0</v>
      </c>
      <c r="AH492" s="27">
        <v>1</v>
      </c>
      <c r="AJ492">
        <f t="shared" si="7"/>
        <v>1</v>
      </c>
    </row>
    <row r="493" spans="1:36">
      <c r="A493" t="s">
        <v>3538</v>
      </c>
      <c r="B493" t="s">
        <v>3539</v>
      </c>
      <c r="C493" t="s">
        <v>3540</v>
      </c>
      <c r="D493" t="s">
        <v>3541</v>
      </c>
      <c r="E493">
        <v>2021</v>
      </c>
      <c r="F493" t="s">
        <v>3542</v>
      </c>
      <c r="G493">
        <v>32</v>
      </c>
      <c r="J493">
        <v>130</v>
      </c>
      <c r="K493">
        <v>147</v>
      </c>
      <c r="L493">
        <v>17</v>
      </c>
      <c r="M493">
        <v>3</v>
      </c>
      <c r="N493" t="s">
        <v>3543</v>
      </c>
      <c r="O493" t="s">
        <v>3544</v>
      </c>
      <c r="P493" s="22" t="str">
        <f>HYPERLINK(O493)</f>
        <v>https://www.scopus.com/inward/record.uri?eid=2-s2.0-85122234626&amp;doi=10.46661%2fREVMETODOSCUANTECONEMPRESA.4482&amp;partnerID=40&amp;md5=2cb82db2c1765062fb3bb3722adf6af0</v>
      </c>
      <c r="Q493" t="s">
        <v>156</v>
      </c>
      <c r="R493" t="s">
        <v>48</v>
      </c>
      <c r="S493" t="s">
        <v>225</v>
      </c>
      <c r="T493" t="s">
        <v>6</v>
      </c>
      <c r="U493" t="s">
        <v>3545</v>
      </c>
      <c r="V493" s="36">
        <v>0</v>
      </c>
      <c r="W493" s="27">
        <v>0</v>
      </c>
      <c r="X493" s="27">
        <v>0</v>
      </c>
      <c r="Y493" s="27">
        <v>0</v>
      </c>
      <c r="Z493" s="27">
        <v>1</v>
      </c>
      <c r="AA493" s="27">
        <v>0</v>
      </c>
      <c r="AB493" s="27">
        <v>0</v>
      </c>
      <c r="AC493" s="27">
        <v>0</v>
      </c>
      <c r="AD493" s="27">
        <v>0</v>
      </c>
      <c r="AE493" s="27">
        <v>0</v>
      </c>
      <c r="AF493" s="27">
        <v>0</v>
      </c>
      <c r="AG493" s="27">
        <v>0</v>
      </c>
      <c r="AH493" s="27">
        <v>0</v>
      </c>
      <c r="AJ493">
        <f t="shared" si="7"/>
        <v>1</v>
      </c>
    </row>
    <row r="494" spans="1:36">
      <c r="A494" t="s">
        <v>3546</v>
      </c>
      <c r="B494" t="s">
        <v>3547</v>
      </c>
      <c r="C494" t="s">
        <v>3548</v>
      </c>
      <c r="D494" t="s">
        <v>3549</v>
      </c>
      <c r="E494">
        <v>2009</v>
      </c>
      <c r="F494" t="s">
        <v>3550</v>
      </c>
      <c r="G494">
        <v>42</v>
      </c>
      <c r="H494">
        <v>1</v>
      </c>
      <c r="J494">
        <v>53</v>
      </c>
      <c r="K494">
        <v>72</v>
      </c>
      <c r="L494">
        <v>19</v>
      </c>
      <c r="M494">
        <v>35</v>
      </c>
      <c r="N494" t="s">
        <v>3551</v>
      </c>
      <c r="O494" t="s">
        <v>3552</v>
      </c>
      <c r="P494" s="22" t="str">
        <f>HYPERLINK(O494)</f>
        <v>https://www.scopus.com/inward/record.uri?eid=2-s2.0-59549106161&amp;doi=10.1007%2fs00603-008-0163-1&amp;partnerID=40&amp;md5=1963301c6a924ac5b7bd8f9883fb76bf</v>
      </c>
      <c r="Q494" t="s">
        <v>156</v>
      </c>
      <c r="R494" t="s">
        <v>48</v>
      </c>
      <c r="T494" t="s">
        <v>6</v>
      </c>
      <c r="U494" t="s">
        <v>3553</v>
      </c>
      <c r="V494" s="36">
        <v>0</v>
      </c>
      <c r="W494" s="27">
        <v>0</v>
      </c>
      <c r="X494" s="27">
        <v>0</v>
      </c>
      <c r="Y494" s="27">
        <v>0</v>
      </c>
      <c r="Z494" s="27">
        <v>0</v>
      </c>
      <c r="AA494" s="27">
        <v>0</v>
      </c>
      <c r="AB494" s="27">
        <v>0</v>
      </c>
      <c r="AC494" s="27">
        <v>0</v>
      </c>
      <c r="AD494" s="27">
        <v>0</v>
      </c>
      <c r="AE494" s="27">
        <v>0</v>
      </c>
      <c r="AF494" s="27">
        <v>0</v>
      </c>
      <c r="AG494" s="27">
        <v>0</v>
      </c>
      <c r="AH494" s="27">
        <v>1</v>
      </c>
      <c r="AJ494">
        <f t="shared" si="7"/>
        <v>1</v>
      </c>
    </row>
    <row r="495" spans="1:36">
      <c r="A495" t="s">
        <v>3554</v>
      </c>
      <c r="B495" t="s">
        <v>3555</v>
      </c>
      <c r="C495">
        <v>57220926131</v>
      </c>
      <c r="D495" t="s">
        <v>3556</v>
      </c>
      <c r="E495">
        <v>2020</v>
      </c>
      <c r="F495" t="s">
        <v>3557</v>
      </c>
      <c r="G495">
        <v>3</v>
      </c>
      <c r="H495">
        <v>1</v>
      </c>
      <c r="J495">
        <v>42</v>
      </c>
      <c r="K495">
        <v>64</v>
      </c>
      <c r="L495">
        <v>22</v>
      </c>
      <c r="M495">
        <v>0</v>
      </c>
      <c r="N495" t="s">
        <v>3558</v>
      </c>
      <c r="O495" t="s">
        <v>3559</v>
      </c>
      <c r="P495" s="22" t="str">
        <f>HYPERLINK(O495)</f>
        <v>https://www.scopus.com/inward/record.uri?eid=2-s2.0-85166262973&amp;doi=10.24411%2f2658-6789-2020-10003&amp;partnerID=40&amp;md5=50c9183434b364cd3f97b4e25cd99fe7</v>
      </c>
      <c r="Q495" t="s">
        <v>156</v>
      </c>
      <c r="R495" t="s">
        <v>48</v>
      </c>
      <c r="T495" t="s">
        <v>6</v>
      </c>
      <c r="U495" t="s">
        <v>3560</v>
      </c>
      <c r="V495" s="36">
        <v>0</v>
      </c>
      <c r="W495" s="27">
        <v>0</v>
      </c>
      <c r="X495" s="27">
        <v>0</v>
      </c>
      <c r="Y495" s="27">
        <v>0</v>
      </c>
      <c r="Z495" s="27">
        <v>0</v>
      </c>
      <c r="AA495" s="27">
        <v>0</v>
      </c>
      <c r="AB495" s="27">
        <v>0</v>
      </c>
      <c r="AC495" s="27">
        <v>0</v>
      </c>
      <c r="AD495" s="27">
        <v>0</v>
      </c>
      <c r="AE495" s="27">
        <v>0</v>
      </c>
      <c r="AF495" s="27">
        <v>0</v>
      </c>
      <c r="AG495" s="27">
        <v>0</v>
      </c>
      <c r="AH495" s="27">
        <v>1</v>
      </c>
      <c r="AJ495">
        <f t="shared" si="7"/>
        <v>1</v>
      </c>
    </row>
    <row r="496" spans="1:36">
      <c r="A496" t="s">
        <v>3561</v>
      </c>
      <c r="B496" t="s">
        <v>3562</v>
      </c>
      <c r="C496" t="s">
        <v>3563</v>
      </c>
      <c r="D496" t="s">
        <v>3564</v>
      </c>
      <c r="E496">
        <v>2024</v>
      </c>
      <c r="F496" t="s">
        <v>3565</v>
      </c>
      <c r="M496">
        <v>0</v>
      </c>
      <c r="N496" t="s">
        <v>3566</v>
      </c>
      <c r="O496" t="s">
        <v>3567</v>
      </c>
      <c r="P496" s="22" t="str">
        <f>HYPERLINK(O496)</f>
        <v>https://www.scopus.com/inward/record.uri?eid=2-s2.0-85187017667&amp;doi=10.4271%2f2024-26-0249&amp;partnerID=40&amp;md5=745067346cf756fa2f9a9ae41c99c12f</v>
      </c>
      <c r="Q496" t="s">
        <v>62</v>
      </c>
      <c r="R496" t="s">
        <v>48</v>
      </c>
      <c r="T496" t="s">
        <v>6</v>
      </c>
      <c r="U496" t="s">
        <v>3568</v>
      </c>
      <c r="V496" s="36">
        <v>0</v>
      </c>
      <c r="W496" s="27">
        <v>0</v>
      </c>
      <c r="X496" s="27">
        <v>0</v>
      </c>
      <c r="Y496" s="27">
        <v>0</v>
      </c>
      <c r="Z496" s="27">
        <v>0</v>
      </c>
      <c r="AA496" s="27">
        <v>0</v>
      </c>
      <c r="AB496" s="27">
        <v>0</v>
      </c>
      <c r="AC496" s="27">
        <v>0</v>
      </c>
      <c r="AD496" s="27">
        <v>0</v>
      </c>
      <c r="AE496" s="27">
        <v>0</v>
      </c>
      <c r="AF496" s="27">
        <v>0</v>
      </c>
      <c r="AG496" s="27">
        <v>0</v>
      </c>
      <c r="AH496" s="27">
        <v>0</v>
      </c>
      <c r="AJ496">
        <f t="shared" si="7"/>
        <v>0</v>
      </c>
    </row>
    <row r="497" spans="1:36">
      <c r="A497" t="s">
        <v>3569</v>
      </c>
      <c r="B497" t="s">
        <v>3570</v>
      </c>
      <c r="C497">
        <v>25639107300</v>
      </c>
      <c r="D497" t="s">
        <v>3571</v>
      </c>
      <c r="E497">
        <v>2001</v>
      </c>
      <c r="F497" t="s">
        <v>3565</v>
      </c>
      <c r="M497">
        <v>0</v>
      </c>
      <c r="N497" t="s">
        <v>3572</v>
      </c>
      <c r="O497" t="s">
        <v>3573</v>
      </c>
      <c r="P497" s="22" t="str">
        <f>HYPERLINK(O497)</f>
        <v>https://www.scopus.com/inward/record.uri?eid=2-s2.0-85072465681&amp;doi=10.4271%2f2001-01-2172&amp;partnerID=40&amp;md5=03120ce85e7a56120b015fe3b32fccdc</v>
      </c>
      <c r="Q497" t="s">
        <v>62</v>
      </c>
      <c r="R497" t="s">
        <v>48</v>
      </c>
      <c r="T497" t="s">
        <v>6</v>
      </c>
      <c r="U497" t="s">
        <v>3574</v>
      </c>
      <c r="V497" s="36">
        <v>0</v>
      </c>
      <c r="W497" s="27">
        <v>1</v>
      </c>
      <c r="X497" s="27">
        <v>0</v>
      </c>
      <c r="Y497" s="27">
        <v>0</v>
      </c>
      <c r="Z497" s="27">
        <v>0</v>
      </c>
      <c r="AA497" s="27">
        <v>0</v>
      </c>
      <c r="AB497" s="27">
        <v>0</v>
      </c>
      <c r="AC497" s="27">
        <v>0</v>
      </c>
      <c r="AD497" s="27">
        <v>0</v>
      </c>
      <c r="AE497" s="27">
        <v>0</v>
      </c>
      <c r="AF497" s="27">
        <v>0</v>
      </c>
      <c r="AG497" s="27">
        <v>0</v>
      </c>
      <c r="AH497" s="27">
        <v>1</v>
      </c>
      <c r="AJ497">
        <f t="shared" si="7"/>
        <v>2</v>
      </c>
    </row>
    <row r="498" spans="1:36">
      <c r="A498" t="s">
        <v>3575</v>
      </c>
      <c r="B498" t="s">
        <v>3576</v>
      </c>
      <c r="C498" t="s">
        <v>3577</v>
      </c>
      <c r="D498" t="s">
        <v>3578</v>
      </c>
      <c r="E498">
        <v>2023</v>
      </c>
      <c r="F498" t="s">
        <v>3579</v>
      </c>
      <c r="G498">
        <v>13</v>
      </c>
      <c r="H498">
        <v>3</v>
      </c>
      <c r="M498">
        <v>1</v>
      </c>
      <c r="N498" t="s">
        <v>3580</v>
      </c>
      <c r="O498" t="s">
        <v>3581</v>
      </c>
      <c r="P498" s="22" t="str">
        <f>HYPERLINK(O498)</f>
        <v>https://www.scopus.com/inward/record.uri?eid=2-s2.0-85164605816&amp;doi=10.1177%2f21582440231181368&amp;partnerID=40&amp;md5=b9ee0f1353ebbe88999f38e063fb55ce</v>
      </c>
      <c r="Q498" t="s">
        <v>156</v>
      </c>
      <c r="R498" t="s">
        <v>48</v>
      </c>
      <c r="S498" t="s">
        <v>185</v>
      </c>
      <c r="T498" t="s">
        <v>6</v>
      </c>
      <c r="U498" t="s">
        <v>3582</v>
      </c>
      <c r="V498" s="36">
        <v>0</v>
      </c>
      <c r="W498" s="27">
        <v>1</v>
      </c>
      <c r="X498" s="27">
        <v>0</v>
      </c>
      <c r="Y498" s="27">
        <v>0</v>
      </c>
      <c r="Z498" s="27">
        <v>0</v>
      </c>
      <c r="AA498" s="27">
        <v>0</v>
      </c>
      <c r="AB498" s="27">
        <v>0</v>
      </c>
      <c r="AC498" s="27">
        <v>0</v>
      </c>
      <c r="AD498" s="27">
        <v>0</v>
      </c>
      <c r="AE498" s="27">
        <v>0</v>
      </c>
      <c r="AF498" s="27">
        <v>0</v>
      </c>
      <c r="AG498" s="27">
        <v>0</v>
      </c>
      <c r="AH498" s="27">
        <v>0</v>
      </c>
      <c r="AJ498">
        <f t="shared" si="7"/>
        <v>1</v>
      </c>
    </row>
    <row r="499" spans="1:36">
      <c r="A499" t="s">
        <v>3583</v>
      </c>
      <c r="B499" t="s">
        <v>3584</v>
      </c>
      <c r="C499">
        <v>57198288997</v>
      </c>
      <c r="D499" t="s">
        <v>3585</v>
      </c>
      <c r="E499">
        <v>1998</v>
      </c>
      <c r="F499" t="s">
        <v>3586</v>
      </c>
      <c r="G499">
        <v>279</v>
      </c>
      <c r="H499">
        <v>5359</v>
      </c>
      <c r="J499">
        <v>2029</v>
      </c>
      <c r="M499">
        <v>0</v>
      </c>
      <c r="O499" t="s">
        <v>3587</v>
      </c>
      <c r="P499" s="22" t="str">
        <f>HYPERLINK(O499)</f>
        <v>https://www.scopus.com/inward/record.uri?eid=2-s2.0-0032571466&amp;partnerID=40&amp;md5=73b43ff4c9efe360fd9fb023907f0f7e</v>
      </c>
      <c r="Q499" t="s">
        <v>425</v>
      </c>
      <c r="R499" t="s">
        <v>48</v>
      </c>
      <c r="T499" t="s">
        <v>6</v>
      </c>
      <c r="U499" t="s">
        <v>3588</v>
      </c>
      <c r="V499" s="36">
        <v>0</v>
      </c>
      <c r="W499" s="27">
        <v>1</v>
      </c>
      <c r="X499" s="27">
        <v>0</v>
      </c>
      <c r="Y499" s="27">
        <v>0</v>
      </c>
      <c r="Z499" s="27">
        <v>0</v>
      </c>
      <c r="AA499" s="27">
        <v>0</v>
      </c>
      <c r="AB499" s="27">
        <v>0</v>
      </c>
      <c r="AC499" s="27">
        <v>0</v>
      </c>
      <c r="AD499" s="27">
        <v>0</v>
      </c>
      <c r="AE499" s="27">
        <v>0</v>
      </c>
      <c r="AF499" s="27">
        <v>0</v>
      </c>
      <c r="AG499" s="27">
        <v>0</v>
      </c>
      <c r="AH499" s="27">
        <v>0</v>
      </c>
      <c r="AJ499">
        <f t="shared" si="7"/>
        <v>1</v>
      </c>
    </row>
    <row r="500" spans="1:36">
      <c r="A500" t="s">
        <v>3589</v>
      </c>
      <c r="B500" t="s">
        <v>3590</v>
      </c>
      <c r="C500" t="s">
        <v>3591</v>
      </c>
      <c r="D500" t="s">
        <v>3592</v>
      </c>
      <c r="E500">
        <v>2018</v>
      </c>
      <c r="F500" t="s">
        <v>3593</v>
      </c>
      <c r="G500">
        <v>636</v>
      </c>
      <c r="J500">
        <v>670</v>
      </c>
      <c r="K500">
        <v>687</v>
      </c>
      <c r="L500">
        <v>17</v>
      </c>
      <c r="M500">
        <v>13</v>
      </c>
      <c r="N500" t="s">
        <v>3594</v>
      </c>
      <c r="O500" t="s">
        <v>3595</v>
      </c>
      <c r="P500" s="22" t="str">
        <f>HYPERLINK(O500)</f>
        <v>https://www.scopus.com/inward/record.uri?eid=2-s2.0-85046121193&amp;doi=10.1016%2fj.scitotenv.2018.04.280&amp;partnerID=40&amp;md5=f660653cc400d1d3712697a284ed5086</v>
      </c>
      <c r="Q500" t="s">
        <v>156</v>
      </c>
      <c r="R500" t="s">
        <v>48</v>
      </c>
      <c r="T500" t="s">
        <v>6</v>
      </c>
      <c r="U500" t="s">
        <v>3596</v>
      </c>
      <c r="V500" s="36">
        <v>0</v>
      </c>
      <c r="W500" s="27">
        <v>0</v>
      </c>
      <c r="X500" s="27">
        <v>0</v>
      </c>
      <c r="Y500" s="27">
        <v>0</v>
      </c>
      <c r="Z500" s="27">
        <v>0</v>
      </c>
      <c r="AA500" s="27">
        <v>0</v>
      </c>
      <c r="AB500" s="27">
        <v>0</v>
      </c>
      <c r="AC500" s="27">
        <v>0</v>
      </c>
      <c r="AD500" s="27">
        <v>0</v>
      </c>
      <c r="AE500" s="27">
        <v>0</v>
      </c>
      <c r="AF500" s="27">
        <v>0</v>
      </c>
      <c r="AG500" s="27">
        <v>0</v>
      </c>
      <c r="AH500" s="27">
        <v>1</v>
      </c>
      <c r="AJ500">
        <f t="shared" si="7"/>
        <v>1</v>
      </c>
    </row>
    <row r="501" spans="1:36">
      <c r="A501" t="s">
        <v>3597</v>
      </c>
      <c r="B501" t="s">
        <v>3598</v>
      </c>
      <c r="C501" t="s">
        <v>3599</v>
      </c>
      <c r="D501" t="s">
        <v>3600</v>
      </c>
      <c r="E501">
        <v>2021</v>
      </c>
      <c r="F501" t="s">
        <v>3593</v>
      </c>
      <c r="G501">
        <v>764</v>
      </c>
      <c r="I501">
        <v>142853</v>
      </c>
      <c r="M501">
        <v>42</v>
      </c>
      <c r="N501" t="s">
        <v>3601</v>
      </c>
      <c r="O501" t="s">
        <v>3602</v>
      </c>
      <c r="P501" s="22" t="str">
        <f>HYPERLINK(O501)</f>
        <v>https://www.scopus.com/inward/record.uri?eid=2-s2.0-85092928529&amp;doi=10.1016%2fj.scitotenv.2020.142853&amp;partnerID=40&amp;md5=6480654a95a8f87b804b36fa08731b13</v>
      </c>
      <c r="Q501" t="s">
        <v>156</v>
      </c>
      <c r="R501" t="s">
        <v>48</v>
      </c>
      <c r="S501" t="s">
        <v>164</v>
      </c>
      <c r="T501" t="s">
        <v>6</v>
      </c>
      <c r="U501" t="s">
        <v>3603</v>
      </c>
      <c r="V501" s="36">
        <v>0</v>
      </c>
      <c r="W501" s="27">
        <v>0</v>
      </c>
      <c r="X501" s="27">
        <v>0</v>
      </c>
      <c r="Y501" s="27">
        <v>0</v>
      </c>
      <c r="Z501" s="27">
        <v>0</v>
      </c>
      <c r="AA501" s="27">
        <v>0</v>
      </c>
      <c r="AB501" s="27">
        <v>0</v>
      </c>
      <c r="AC501" s="27">
        <v>0</v>
      </c>
      <c r="AD501" s="27">
        <v>0</v>
      </c>
      <c r="AE501" s="27">
        <v>0</v>
      </c>
      <c r="AF501" s="27">
        <v>0</v>
      </c>
      <c r="AG501" s="27">
        <v>0</v>
      </c>
      <c r="AH501" s="27">
        <v>1</v>
      </c>
      <c r="AJ501">
        <f t="shared" si="7"/>
        <v>1</v>
      </c>
    </row>
    <row r="502" spans="1:36">
      <c r="A502" t="s">
        <v>3604</v>
      </c>
      <c r="B502" t="s">
        <v>3605</v>
      </c>
      <c r="C502" t="s">
        <v>3606</v>
      </c>
      <c r="D502" t="s">
        <v>3607</v>
      </c>
      <c r="E502">
        <v>2013</v>
      </c>
      <c r="F502" t="s">
        <v>3608</v>
      </c>
      <c r="G502">
        <v>32</v>
      </c>
      <c r="H502">
        <v>2</v>
      </c>
      <c r="J502">
        <v>77</v>
      </c>
      <c r="K502">
        <v>95</v>
      </c>
      <c r="L502">
        <v>18</v>
      </c>
      <c r="M502">
        <v>2</v>
      </c>
      <c r="O502" t="s">
        <v>3609</v>
      </c>
      <c r="P502" s="22" t="str">
        <f>HYPERLINK(O502)</f>
        <v>https://www.scopus.com/inward/record.uri?eid=2-s2.0-84877127401&amp;partnerID=40&amp;md5=87b739ca0d71220687edd0a2277ac7ee</v>
      </c>
      <c r="Q502" t="s">
        <v>156</v>
      </c>
      <c r="R502" t="s">
        <v>48</v>
      </c>
      <c r="T502" t="s">
        <v>6</v>
      </c>
      <c r="U502" t="s">
        <v>3610</v>
      </c>
      <c r="V502" s="36">
        <v>0</v>
      </c>
      <c r="W502" s="27">
        <v>0</v>
      </c>
      <c r="X502" s="27">
        <v>0</v>
      </c>
      <c r="Y502" s="27">
        <v>0</v>
      </c>
      <c r="Z502" s="27">
        <v>0</v>
      </c>
      <c r="AA502" s="27">
        <v>0</v>
      </c>
      <c r="AB502" s="27">
        <v>0</v>
      </c>
      <c r="AC502" s="27">
        <v>0</v>
      </c>
      <c r="AD502" s="27">
        <v>0</v>
      </c>
      <c r="AE502" s="27">
        <v>0</v>
      </c>
      <c r="AF502" s="27">
        <v>0</v>
      </c>
      <c r="AG502" s="27">
        <v>0</v>
      </c>
      <c r="AH502" s="27">
        <v>1</v>
      </c>
      <c r="AJ502">
        <f t="shared" si="7"/>
        <v>1</v>
      </c>
    </row>
    <row r="503" spans="1:36">
      <c r="A503" t="s">
        <v>3611</v>
      </c>
      <c r="B503" t="s">
        <v>3612</v>
      </c>
      <c r="C503" t="s">
        <v>3613</v>
      </c>
      <c r="D503" t="s">
        <v>3614</v>
      </c>
      <c r="E503">
        <v>2021</v>
      </c>
      <c r="F503" t="s">
        <v>3615</v>
      </c>
      <c r="G503">
        <v>2021</v>
      </c>
      <c r="I503">
        <v>1951264</v>
      </c>
      <c r="M503">
        <v>2</v>
      </c>
      <c r="N503" t="s">
        <v>3616</v>
      </c>
      <c r="O503" t="s">
        <v>3617</v>
      </c>
      <c r="P503" s="22" t="str">
        <f>HYPERLINK(O503)</f>
        <v>https://www.scopus.com/inward/record.uri?eid=2-s2.0-85114674811&amp;doi=10.1155%2f2021%2f1951264&amp;partnerID=40&amp;md5=2d76171c12ea87d9d50ebfb1a0fc0848</v>
      </c>
      <c r="Q503" t="s">
        <v>156</v>
      </c>
      <c r="R503" t="s">
        <v>48</v>
      </c>
      <c r="S503" t="s">
        <v>185</v>
      </c>
      <c r="T503" t="s">
        <v>6</v>
      </c>
      <c r="U503" t="s">
        <v>3618</v>
      </c>
      <c r="V503" s="36">
        <v>0</v>
      </c>
      <c r="W503" s="27">
        <v>0</v>
      </c>
      <c r="X503" s="27">
        <v>0</v>
      </c>
      <c r="Y503" s="27">
        <v>0</v>
      </c>
      <c r="Z503" s="27">
        <v>0</v>
      </c>
      <c r="AA503" s="27">
        <v>0</v>
      </c>
      <c r="AB503" s="27">
        <v>1</v>
      </c>
      <c r="AC503" s="27">
        <v>0</v>
      </c>
      <c r="AD503" s="27">
        <v>0</v>
      </c>
      <c r="AE503" s="27">
        <v>0</v>
      </c>
      <c r="AF503" s="27">
        <v>0</v>
      </c>
      <c r="AG503" s="27">
        <v>0</v>
      </c>
      <c r="AH503" s="27">
        <v>0</v>
      </c>
      <c r="AJ503">
        <f t="shared" si="7"/>
        <v>1</v>
      </c>
    </row>
    <row r="504" spans="1:36">
      <c r="A504" t="s">
        <v>1758</v>
      </c>
      <c r="B504" t="s">
        <v>1759</v>
      </c>
      <c r="C504">
        <v>7007040634</v>
      </c>
      <c r="D504" t="s">
        <v>3619</v>
      </c>
      <c r="E504">
        <v>2019</v>
      </c>
      <c r="F504" t="s">
        <v>3620</v>
      </c>
      <c r="G504">
        <v>9</v>
      </c>
      <c r="H504">
        <v>1</v>
      </c>
      <c r="I504">
        <v>14399</v>
      </c>
      <c r="M504">
        <v>4</v>
      </c>
      <c r="N504" t="s">
        <v>3621</v>
      </c>
      <c r="O504" t="s">
        <v>3622</v>
      </c>
      <c r="P504" s="22" t="str">
        <f>HYPERLINK(O504)</f>
        <v>https://www.scopus.com/inward/record.uri?eid=2-s2.0-85073069181&amp;doi=10.1038%2fs41598-019-51231-8&amp;partnerID=40&amp;md5=8ae7b85cd42c4307bcface6417a26ee4</v>
      </c>
      <c r="Q504" t="s">
        <v>1764</v>
      </c>
      <c r="R504" t="s">
        <v>48</v>
      </c>
      <c r="S504" t="s">
        <v>225</v>
      </c>
      <c r="T504" t="s">
        <v>6</v>
      </c>
      <c r="U504" t="s">
        <v>3623</v>
      </c>
      <c r="V504" s="36">
        <v>0</v>
      </c>
      <c r="W504" s="27">
        <v>1</v>
      </c>
      <c r="X504" s="27">
        <v>0</v>
      </c>
      <c r="Y504" s="27">
        <v>0</v>
      </c>
      <c r="Z504" s="27">
        <v>0</v>
      </c>
      <c r="AA504" s="27">
        <v>0</v>
      </c>
      <c r="AB504" s="27">
        <v>0</v>
      </c>
      <c r="AC504" s="27">
        <v>0</v>
      </c>
      <c r="AD504" s="27">
        <v>0</v>
      </c>
      <c r="AE504" s="27">
        <v>0</v>
      </c>
      <c r="AF504" s="27">
        <v>0</v>
      </c>
      <c r="AG504" s="27">
        <v>0</v>
      </c>
      <c r="AH504" s="27">
        <v>0</v>
      </c>
      <c r="AJ504">
        <f t="shared" si="7"/>
        <v>1</v>
      </c>
    </row>
    <row r="505" spans="1:36">
      <c r="A505" t="s">
        <v>3624</v>
      </c>
      <c r="B505" t="s">
        <v>3625</v>
      </c>
      <c r="C505" t="s">
        <v>3626</v>
      </c>
      <c r="D505" t="s">
        <v>3627</v>
      </c>
      <c r="E505">
        <v>2024</v>
      </c>
      <c r="F505" t="s">
        <v>3620</v>
      </c>
      <c r="G505">
        <v>14</v>
      </c>
      <c r="H505">
        <v>1</v>
      </c>
      <c r="I505">
        <v>2658</v>
      </c>
      <c r="M505">
        <v>2</v>
      </c>
      <c r="N505" t="s">
        <v>3628</v>
      </c>
      <c r="O505" t="s">
        <v>3629</v>
      </c>
      <c r="P505" s="22" t="str">
        <f>HYPERLINK(O505)</f>
        <v>https://www.scopus.com/inward/record.uri?eid=2-s2.0-85183751600&amp;doi=10.1038%2fs41598-024-52434-4&amp;partnerID=40&amp;md5=60614ee56a2154701fed7273e01b5f98</v>
      </c>
      <c r="Q505" t="s">
        <v>156</v>
      </c>
      <c r="R505" t="s">
        <v>48</v>
      </c>
      <c r="S505" t="s">
        <v>225</v>
      </c>
      <c r="T505" t="s">
        <v>6</v>
      </c>
      <c r="U505" t="s">
        <v>3630</v>
      </c>
      <c r="V505" s="36">
        <v>0</v>
      </c>
      <c r="W505" s="27">
        <v>1</v>
      </c>
      <c r="X505" s="27">
        <v>0</v>
      </c>
      <c r="Y505" s="27">
        <v>0</v>
      </c>
      <c r="Z505" s="27">
        <v>0</v>
      </c>
      <c r="AA505" s="27">
        <v>0</v>
      </c>
      <c r="AB505" s="27">
        <v>0</v>
      </c>
      <c r="AC505" s="27">
        <v>0</v>
      </c>
      <c r="AD505" s="27">
        <v>0</v>
      </c>
      <c r="AE505" s="27">
        <v>0</v>
      </c>
      <c r="AF505" s="27">
        <v>0</v>
      </c>
      <c r="AG505" s="27">
        <v>0</v>
      </c>
      <c r="AH505" s="27">
        <v>0</v>
      </c>
      <c r="AJ505">
        <f t="shared" si="7"/>
        <v>1</v>
      </c>
    </row>
    <row r="506" spans="1:36">
      <c r="A506" t="s">
        <v>3631</v>
      </c>
      <c r="B506" t="s">
        <v>3632</v>
      </c>
      <c r="C506" t="s">
        <v>3633</v>
      </c>
      <c r="D506" t="s">
        <v>3634</v>
      </c>
      <c r="E506">
        <v>2024</v>
      </c>
      <c r="F506" t="s">
        <v>3620</v>
      </c>
      <c r="G506">
        <v>14</v>
      </c>
      <c r="H506">
        <v>1</v>
      </c>
      <c r="I506">
        <v>9840</v>
      </c>
      <c r="M506">
        <v>2</v>
      </c>
      <c r="N506" t="s">
        <v>3635</v>
      </c>
      <c r="O506" t="s">
        <v>3636</v>
      </c>
      <c r="P506" s="22" t="str">
        <f>HYPERLINK(O506)</f>
        <v>https://www.scopus.com/inward/record.uri?eid=2-s2.0-85191794767&amp;doi=10.1038%2fs41598-024-60229-w&amp;partnerID=40&amp;md5=4a7c72bad3be9fb41937f7b02e79a26c</v>
      </c>
      <c r="Q506" t="s">
        <v>156</v>
      </c>
      <c r="R506" t="s">
        <v>48</v>
      </c>
      <c r="S506" t="s">
        <v>225</v>
      </c>
      <c r="T506" t="s">
        <v>6</v>
      </c>
      <c r="U506" t="s">
        <v>3637</v>
      </c>
      <c r="V506" s="36">
        <v>0</v>
      </c>
      <c r="W506" s="27">
        <v>0</v>
      </c>
      <c r="X506" s="27">
        <v>0</v>
      </c>
      <c r="Y506" s="27">
        <v>0</v>
      </c>
      <c r="Z506" s="27">
        <v>1</v>
      </c>
      <c r="AA506" s="27">
        <v>0</v>
      </c>
      <c r="AB506" s="27">
        <v>0</v>
      </c>
      <c r="AC506" s="27">
        <v>0</v>
      </c>
      <c r="AD506" s="27">
        <v>0</v>
      </c>
      <c r="AE506" s="27">
        <v>0</v>
      </c>
      <c r="AF506" s="27">
        <v>0</v>
      </c>
      <c r="AG506" s="27">
        <v>0</v>
      </c>
      <c r="AH506" s="27">
        <v>0</v>
      </c>
      <c r="AJ506">
        <f t="shared" si="7"/>
        <v>1</v>
      </c>
    </row>
    <row r="507" spans="1:36">
      <c r="A507" t="s">
        <v>3638</v>
      </c>
      <c r="B507" t="s">
        <v>3639</v>
      </c>
      <c r="C507" t="s">
        <v>3640</v>
      </c>
      <c r="D507" t="s">
        <v>3641</v>
      </c>
      <c r="E507">
        <v>2023</v>
      </c>
      <c r="F507" t="s">
        <v>3620</v>
      </c>
      <c r="G507">
        <v>13</v>
      </c>
      <c r="H507">
        <v>1</v>
      </c>
      <c r="I507">
        <v>23074</v>
      </c>
      <c r="M507">
        <v>3</v>
      </c>
      <c r="N507" t="s">
        <v>3642</v>
      </c>
      <c r="O507" t="s">
        <v>3643</v>
      </c>
      <c r="P507" s="22" t="str">
        <f>HYPERLINK(O507)</f>
        <v>https://www.scopus.com/inward/record.uri?eid=2-s2.0-85180716711&amp;doi=10.1038%2fs41598-023-50468-8&amp;partnerID=40&amp;md5=d57bee836877195341d9b93711aeec9a</v>
      </c>
      <c r="Q507" t="s">
        <v>156</v>
      </c>
      <c r="R507" t="s">
        <v>48</v>
      </c>
      <c r="S507" t="s">
        <v>225</v>
      </c>
      <c r="T507" t="s">
        <v>6</v>
      </c>
      <c r="U507" t="s">
        <v>3644</v>
      </c>
      <c r="V507" s="36">
        <v>0</v>
      </c>
      <c r="W507" s="27">
        <v>1</v>
      </c>
      <c r="X507" s="27">
        <v>0</v>
      </c>
      <c r="Y507" s="27">
        <v>0</v>
      </c>
      <c r="Z507" s="27">
        <v>0</v>
      </c>
      <c r="AA507" s="27">
        <v>0</v>
      </c>
      <c r="AB507" s="27">
        <v>0</v>
      </c>
      <c r="AC507" s="27">
        <v>0</v>
      </c>
      <c r="AD507" s="27">
        <v>0</v>
      </c>
      <c r="AE507" s="27">
        <v>0</v>
      </c>
      <c r="AF507" s="27">
        <v>0</v>
      </c>
      <c r="AG507" s="27">
        <v>0</v>
      </c>
      <c r="AH507" s="27">
        <v>0</v>
      </c>
      <c r="AJ507">
        <f t="shared" si="7"/>
        <v>1</v>
      </c>
    </row>
    <row r="508" spans="1:36">
      <c r="A508" t="s">
        <v>3645</v>
      </c>
      <c r="B508" t="s">
        <v>3646</v>
      </c>
      <c r="C508" t="s">
        <v>3647</v>
      </c>
      <c r="D508" t="s">
        <v>3648</v>
      </c>
      <c r="E508">
        <v>2024</v>
      </c>
      <c r="F508" t="s">
        <v>3649</v>
      </c>
      <c r="G508">
        <v>71</v>
      </c>
      <c r="H508">
        <v>5</v>
      </c>
      <c r="J508">
        <v>649</v>
      </c>
      <c r="K508">
        <v>675</v>
      </c>
      <c r="L508">
        <v>26</v>
      </c>
      <c r="M508">
        <v>0</v>
      </c>
      <c r="N508" t="s">
        <v>3650</v>
      </c>
      <c r="O508" t="s">
        <v>3651</v>
      </c>
      <c r="P508" s="22" t="str">
        <f>HYPERLINK(O508)</f>
        <v>https://www.scopus.com/inward/record.uri?eid=2-s2.0-85193753414&amp;doi=10.1111%2fsjpe.12385&amp;partnerID=40&amp;md5=f6959e9e5beac81fd246ce1e154bd154</v>
      </c>
      <c r="Q508" t="s">
        <v>156</v>
      </c>
      <c r="R508" t="s">
        <v>48</v>
      </c>
      <c r="T508" t="s">
        <v>6</v>
      </c>
      <c r="U508" t="s">
        <v>3652</v>
      </c>
      <c r="V508" s="36">
        <v>1</v>
      </c>
      <c r="W508" s="27">
        <v>0</v>
      </c>
      <c r="X508" s="27">
        <v>0</v>
      </c>
      <c r="Y508" s="27">
        <v>0</v>
      </c>
      <c r="Z508" s="27">
        <v>0</v>
      </c>
      <c r="AA508" s="27">
        <v>0</v>
      </c>
      <c r="AB508" s="27">
        <v>0</v>
      </c>
      <c r="AC508" s="27">
        <v>0</v>
      </c>
      <c r="AD508" s="27">
        <v>0</v>
      </c>
      <c r="AE508" s="27">
        <v>0</v>
      </c>
      <c r="AF508" s="27">
        <v>0</v>
      </c>
      <c r="AG508" s="27">
        <v>0</v>
      </c>
      <c r="AH508" s="27">
        <v>0</v>
      </c>
      <c r="AJ508">
        <f t="shared" si="7"/>
        <v>1</v>
      </c>
    </row>
    <row r="509" spans="1:36">
      <c r="A509" t="s">
        <v>3653</v>
      </c>
      <c r="B509" t="s">
        <v>3654</v>
      </c>
      <c r="C509">
        <v>7003368414</v>
      </c>
      <c r="D509" t="s">
        <v>3655</v>
      </c>
      <c r="E509">
        <v>2023</v>
      </c>
      <c r="F509" t="s">
        <v>3656</v>
      </c>
      <c r="G509">
        <v>17</v>
      </c>
      <c r="H509">
        <v>5</v>
      </c>
      <c r="J509">
        <v>353</v>
      </c>
      <c r="K509">
        <v>368</v>
      </c>
      <c r="L509">
        <v>15</v>
      </c>
      <c r="M509">
        <v>0</v>
      </c>
      <c r="N509" t="s">
        <v>3657</v>
      </c>
      <c r="O509" t="s">
        <v>3658</v>
      </c>
      <c r="P509" s="22" t="str">
        <f>HYPERLINK(O509)</f>
        <v>https://www.scopus.com/inward/record.uri?eid=2-s2.0-85174411284&amp;doi=10.32604%2fsdhm.2023.028247&amp;partnerID=40&amp;md5=b813a63a8f923fbdae21c5feaa9dad96</v>
      </c>
      <c r="Q509" t="s">
        <v>184</v>
      </c>
      <c r="R509" t="s">
        <v>48</v>
      </c>
      <c r="S509" t="s">
        <v>185</v>
      </c>
      <c r="T509" t="s">
        <v>6</v>
      </c>
      <c r="U509" t="s">
        <v>3659</v>
      </c>
      <c r="V509" s="36">
        <v>0</v>
      </c>
      <c r="W509" s="27">
        <v>0</v>
      </c>
      <c r="X509" s="27">
        <v>0</v>
      </c>
      <c r="Y509" s="27">
        <v>0</v>
      </c>
      <c r="Z509" s="27">
        <v>0</v>
      </c>
      <c r="AA509" s="27">
        <v>0</v>
      </c>
      <c r="AB509" s="27">
        <v>0</v>
      </c>
      <c r="AC509" s="27">
        <v>0</v>
      </c>
      <c r="AD509" s="27">
        <v>0</v>
      </c>
      <c r="AE509" s="27">
        <v>0</v>
      </c>
      <c r="AF509" s="27">
        <v>0</v>
      </c>
      <c r="AG509" s="27">
        <v>0</v>
      </c>
      <c r="AH509" s="27">
        <v>1</v>
      </c>
      <c r="AJ509">
        <f t="shared" si="7"/>
        <v>1</v>
      </c>
    </row>
    <row r="510" spans="1:36">
      <c r="A510" t="s">
        <v>3660</v>
      </c>
      <c r="B510" t="s">
        <v>3661</v>
      </c>
      <c r="C510" t="s">
        <v>3662</v>
      </c>
      <c r="D510" t="s">
        <v>3663</v>
      </c>
      <c r="E510">
        <v>2023</v>
      </c>
      <c r="F510" t="s">
        <v>3664</v>
      </c>
      <c r="J510">
        <v>399</v>
      </c>
      <c r="K510">
        <v>418</v>
      </c>
      <c r="L510">
        <v>19</v>
      </c>
      <c r="M510">
        <v>0</v>
      </c>
      <c r="O510" t="s">
        <v>3665</v>
      </c>
      <c r="P510" s="22" t="str">
        <f>HYPERLINK(O510)</f>
        <v>https://www.scopus.com/inward/record.uri?eid=2-s2.0-85173059806&amp;partnerID=40&amp;md5=fe3f12a2864c4be5bb7677e88a52df21</v>
      </c>
      <c r="Q510" t="s">
        <v>216</v>
      </c>
      <c r="R510" t="s">
        <v>48</v>
      </c>
      <c r="T510" t="s">
        <v>6</v>
      </c>
      <c r="U510" t="s">
        <v>3666</v>
      </c>
      <c r="V510" s="36">
        <v>0</v>
      </c>
      <c r="W510" s="27">
        <v>0</v>
      </c>
      <c r="X510" s="27">
        <v>0</v>
      </c>
      <c r="Y510" s="27">
        <v>0</v>
      </c>
      <c r="Z510" s="27">
        <v>0</v>
      </c>
      <c r="AA510" s="27">
        <v>0</v>
      </c>
      <c r="AB510" s="27">
        <v>0</v>
      </c>
      <c r="AC510" s="27">
        <v>0</v>
      </c>
      <c r="AD510" s="27">
        <v>0</v>
      </c>
      <c r="AE510" s="27">
        <v>0</v>
      </c>
      <c r="AF510" s="27">
        <v>1</v>
      </c>
      <c r="AG510" s="27">
        <v>0</v>
      </c>
      <c r="AH510" s="27">
        <v>0</v>
      </c>
      <c r="AJ510">
        <f t="shared" si="7"/>
        <v>1</v>
      </c>
    </row>
    <row r="511" spans="1:36">
      <c r="A511" t="s">
        <v>3667</v>
      </c>
      <c r="B511" t="s">
        <v>3668</v>
      </c>
      <c r="C511" t="s">
        <v>3669</v>
      </c>
      <c r="D511" t="s">
        <v>3670</v>
      </c>
      <c r="E511">
        <v>2019</v>
      </c>
      <c r="F511" t="s">
        <v>3671</v>
      </c>
      <c r="G511">
        <v>238</v>
      </c>
      <c r="I511">
        <v>112403</v>
      </c>
      <c r="M511">
        <v>3</v>
      </c>
      <c r="N511" t="s">
        <v>3672</v>
      </c>
      <c r="O511" t="s">
        <v>3673</v>
      </c>
      <c r="P511" s="22" t="str">
        <f>HYPERLINK(O511)</f>
        <v>https://www.scopus.com/inward/record.uri?eid=2-s2.0-85070910054&amp;doi=10.1016%2fj.socscimed.2019.112403&amp;partnerID=40&amp;md5=301f0a2023a3f72df14db52b4d1e5a32</v>
      </c>
      <c r="Q511" t="s">
        <v>156</v>
      </c>
      <c r="R511" t="s">
        <v>48</v>
      </c>
      <c r="T511" t="s">
        <v>6</v>
      </c>
      <c r="U511" t="s">
        <v>3674</v>
      </c>
      <c r="V511" s="36">
        <v>0</v>
      </c>
      <c r="W511" s="27">
        <v>0</v>
      </c>
      <c r="X511" s="27">
        <v>0</v>
      </c>
      <c r="Y511" s="27">
        <v>0</v>
      </c>
      <c r="Z511" s="27">
        <v>0</v>
      </c>
      <c r="AA511" s="27">
        <v>0</v>
      </c>
      <c r="AB511" s="27">
        <v>0</v>
      </c>
      <c r="AC511" s="27">
        <v>0</v>
      </c>
      <c r="AD511" s="27">
        <v>0</v>
      </c>
      <c r="AE511" s="27">
        <v>0</v>
      </c>
      <c r="AF511" s="27">
        <v>0</v>
      </c>
      <c r="AG511" s="27">
        <v>0</v>
      </c>
      <c r="AH511" s="27">
        <v>1</v>
      </c>
      <c r="AJ511">
        <f t="shared" si="7"/>
        <v>1</v>
      </c>
    </row>
    <row r="512" spans="1:36">
      <c r="A512" t="s">
        <v>3675</v>
      </c>
      <c r="B512" t="s">
        <v>3676</v>
      </c>
      <c r="C512">
        <v>6505566878</v>
      </c>
      <c r="D512" t="s">
        <v>3677</v>
      </c>
      <c r="E512">
        <v>2016</v>
      </c>
      <c r="F512" t="s">
        <v>3678</v>
      </c>
      <c r="J512">
        <v>273</v>
      </c>
      <c r="K512">
        <v>278</v>
      </c>
      <c r="L512">
        <v>5</v>
      </c>
      <c r="M512">
        <v>0</v>
      </c>
      <c r="O512" t="s">
        <v>3679</v>
      </c>
      <c r="P512" s="22" t="str">
        <f>HYPERLINK(O512)</f>
        <v>https://www.scopus.com/inward/record.uri?eid=2-s2.0-85070878239&amp;partnerID=40&amp;md5=1281c8d866a3094d498561f516b185ee</v>
      </c>
      <c r="Q512" t="s">
        <v>216</v>
      </c>
      <c r="R512" t="s">
        <v>48</v>
      </c>
      <c r="T512" t="s">
        <v>6</v>
      </c>
      <c r="U512" t="s">
        <v>3680</v>
      </c>
      <c r="V512" s="36">
        <v>0</v>
      </c>
      <c r="W512" s="27">
        <v>0</v>
      </c>
      <c r="X512" s="27">
        <v>0</v>
      </c>
      <c r="Y512" s="27">
        <v>0</v>
      </c>
      <c r="Z512" s="27">
        <v>0</v>
      </c>
      <c r="AA512" s="27">
        <v>0</v>
      </c>
      <c r="AB512" s="27">
        <v>0</v>
      </c>
      <c r="AC512" s="27">
        <v>0</v>
      </c>
      <c r="AD512" s="27">
        <v>0</v>
      </c>
      <c r="AE512" s="27">
        <v>0</v>
      </c>
      <c r="AF512" s="27">
        <v>1</v>
      </c>
      <c r="AG512" s="27">
        <v>0</v>
      </c>
      <c r="AH512" s="27">
        <v>0</v>
      </c>
      <c r="AJ512">
        <f t="shared" si="7"/>
        <v>1</v>
      </c>
    </row>
    <row r="513" spans="1:36">
      <c r="A513" t="s">
        <v>3675</v>
      </c>
      <c r="B513" t="s">
        <v>3676</v>
      </c>
      <c r="C513">
        <v>6505566878</v>
      </c>
      <c r="D513" t="s">
        <v>3677</v>
      </c>
      <c r="E513">
        <v>2016</v>
      </c>
      <c r="F513" t="s">
        <v>3681</v>
      </c>
      <c r="J513">
        <v>273</v>
      </c>
      <c r="K513">
        <v>278</v>
      </c>
      <c r="L513">
        <v>5</v>
      </c>
      <c r="M513">
        <v>0</v>
      </c>
      <c r="O513" t="s">
        <v>3682</v>
      </c>
      <c r="P513" s="22" t="str">
        <f>HYPERLINK(O513)</f>
        <v>https://www.scopus.com/inward/record.uri?eid=2-s2.0-85018720131&amp;partnerID=40&amp;md5=3a4a37e8b25dc8a46321d9a891adcddf</v>
      </c>
      <c r="Q513" t="s">
        <v>62</v>
      </c>
      <c r="R513" t="s">
        <v>48</v>
      </c>
      <c r="T513" t="s">
        <v>6</v>
      </c>
      <c r="U513" t="s">
        <v>3683</v>
      </c>
      <c r="V513" s="36">
        <v>0</v>
      </c>
      <c r="W513" s="27">
        <v>0</v>
      </c>
      <c r="X513" s="27">
        <v>0</v>
      </c>
      <c r="Y513" s="27">
        <v>0</v>
      </c>
      <c r="Z513" s="27">
        <v>0</v>
      </c>
      <c r="AA513" s="27">
        <v>0</v>
      </c>
      <c r="AB513" s="27">
        <v>0</v>
      </c>
      <c r="AC513" s="27">
        <v>0</v>
      </c>
      <c r="AD513" s="27">
        <v>0</v>
      </c>
      <c r="AE513" s="27">
        <v>0</v>
      </c>
      <c r="AF513" s="27">
        <v>1</v>
      </c>
      <c r="AG513" s="27">
        <v>0</v>
      </c>
      <c r="AH513" s="27">
        <v>0</v>
      </c>
      <c r="AJ513">
        <f t="shared" si="7"/>
        <v>1</v>
      </c>
    </row>
    <row r="514" spans="1:36">
      <c r="A514" t="s">
        <v>3684</v>
      </c>
      <c r="B514" t="s">
        <v>3685</v>
      </c>
      <c r="C514" t="s">
        <v>3686</v>
      </c>
      <c r="D514" t="s">
        <v>3687</v>
      </c>
      <c r="E514">
        <v>2019</v>
      </c>
      <c r="F514" t="s">
        <v>3688</v>
      </c>
      <c r="M514">
        <v>0</v>
      </c>
      <c r="N514" t="s">
        <v>3689</v>
      </c>
      <c r="O514" t="s">
        <v>3690</v>
      </c>
      <c r="P514" s="22" t="str">
        <f>HYPERLINK(O514)</f>
        <v>https://www.scopus.com/inward/record.uri?eid=2-s2.0-85139378568&amp;doi=10.2118%2f197389-MS&amp;partnerID=40&amp;md5=83fe6fe73a18034624bb7e692b3b598e</v>
      </c>
      <c r="Q514" t="s">
        <v>62</v>
      </c>
      <c r="R514" t="s">
        <v>48</v>
      </c>
      <c r="T514" t="s">
        <v>6</v>
      </c>
      <c r="U514" t="s">
        <v>3691</v>
      </c>
      <c r="V514" s="36">
        <v>0</v>
      </c>
      <c r="W514" s="27">
        <v>0</v>
      </c>
      <c r="X514" s="27">
        <v>0</v>
      </c>
      <c r="Y514" s="27">
        <v>0</v>
      </c>
      <c r="Z514" s="27">
        <v>0</v>
      </c>
      <c r="AA514" s="27">
        <v>0</v>
      </c>
      <c r="AB514" s="27">
        <v>0</v>
      </c>
      <c r="AC514" s="27">
        <v>0</v>
      </c>
      <c r="AD514" s="27">
        <v>0</v>
      </c>
      <c r="AE514" s="27">
        <v>0</v>
      </c>
      <c r="AF514" s="27">
        <v>0</v>
      </c>
      <c r="AG514" s="27">
        <v>0</v>
      </c>
      <c r="AH514" s="27">
        <v>1</v>
      </c>
      <c r="AJ514">
        <f t="shared" ref="AJ514:AJ577" si="8">SUM(V514:AH514)</f>
        <v>1</v>
      </c>
    </row>
    <row r="515" spans="1:36">
      <c r="A515" t="s">
        <v>3692</v>
      </c>
      <c r="B515" t="s">
        <v>3693</v>
      </c>
      <c r="C515" t="s">
        <v>3694</v>
      </c>
      <c r="D515" t="s">
        <v>3695</v>
      </c>
      <c r="E515">
        <v>2019</v>
      </c>
      <c r="F515" t="s">
        <v>3696</v>
      </c>
      <c r="G515">
        <v>22</v>
      </c>
      <c r="H515">
        <v>1</v>
      </c>
      <c r="I515" t="s">
        <v>3697</v>
      </c>
      <c r="M515">
        <v>6</v>
      </c>
      <c r="N515" t="s">
        <v>3698</v>
      </c>
      <c r="O515" t="s">
        <v>3699</v>
      </c>
      <c r="P515" s="22" t="str">
        <f>HYPERLINK(O515)</f>
        <v>https://www.scopus.com/inward/record.uri?eid=2-s2.0-85075502649&amp;doi=10.4102%2fsajems.v22i1.2860&amp;partnerID=40&amp;md5=c51042eff20484a97bb691bf8364f697</v>
      </c>
      <c r="Q515" t="s">
        <v>156</v>
      </c>
      <c r="R515" t="s">
        <v>48</v>
      </c>
      <c r="S515" t="s">
        <v>225</v>
      </c>
      <c r="T515" t="s">
        <v>6</v>
      </c>
      <c r="U515" t="s">
        <v>3700</v>
      </c>
      <c r="V515" s="36">
        <v>1</v>
      </c>
      <c r="W515" s="27">
        <v>0</v>
      </c>
      <c r="X515" s="27">
        <v>0</v>
      </c>
      <c r="Y515" s="27">
        <v>0</v>
      </c>
      <c r="Z515" s="27">
        <v>0</v>
      </c>
      <c r="AA515" s="27">
        <v>0</v>
      </c>
      <c r="AB515" s="27">
        <v>0</v>
      </c>
      <c r="AC515" s="27">
        <v>0</v>
      </c>
      <c r="AD515" s="27">
        <v>0</v>
      </c>
      <c r="AE515" s="27">
        <v>0</v>
      </c>
      <c r="AF515" s="27">
        <v>0</v>
      </c>
      <c r="AG515" s="27">
        <v>0</v>
      </c>
      <c r="AH515" s="27">
        <v>0</v>
      </c>
      <c r="AJ515">
        <f t="shared" si="8"/>
        <v>1</v>
      </c>
    </row>
    <row r="516" spans="1:36">
      <c r="A516" t="s">
        <v>3701</v>
      </c>
      <c r="B516" t="s">
        <v>3702</v>
      </c>
      <c r="C516" t="s">
        <v>3703</v>
      </c>
      <c r="D516" t="s">
        <v>3704</v>
      </c>
      <c r="E516">
        <v>2013</v>
      </c>
      <c r="F516" t="s">
        <v>3705</v>
      </c>
      <c r="G516">
        <v>19</v>
      </c>
      <c r="H516">
        <v>5</v>
      </c>
      <c r="J516">
        <v>243</v>
      </c>
      <c r="K516">
        <v>247</v>
      </c>
      <c r="L516">
        <v>4</v>
      </c>
      <c r="M516">
        <v>0</v>
      </c>
      <c r="N516" t="s">
        <v>3706</v>
      </c>
      <c r="O516" t="s">
        <v>3707</v>
      </c>
      <c r="P516" s="22" t="str">
        <f>HYPERLINK(O516)</f>
        <v>https://www.scopus.com/inward/record.uri?eid=2-s2.0-84885817122&amp;doi=10.1080%2f22201173.2013.10872933&amp;partnerID=40&amp;md5=bbb77a4a3ab8fb658d62e135dcdde30e</v>
      </c>
      <c r="Q516" t="s">
        <v>184</v>
      </c>
      <c r="R516" t="s">
        <v>48</v>
      </c>
      <c r="S516" t="s">
        <v>185</v>
      </c>
      <c r="T516" t="s">
        <v>6</v>
      </c>
      <c r="U516" t="s">
        <v>3708</v>
      </c>
      <c r="V516" s="36">
        <v>0</v>
      </c>
      <c r="W516" s="27">
        <v>0</v>
      </c>
      <c r="X516" s="27">
        <v>0</v>
      </c>
      <c r="Y516" s="27">
        <v>0</v>
      </c>
      <c r="Z516" s="27">
        <v>0</v>
      </c>
      <c r="AA516" s="27">
        <v>0</v>
      </c>
      <c r="AB516" s="27">
        <v>0</v>
      </c>
      <c r="AC516" s="27">
        <v>0</v>
      </c>
      <c r="AD516" s="27">
        <v>0</v>
      </c>
      <c r="AE516" s="27">
        <v>0</v>
      </c>
      <c r="AF516" s="27">
        <v>0</v>
      </c>
      <c r="AG516" s="27">
        <v>0</v>
      </c>
      <c r="AH516" s="27">
        <v>1</v>
      </c>
      <c r="AJ516">
        <f t="shared" si="8"/>
        <v>1</v>
      </c>
    </row>
    <row r="517" spans="1:36">
      <c r="A517" t="s">
        <v>2039</v>
      </c>
      <c r="B517" t="s">
        <v>2040</v>
      </c>
      <c r="C517" t="s">
        <v>2041</v>
      </c>
      <c r="D517" t="s">
        <v>3709</v>
      </c>
      <c r="E517">
        <v>1998</v>
      </c>
      <c r="F517" t="s">
        <v>3710</v>
      </c>
      <c r="J517">
        <v>744</v>
      </c>
      <c r="K517">
        <v>751</v>
      </c>
      <c r="L517">
        <v>7</v>
      </c>
      <c r="M517">
        <v>2</v>
      </c>
      <c r="N517" t="s">
        <v>3711</v>
      </c>
      <c r="O517" t="s">
        <v>3712</v>
      </c>
      <c r="P517" s="22" t="str">
        <f>HYPERLINK(O517)</f>
        <v>https://www.scopus.com/inward/record.uri?eid=2-s2.0-0001808972&amp;doi=10.1061%2f40339%28206%2986&amp;partnerID=40&amp;md5=68d81055bc19914547c9495d8e3e3bb9</v>
      </c>
      <c r="Q517" t="s">
        <v>62</v>
      </c>
      <c r="R517" t="s">
        <v>48</v>
      </c>
      <c r="T517" t="s">
        <v>6</v>
      </c>
      <c r="U517" t="s">
        <v>3713</v>
      </c>
      <c r="V517" s="36">
        <v>0</v>
      </c>
      <c r="W517" s="27">
        <v>1</v>
      </c>
      <c r="X517" s="27">
        <v>0</v>
      </c>
      <c r="Y517" s="27">
        <v>0</v>
      </c>
      <c r="Z517" s="27">
        <v>0</v>
      </c>
      <c r="AA517" s="27">
        <v>0</v>
      </c>
      <c r="AB517" s="27">
        <v>0</v>
      </c>
      <c r="AC517" s="27">
        <v>0</v>
      </c>
      <c r="AD517" s="27">
        <v>0</v>
      </c>
      <c r="AE517" s="27">
        <v>0</v>
      </c>
      <c r="AF517" s="27">
        <v>0</v>
      </c>
      <c r="AG517" s="27">
        <v>0</v>
      </c>
      <c r="AH517" s="27">
        <v>0</v>
      </c>
      <c r="AJ517">
        <f t="shared" si="8"/>
        <v>1</v>
      </c>
    </row>
    <row r="518" spans="1:36">
      <c r="A518" t="s">
        <v>3714</v>
      </c>
      <c r="B518" t="s">
        <v>3181</v>
      </c>
      <c r="C518" t="s">
        <v>3182</v>
      </c>
      <c r="D518" t="s">
        <v>3715</v>
      </c>
      <c r="E518">
        <v>2000</v>
      </c>
      <c r="F518" t="s">
        <v>3716</v>
      </c>
      <c r="J518">
        <v>604</v>
      </c>
      <c r="K518">
        <v>616</v>
      </c>
      <c r="L518">
        <v>12</v>
      </c>
      <c r="M518">
        <v>3</v>
      </c>
      <c r="N518" t="s">
        <v>3717</v>
      </c>
      <c r="O518" t="s">
        <v>3718</v>
      </c>
      <c r="P518" s="22" t="str">
        <f>HYPERLINK(O518)</f>
        <v>https://www.scopus.com/inward/record.uri?eid=2-s2.0-0034586988&amp;doi=10.1061%2f40479%28204%2973&amp;partnerID=40&amp;md5=9aceec315f3b6e90aa90ff10178c6d95</v>
      </c>
      <c r="Q518" t="s">
        <v>62</v>
      </c>
      <c r="R518" t="s">
        <v>48</v>
      </c>
      <c r="T518" t="s">
        <v>6</v>
      </c>
      <c r="U518" t="s">
        <v>3719</v>
      </c>
      <c r="V518" s="36">
        <v>0</v>
      </c>
      <c r="W518" s="27">
        <v>1</v>
      </c>
      <c r="X518" s="27">
        <v>0</v>
      </c>
      <c r="Y518" s="27">
        <v>0</v>
      </c>
      <c r="Z518" s="27">
        <v>0</v>
      </c>
      <c r="AA518" s="27">
        <v>0</v>
      </c>
      <c r="AB518" s="27">
        <v>0</v>
      </c>
      <c r="AC518" s="27">
        <v>0</v>
      </c>
      <c r="AD518" s="27">
        <v>0</v>
      </c>
      <c r="AE518" s="27">
        <v>0</v>
      </c>
      <c r="AF518" s="27">
        <v>0</v>
      </c>
      <c r="AG518" s="27">
        <v>0</v>
      </c>
      <c r="AH518" s="27">
        <v>0</v>
      </c>
      <c r="AJ518">
        <f t="shared" si="8"/>
        <v>1</v>
      </c>
    </row>
    <row r="519" spans="1:36">
      <c r="A519" t="s">
        <v>3720</v>
      </c>
      <c r="B519" t="s">
        <v>3721</v>
      </c>
      <c r="C519">
        <v>7202446094</v>
      </c>
      <c r="D519" t="s">
        <v>3722</v>
      </c>
      <c r="E519">
        <v>2000</v>
      </c>
      <c r="F519" t="s">
        <v>3723</v>
      </c>
      <c r="M519">
        <v>0</v>
      </c>
      <c r="O519" t="s">
        <v>3724</v>
      </c>
      <c r="P519" s="22" t="str">
        <f>HYPERLINK(O519)</f>
        <v>https://www.scopus.com/inward/record.uri?eid=2-s2.0-84894301787&amp;partnerID=40&amp;md5=5918e50497082790bd3bc3e50e22e746</v>
      </c>
      <c r="Q519" t="s">
        <v>62</v>
      </c>
      <c r="R519" t="s">
        <v>48</v>
      </c>
      <c r="T519" t="s">
        <v>6</v>
      </c>
      <c r="U519" t="s">
        <v>3725</v>
      </c>
      <c r="V519" s="36">
        <v>0</v>
      </c>
      <c r="W519" s="27">
        <v>1</v>
      </c>
      <c r="X519" s="27">
        <v>0</v>
      </c>
      <c r="Y519" s="27">
        <v>0</v>
      </c>
      <c r="Z519" s="27">
        <v>0</v>
      </c>
      <c r="AA519" s="27">
        <v>0</v>
      </c>
      <c r="AB519" s="27">
        <v>0</v>
      </c>
      <c r="AC519" s="27">
        <v>0</v>
      </c>
      <c r="AD519" s="27">
        <v>0</v>
      </c>
      <c r="AE519" s="27">
        <v>0</v>
      </c>
      <c r="AF519" s="27">
        <v>0</v>
      </c>
      <c r="AG519" s="27">
        <v>0</v>
      </c>
      <c r="AH519" s="27">
        <v>0</v>
      </c>
      <c r="AJ519">
        <f t="shared" si="8"/>
        <v>1</v>
      </c>
    </row>
    <row r="520" spans="1:36">
      <c r="A520" t="s">
        <v>3726</v>
      </c>
      <c r="B520" t="s">
        <v>3727</v>
      </c>
      <c r="C520">
        <v>53563863700</v>
      </c>
      <c r="D520" t="s">
        <v>3728</v>
      </c>
      <c r="E520">
        <v>2017</v>
      </c>
      <c r="F520" t="s">
        <v>3729</v>
      </c>
      <c r="G520">
        <v>20</v>
      </c>
      <c r="H520">
        <v>4</v>
      </c>
      <c r="J520">
        <v>415</v>
      </c>
      <c r="K520">
        <v>428</v>
      </c>
      <c r="L520">
        <v>13</v>
      </c>
      <c r="M520">
        <v>0</v>
      </c>
      <c r="N520" t="s">
        <v>3730</v>
      </c>
      <c r="O520" t="s">
        <v>3731</v>
      </c>
      <c r="P520" s="22" t="str">
        <f>HYPERLINK(O520)</f>
        <v>https://www.scopus.com/inward/record.uri?eid=2-s2.0-85030789466&amp;doi=10.1177%2f1206331217707471&amp;partnerID=40&amp;md5=03a9718cc5665bbc79ea6022137a1cea</v>
      </c>
      <c r="Q520" t="s">
        <v>156</v>
      </c>
      <c r="R520" t="s">
        <v>48</v>
      </c>
      <c r="T520" t="s">
        <v>6</v>
      </c>
      <c r="U520" t="s">
        <v>3732</v>
      </c>
      <c r="V520" s="36">
        <v>0</v>
      </c>
      <c r="W520" s="27">
        <v>0</v>
      </c>
      <c r="X520" s="27">
        <v>0</v>
      </c>
      <c r="Y520" s="27">
        <v>0</v>
      </c>
      <c r="Z520" s="27">
        <v>0</v>
      </c>
      <c r="AA520" s="27">
        <v>0</v>
      </c>
      <c r="AB520" s="27">
        <v>0</v>
      </c>
      <c r="AC520" s="27">
        <v>0</v>
      </c>
      <c r="AD520" s="27">
        <v>0</v>
      </c>
      <c r="AE520" s="27">
        <v>0</v>
      </c>
      <c r="AF520" s="27">
        <v>0</v>
      </c>
      <c r="AG520" s="27">
        <v>0</v>
      </c>
      <c r="AH520" s="27">
        <v>1</v>
      </c>
      <c r="AJ520">
        <f t="shared" si="8"/>
        <v>1</v>
      </c>
    </row>
    <row r="521" spans="1:36">
      <c r="A521" t="s">
        <v>3733</v>
      </c>
      <c r="B521" t="s">
        <v>3734</v>
      </c>
      <c r="C521">
        <v>7004371088</v>
      </c>
      <c r="D521" t="s">
        <v>3735</v>
      </c>
      <c r="E521">
        <v>2002</v>
      </c>
      <c r="F521" t="s">
        <v>3736</v>
      </c>
      <c r="J521">
        <v>198</v>
      </c>
      <c r="K521">
        <v>205</v>
      </c>
      <c r="L521">
        <v>7</v>
      </c>
      <c r="M521">
        <v>0</v>
      </c>
      <c r="O521" t="s">
        <v>3737</v>
      </c>
      <c r="P521" s="22" t="str">
        <f>HYPERLINK(O521)</f>
        <v>https://www.scopus.com/inward/record.uri?eid=2-s2.0-0036374053&amp;partnerID=40&amp;md5=081d066d1dabe22303c1fe777e254733</v>
      </c>
      <c r="Q521" t="s">
        <v>62</v>
      </c>
      <c r="R521" t="s">
        <v>48</v>
      </c>
      <c r="T521" t="s">
        <v>6</v>
      </c>
      <c r="U521" t="s">
        <v>3738</v>
      </c>
      <c r="V521" s="36">
        <v>0</v>
      </c>
      <c r="W521" s="27">
        <v>1</v>
      </c>
      <c r="X521" s="27">
        <v>0</v>
      </c>
      <c r="Y521" s="27">
        <v>0</v>
      </c>
      <c r="Z521" s="27">
        <v>0</v>
      </c>
      <c r="AA521" s="27">
        <v>0</v>
      </c>
      <c r="AB521" s="27">
        <v>0</v>
      </c>
      <c r="AC521" s="27">
        <v>0</v>
      </c>
      <c r="AD521" s="27">
        <v>0</v>
      </c>
      <c r="AE521" s="27">
        <v>0</v>
      </c>
      <c r="AF521" s="27">
        <v>0</v>
      </c>
      <c r="AG521" s="27">
        <v>0</v>
      </c>
      <c r="AH521" s="27">
        <v>0</v>
      </c>
      <c r="AJ521">
        <f t="shared" si="8"/>
        <v>1</v>
      </c>
    </row>
    <row r="522" spans="1:36">
      <c r="A522" t="s">
        <v>3739</v>
      </c>
      <c r="B522" t="s">
        <v>3740</v>
      </c>
      <c r="C522" t="s">
        <v>3741</v>
      </c>
      <c r="D522" t="s">
        <v>3742</v>
      </c>
      <c r="E522">
        <v>2016</v>
      </c>
      <c r="F522" t="s">
        <v>3743</v>
      </c>
      <c r="J522">
        <v>481</v>
      </c>
      <c r="K522">
        <v>488</v>
      </c>
      <c r="L522">
        <v>7</v>
      </c>
      <c r="M522">
        <v>0</v>
      </c>
      <c r="N522" t="s">
        <v>3744</v>
      </c>
      <c r="O522" t="s">
        <v>3745</v>
      </c>
      <c r="P522" s="22" t="str">
        <f>HYPERLINK(O522)</f>
        <v>https://www.scopus.com/inward/record.uri?eid=2-s2.0-85028876759&amp;doi=10.1007%2f978-1-4939-6652-3_19&amp;partnerID=40&amp;md5=8142afd66ba8293fdbeade5bdab4cf12</v>
      </c>
      <c r="Q522" t="s">
        <v>216</v>
      </c>
      <c r="R522" t="s">
        <v>48</v>
      </c>
      <c r="T522" t="s">
        <v>6</v>
      </c>
      <c r="U522" t="s">
        <v>3746</v>
      </c>
      <c r="V522" s="36">
        <v>0</v>
      </c>
      <c r="W522" s="27">
        <v>1</v>
      </c>
      <c r="X522" s="27">
        <v>0</v>
      </c>
      <c r="Y522" s="27">
        <v>0</v>
      </c>
      <c r="Z522" s="27">
        <v>0</v>
      </c>
      <c r="AA522" s="27">
        <v>0</v>
      </c>
      <c r="AB522" s="27">
        <v>0</v>
      </c>
      <c r="AC522" s="27">
        <v>0</v>
      </c>
      <c r="AD522" s="27">
        <v>0</v>
      </c>
      <c r="AE522" s="27">
        <v>0</v>
      </c>
      <c r="AF522" s="27">
        <v>0</v>
      </c>
      <c r="AG522" s="27">
        <v>0</v>
      </c>
      <c r="AH522" s="27">
        <v>0</v>
      </c>
      <c r="AJ522">
        <f t="shared" si="8"/>
        <v>1</v>
      </c>
    </row>
    <row r="523" spans="1:36">
      <c r="A523" t="s">
        <v>3747</v>
      </c>
      <c r="B523" t="s">
        <v>3748</v>
      </c>
      <c r="C523" t="s">
        <v>3749</v>
      </c>
      <c r="D523" t="s">
        <v>3750</v>
      </c>
      <c r="E523">
        <v>2021</v>
      </c>
      <c r="F523" t="s">
        <v>3751</v>
      </c>
      <c r="J523">
        <v>119</v>
      </c>
      <c r="K523">
        <v>141</v>
      </c>
      <c r="L523">
        <v>22</v>
      </c>
      <c r="M523">
        <v>1</v>
      </c>
      <c r="N523" t="s">
        <v>3752</v>
      </c>
      <c r="O523" t="s">
        <v>3753</v>
      </c>
      <c r="P523" s="22" t="str">
        <f>HYPERLINK(O523)</f>
        <v>https://www.scopus.com/inward/record.uri?eid=2-s2.0-85147902241&amp;doi=10.1002%2f9781119817925.ch6&amp;partnerID=40&amp;md5=404db8611d57608e7c1cd5741fd5880c</v>
      </c>
      <c r="Q523" t="s">
        <v>216</v>
      </c>
      <c r="R523" t="s">
        <v>48</v>
      </c>
      <c r="T523" t="s">
        <v>6</v>
      </c>
      <c r="U523" t="s">
        <v>3754</v>
      </c>
      <c r="V523" s="36">
        <v>0</v>
      </c>
      <c r="W523" s="27">
        <v>0</v>
      </c>
      <c r="X523" s="27">
        <v>0</v>
      </c>
      <c r="Y523" s="27">
        <v>0</v>
      </c>
      <c r="Z523" s="27">
        <v>0</v>
      </c>
      <c r="AA523" s="27">
        <v>0</v>
      </c>
      <c r="AB523" s="27">
        <v>0</v>
      </c>
      <c r="AC523" s="27">
        <v>0</v>
      </c>
      <c r="AD523" s="27">
        <v>0</v>
      </c>
      <c r="AE523" s="27">
        <v>0</v>
      </c>
      <c r="AF523" s="27">
        <v>0</v>
      </c>
      <c r="AG523" s="27">
        <v>0</v>
      </c>
      <c r="AH523" s="27">
        <v>1</v>
      </c>
      <c r="AJ523">
        <f t="shared" si="8"/>
        <v>1</v>
      </c>
    </row>
    <row r="524" spans="1:36">
      <c r="A524" t="s">
        <v>3755</v>
      </c>
      <c r="B524" t="s">
        <v>3756</v>
      </c>
      <c r="C524" t="s">
        <v>3757</v>
      </c>
      <c r="D524" t="s">
        <v>3758</v>
      </c>
      <c r="E524">
        <v>2017</v>
      </c>
      <c r="F524" t="s">
        <v>3759</v>
      </c>
      <c r="G524">
        <v>9</v>
      </c>
      <c r="H524">
        <v>4</v>
      </c>
      <c r="J524">
        <v>117</v>
      </c>
      <c r="K524">
        <v>127</v>
      </c>
      <c r="L524">
        <v>10</v>
      </c>
      <c r="M524">
        <v>1</v>
      </c>
      <c r="N524" t="s">
        <v>3760</v>
      </c>
      <c r="O524" t="s">
        <v>3761</v>
      </c>
      <c r="P524" s="22" t="str">
        <f>HYPERLINK(O524)</f>
        <v>https://www.scopus.com/inward/record.uri?eid=2-s2.0-85032912926&amp;doi=10.2118%2f189437-pa&amp;partnerID=40&amp;md5=fc65526e2bfdf6d390e7bea4a374767a</v>
      </c>
      <c r="Q524" t="s">
        <v>156</v>
      </c>
      <c r="R524" t="s">
        <v>48</v>
      </c>
      <c r="T524" t="s">
        <v>6</v>
      </c>
      <c r="U524" t="s">
        <v>3762</v>
      </c>
      <c r="V524" s="36">
        <v>0</v>
      </c>
      <c r="W524" s="27">
        <v>0</v>
      </c>
      <c r="X524" s="27">
        <v>0</v>
      </c>
      <c r="Y524" s="27">
        <v>0</v>
      </c>
      <c r="Z524" s="27">
        <v>0</v>
      </c>
      <c r="AA524" s="27">
        <v>0</v>
      </c>
      <c r="AB524" s="27">
        <v>0</v>
      </c>
      <c r="AC524" s="27">
        <v>0</v>
      </c>
      <c r="AD524" s="27">
        <v>0</v>
      </c>
      <c r="AE524" s="27">
        <v>0</v>
      </c>
      <c r="AF524" s="27">
        <v>0</v>
      </c>
      <c r="AG524" s="27">
        <v>0</v>
      </c>
      <c r="AH524" s="27">
        <v>1</v>
      </c>
      <c r="AJ524">
        <f t="shared" si="8"/>
        <v>1</v>
      </c>
    </row>
    <row r="525" spans="1:36">
      <c r="A525" t="s">
        <v>3763</v>
      </c>
      <c r="B525" t="s">
        <v>3764</v>
      </c>
      <c r="C525" t="s">
        <v>3765</v>
      </c>
      <c r="D525" t="s">
        <v>3766</v>
      </c>
      <c r="E525">
        <v>2021</v>
      </c>
      <c r="F525" t="s">
        <v>3767</v>
      </c>
      <c r="J525">
        <v>205</v>
      </c>
      <c r="K525">
        <v>216</v>
      </c>
      <c r="L525">
        <v>11</v>
      </c>
      <c r="M525">
        <v>0</v>
      </c>
      <c r="N525" t="s">
        <v>3768</v>
      </c>
      <c r="O525" t="s">
        <v>3769</v>
      </c>
      <c r="P525" s="22" t="str">
        <f>HYPERLINK(O525)</f>
        <v>https://www.scopus.com/inward/record.uri?eid=2-s2.0-85125236534&amp;doi=10.1007%2f978-3-030-50676-6_16&amp;partnerID=40&amp;md5=68818a0d892780a459f34a84f651c295</v>
      </c>
      <c r="Q525" t="s">
        <v>62</v>
      </c>
      <c r="R525" t="s">
        <v>48</v>
      </c>
      <c r="T525" t="s">
        <v>6</v>
      </c>
      <c r="U525" t="s">
        <v>3770</v>
      </c>
      <c r="V525" s="36">
        <v>0</v>
      </c>
      <c r="W525" s="27">
        <v>1</v>
      </c>
      <c r="X525" s="27">
        <v>0</v>
      </c>
      <c r="Y525" s="27">
        <v>0</v>
      </c>
      <c r="Z525" s="27">
        <v>0</v>
      </c>
      <c r="AA525" s="27">
        <v>0</v>
      </c>
      <c r="AB525" s="27">
        <v>0</v>
      </c>
      <c r="AC525" s="27">
        <v>0</v>
      </c>
      <c r="AD525" s="27">
        <v>0</v>
      </c>
      <c r="AE525" s="27">
        <v>0</v>
      </c>
      <c r="AF525" s="27">
        <v>0</v>
      </c>
      <c r="AG525" s="27">
        <v>0</v>
      </c>
      <c r="AH525" s="27">
        <v>0</v>
      </c>
      <c r="AJ525">
        <f t="shared" si="8"/>
        <v>1</v>
      </c>
    </row>
    <row r="526" spans="1:36">
      <c r="A526" t="s">
        <v>3771</v>
      </c>
      <c r="B526" t="s">
        <v>3772</v>
      </c>
      <c r="C526">
        <v>55962349400</v>
      </c>
      <c r="D526" t="s">
        <v>3773</v>
      </c>
      <c r="E526">
        <v>2023</v>
      </c>
      <c r="F526" t="s">
        <v>3767</v>
      </c>
      <c r="J526">
        <v>185</v>
      </c>
      <c r="K526">
        <v>196</v>
      </c>
      <c r="L526">
        <v>11</v>
      </c>
      <c r="M526">
        <v>1</v>
      </c>
      <c r="N526" t="s">
        <v>3774</v>
      </c>
      <c r="O526" t="s">
        <v>3775</v>
      </c>
      <c r="P526" s="22" t="str">
        <f>HYPERLINK(O526)</f>
        <v>https://www.scopus.com/inward/record.uri?eid=2-s2.0-85173940023&amp;doi=10.1007%2f978-3-031-29426-6_12&amp;partnerID=40&amp;md5=f98b22958d75e0bb6e9106dae2a6550b</v>
      </c>
      <c r="Q526" t="s">
        <v>62</v>
      </c>
      <c r="R526" t="s">
        <v>48</v>
      </c>
      <c r="T526" t="s">
        <v>6</v>
      </c>
      <c r="U526" t="s">
        <v>3776</v>
      </c>
      <c r="V526" s="36">
        <v>0</v>
      </c>
      <c r="W526" s="27">
        <v>0</v>
      </c>
      <c r="X526" s="27">
        <v>1</v>
      </c>
      <c r="Y526" s="27">
        <v>0</v>
      </c>
      <c r="Z526" s="27">
        <v>0</v>
      </c>
      <c r="AA526" s="27">
        <v>0</v>
      </c>
      <c r="AB526" s="27">
        <v>0</v>
      </c>
      <c r="AC526" s="27">
        <v>0</v>
      </c>
      <c r="AD526" s="27">
        <v>0</v>
      </c>
      <c r="AE526" s="27">
        <v>0</v>
      </c>
      <c r="AF526" s="27">
        <v>0</v>
      </c>
      <c r="AG526" s="27">
        <v>0</v>
      </c>
      <c r="AH526" s="27">
        <v>0</v>
      </c>
      <c r="AJ526">
        <f t="shared" si="8"/>
        <v>1</v>
      </c>
    </row>
    <row r="527" spans="1:36">
      <c r="D527" t="s">
        <v>3777</v>
      </c>
      <c r="E527">
        <v>2020</v>
      </c>
      <c r="F527" t="s">
        <v>3767</v>
      </c>
      <c r="L527">
        <v>400</v>
      </c>
      <c r="M527">
        <v>0</v>
      </c>
      <c r="O527" t="s">
        <v>3778</v>
      </c>
      <c r="P527" s="22" t="str">
        <f>HYPERLINK(O527)</f>
        <v>https://www.scopus.com/inward/record.uri?eid=2-s2.0-85126235470&amp;partnerID=40&amp;md5=9420f9968ef3ad6971f11ab32e570505</v>
      </c>
      <c r="Q527" t="s">
        <v>47</v>
      </c>
      <c r="R527" t="s">
        <v>48</v>
      </c>
      <c r="T527" t="s">
        <v>6</v>
      </c>
      <c r="U527" t="s">
        <v>3779</v>
      </c>
      <c r="V527" s="36">
        <v>0</v>
      </c>
      <c r="W527" s="27">
        <v>0</v>
      </c>
      <c r="X527" s="27">
        <v>0</v>
      </c>
      <c r="Y527" s="27">
        <v>0</v>
      </c>
      <c r="Z527" s="27">
        <v>0</v>
      </c>
      <c r="AA527" s="27">
        <v>0</v>
      </c>
      <c r="AB527" s="27">
        <v>0</v>
      </c>
      <c r="AC527" s="27">
        <v>0</v>
      </c>
      <c r="AD527" s="27">
        <v>0</v>
      </c>
      <c r="AE527" s="27">
        <v>0</v>
      </c>
      <c r="AF527" s="27">
        <v>1</v>
      </c>
      <c r="AG527" s="27">
        <v>0</v>
      </c>
      <c r="AH527" s="27">
        <v>0</v>
      </c>
      <c r="AJ527">
        <f t="shared" si="8"/>
        <v>1</v>
      </c>
    </row>
    <row r="528" spans="1:36">
      <c r="A528" t="s">
        <v>3780</v>
      </c>
      <c r="B528" t="s">
        <v>3781</v>
      </c>
      <c r="C528" t="s">
        <v>3782</v>
      </c>
      <c r="D528" t="s">
        <v>3783</v>
      </c>
      <c r="E528">
        <v>2009</v>
      </c>
      <c r="F528" t="s">
        <v>3784</v>
      </c>
      <c r="G528">
        <v>50</v>
      </c>
      <c r="H528">
        <v>2</v>
      </c>
      <c r="J528">
        <v>373</v>
      </c>
      <c r="K528">
        <v>382</v>
      </c>
      <c r="L528">
        <v>9</v>
      </c>
      <c r="M528">
        <v>5</v>
      </c>
      <c r="N528" t="s">
        <v>3785</v>
      </c>
      <c r="O528" t="s">
        <v>3786</v>
      </c>
      <c r="P528" s="22" t="str">
        <f>HYPERLINK(O528)</f>
        <v>https://www.scopus.com/inward/record.uri?eid=2-s2.0-58549097674&amp;doi=10.1007%2fs00362-007-0061-8&amp;partnerID=40&amp;md5=5ff45061142292ef2becf8767a92da81</v>
      </c>
      <c r="Q528" t="s">
        <v>156</v>
      </c>
      <c r="R528" t="s">
        <v>48</v>
      </c>
      <c r="T528" t="s">
        <v>6</v>
      </c>
      <c r="U528" t="s">
        <v>3787</v>
      </c>
      <c r="V528" s="36">
        <v>0</v>
      </c>
      <c r="W528" s="27">
        <v>0</v>
      </c>
      <c r="X528" s="27">
        <v>0</v>
      </c>
      <c r="Y528" s="27">
        <v>0</v>
      </c>
      <c r="Z528" s="27">
        <v>1</v>
      </c>
      <c r="AA528" s="27">
        <v>0</v>
      </c>
      <c r="AB528" s="27">
        <v>0</v>
      </c>
      <c r="AC528" s="27">
        <v>0</v>
      </c>
      <c r="AD528" s="27">
        <v>0</v>
      </c>
      <c r="AE528" s="27">
        <v>0</v>
      </c>
      <c r="AF528" s="27">
        <v>0</v>
      </c>
      <c r="AG528" s="27">
        <v>0</v>
      </c>
      <c r="AH528" s="27">
        <v>0</v>
      </c>
      <c r="AJ528">
        <f t="shared" si="8"/>
        <v>1</v>
      </c>
    </row>
    <row r="529" spans="1:36">
      <c r="A529" t="s">
        <v>3788</v>
      </c>
      <c r="B529" t="s">
        <v>3789</v>
      </c>
      <c r="C529">
        <v>37106002700</v>
      </c>
      <c r="D529" t="s">
        <v>3790</v>
      </c>
      <c r="E529">
        <v>2016</v>
      </c>
      <c r="F529" t="s">
        <v>3791</v>
      </c>
      <c r="J529">
        <v>297</v>
      </c>
      <c r="K529">
        <v>315</v>
      </c>
      <c r="L529">
        <v>18</v>
      </c>
      <c r="M529">
        <v>4</v>
      </c>
      <c r="O529" t="s">
        <v>3792</v>
      </c>
      <c r="P529" s="22" t="str">
        <f>HYPERLINK(O529)</f>
        <v>https://www.scopus.com/inward/record.uri?eid=2-s2.0-84882323184&amp;partnerID=40&amp;md5=9a4f04ae4dd54c11883b8cd68597c6f4</v>
      </c>
      <c r="Q529" t="s">
        <v>216</v>
      </c>
      <c r="R529" t="s">
        <v>48</v>
      </c>
      <c r="T529" t="s">
        <v>6</v>
      </c>
      <c r="U529" t="s">
        <v>3793</v>
      </c>
      <c r="V529" s="36">
        <v>0</v>
      </c>
      <c r="W529" s="27">
        <v>1</v>
      </c>
      <c r="X529" s="27">
        <v>0</v>
      </c>
      <c r="Y529" s="27">
        <v>0</v>
      </c>
      <c r="Z529" s="27">
        <v>0</v>
      </c>
      <c r="AA529" s="27">
        <v>0</v>
      </c>
      <c r="AB529" s="27">
        <v>0</v>
      </c>
      <c r="AC529" s="27">
        <v>0</v>
      </c>
      <c r="AD529" s="27">
        <v>0</v>
      </c>
      <c r="AE529" s="27">
        <v>0</v>
      </c>
      <c r="AF529" s="27">
        <v>0</v>
      </c>
      <c r="AG529" s="27">
        <v>0</v>
      </c>
      <c r="AH529" s="27">
        <v>0</v>
      </c>
      <c r="AJ529">
        <f t="shared" si="8"/>
        <v>1</v>
      </c>
    </row>
    <row r="530" spans="1:36">
      <c r="A530" t="s">
        <v>3794</v>
      </c>
      <c r="B530" t="s">
        <v>3795</v>
      </c>
      <c r="C530" t="s">
        <v>3796</v>
      </c>
      <c r="D530" t="s">
        <v>3797</v>
      </c>
      <c r="E530">
        <v>2013</v>
      </c>
      <c r="F530" t="s">
        <v>3798</v>
      </c>
      <c r="J530">
        <v>1926</v>
      </c>
      <c r="K530">
        <v>1937</v>
      </c>
      <c r="L530">
        <v>11</v>
      </c>
      <c r="M530">
        <v>0</v>
      </c>
      <c r="N530" t="s">
        <v>3799</v>
      </c>
      <c r="O530" t="s">
        <v>3800</v>
      </c>
      <c r="P530" s="22" t="str">
        <f>HYPERLINK(O530)</f>
        <v>https://www.scopus.com/inward/record.uri?eid=2-s2.0-84885396695&amp;doi=10.1061%2f9780784412848.169&amp;partnerID=40&amp;md5=f1eba0ccaaff6ff18a60f560ae6fdc7a</v>
      </c>
      <c r="Q530" t="s">
        <v>62</v>
      </c>
      <c r="R530" t="s">
        <v>48</v>
      </c>
      <c r="T530" t="s">
        <v>6</v>
      </c>
      <c r="U530" t="s">
        <v>3801</v>
      </c>
      <c r="V530" s="36">
        <v>0</v>
      </c>
      <c r="W530" s="27">
        <v>0</v>
      </c>
      <c r="X530" s="27">
        <v>0</v>
      </c>
      <c r="Y530" s="27">
        <v>0</v>
      </c>
      <c r="Z530" s="27">
        <v>0</v>
      </c>
      <c r="AA530" s="27">
        <v>0</v>
      </c>
      <c r="AB530" s="27">
        <v>0</v>
      </c>
      <c r="AC530" s="27">
        <v>0</v>
      </c>
      <c r="AD530" s="27">
        <v>0</v>
      </c>
      <c r="AE530" s="27">
        <v>0</v>
      </c>
      <c r="AF530" s="27">
        <v>0</v>
      </c>
      <c r="AG530" s="27">
        <v>0</v>
      </c>
      <c r="AH530" s="27">
        <v>1</v>
      </c>
      <c r="AJ530">
        <f t="shared" si="8"/>
        <v>1</v>
      </c>
    </row>
    <row r="531" spans="1:36">
      <c r="A531" t="s">
        <v>3802</v>
      </c>
      <c r="B531" t="s">
        <v>3803</v>
      </c>
      <c r="C531" t="s">
        <v>3804</v>
      </c>
      <c r="D531" t="s">
        <v>3805</v>
      </c>
      <c r="E531">
        <v>2022</v>
      </c>
      <c r="F531" t="s">
        <v>3806</v>
      </c>
      <c r="G531">
        <v>32</v>
      </c>
      <c r="H531">
        <v>3</v>
      </c>
      <c r="J531">
        <v>102</v>
      </c>
      <c r="K531">
        <v>115</v>
      </c>
      <c r="L531">
        <v>13</v>
      </c>
      <c r="M531">
        <v>0</v>
      </c>
      <c r="N531" t="s">
        <v>3807</v>
      </c>
      <c r="O531" t="s">
        <v>3808</v>
      </c>
      <c r="P531" s="22" t="str">
        <f>HYPERLINK(O531)</f>
        <v>https://www.scopus.com/inward/record.uri?eid=2-s2.0-85134532828&amp;doi=10.2478%2fsues-2022-0014&amp;partnerID=40&amp;md5=2690f8932b167832cd764553ec4d9c56</v>
      </c>
      <c r="Q531" t="s">
        <v>156</v>
      </c>
      <c r="R531" t="s">
        <v>48</v>
      </c>
      <c r="S531" t="s">
        <v>185</v>
      </c>
      <c r="T531" t="s">
        <v>6</v>
      </c>
      <c r="U531" t="s">
        <v>3809</v>
      </c>
      <c r="V531" s="36">
        <v>1</v>
      </c>
      <c r="W531" s="27">
        <v>0</v>
      </c>
      <c r="X531" s="27">
        <v>0</v>
      </c>
      <c r="Y531" s="27">
        <v>0</v>
      </c>
      <c r="Z531" s="27">
        <v>0</v>
      </c>
      <c r="AA531" s="27">
        <v>0</v>
      </c>
      <c r="AB531" s="27">
        <v>0</v>
      </c>
      <c r="AC531" s="27">
        <v>0</v>
      </c>
      <c r="AD531" s="27">
        <v>0</v>
      </c>
      <c r="AE531" s="27">
        <v>0</v>
      </c>
      <c r="AF531" s="27">
        <v>0</v>
      </c>
      <c r="AG531" s="27">
        <v>0</v>
      </c>
      <c r="AH531" s="27">
        <v>0</v>
      </c>
      <c r="AJ531">
        <f t="shared" si="8"/>
        <v>1</v>
      </c>
    </row>
    <row r="532" spans="1:36">
      <c r="A532" t="s">
        <v>3810</v>
      </c>
      <c r="B532" t="s">
        <v>3811</v>
      </c>
      <c r="C532" t="s">
        <v>3812</v>
      </c>
      <c r="D532" t="s">
        <v>3813</v>
      </c>
      <c r="E532">
        <v>2024</v>
      </c>
      <c r="F532" t="s">
        <v>3814</v>
      </c>
      <c r="G532">
        <v>16</v>
      </c>
      <c r="H532">
        <v>2</v>
      </c>
      <c r="I532">
        <v>834</v>
      </c>
      <c r="M532">
        <v>1</v>
      </c>
      <c r="N532" t="s">
        <v>3815</v>
      </c>
      <c r="O532" t="s">
        <v>3816</v>
      </c>
      <c r="P532" s="22" t="str">
        <f>HYPERLINK(O532)</f>
        <v>https://www.scopus.com/inward/record.uri?eid=2-s2.0-85183093873&amp;doi=10.3390%2fsu16020834&amp;partnerID=40&amp;md5=0159f96f43e0e932e7d7164ff60866a4</v>
      </c>
      <c r="Q532" t="s">
        <v>156</v>
      </c>
      <c r="R532" t="s">
        <v>48</v>
      </c>
      <c r="S532" t="s">
        <v>185</v>
      </c>
      <c r="T532" t="s">
        <v>6</v>
      </c>
      <c r="U532" t="s">
        <v>3817</v>
      </c>
      <c r="V532" s="36">
        <v>0</v>
      </c>
      <c r="W532" s="27">
        <v>1</v>
      </c>
      <c r="X532" s="27">
        <v>0</v>
      </c>
      <c r="Y532" s="27">
        <v>0</v>
      </c>
      <c r="Z532" s="27">
        <v>0</v>
      </c>
      <c r="AA532" s="27">
        <v>0</v>
      </c>
      <c r="AB532" s="27">
        <v>0</v>
      </c>
      <c r="AC532" s="27">
        <v>0</v>
      </c>
      <c r="AD532" s="27">
        <v>0</v>
      </c>
      <c r="AE532" s="27">
        <v>0</v>
      </c>
      <c r="AF532" s="27">
        <v>0</v>
      </c>
      <c r="AG532" s="27">
        <v>0</v>
      </c>
      <c r="AH532" s="27">
        <v>0</v>
      </c>
      <c r="AJ532">
        <f t="shared" si="8"/>
        <v>1</v>
      </c>
    </row>
    <row r="533" spans="1:36">
      <c r="A533" t="s">
        <v>3818</v>
      </c>
      <c r="B533" t="s">
        <v>3819</v>
      </c>
      <c r="C533" t="s">
        <v>3820</v>
      </c>
      <c r="D533" t="s">
        <v>3821</v>
      </c>
      <c r="E533">
        <v>2023</v>
      </c>
      <c r="F533" t="s">
        <v>3814</v>
      </c>
      <c r="G533">
        <v>15</v>
      </c>
      <c r="H533">
        <v>13</v>
      </c>
      <c r="I533">
        <v>10348</v>
      </c>
      <c r="M533">
        <v>13</v>
      </c>
      <c r="N533" t="s">
        <v>3822</v>
      </c>
      <c r="O533" t="s">
        <v>3823</v>
      </c>
      <c r="P533" s="22" t="str">
        <f>HYPERLINK(O533)</f>
        <v>https://www.scopus.com/inward/record.uri?eid=2-s2.0-85164943168&amp;doi=10.3390%2fsu151310348&amp;partnerID=40&amp;md5=94eb3ad8ff0042f0e9856e51369f8c92</v>
      </c>
      <c r="Q533" t="s">
        <v>156</v>
      </c>
      <c r="R533" t="s">
        <v>48</v>
      </c>
      <c r="S533" t="s">
        <v>185</v>
      </c>
      <c r="T533" t="s">
        <v>6</v>
      </c>
      <c r="U533" t="s">
        <v>3824</v>
      </c>
      <c r="V533" s="36">
        <v>0</v>
      </c>
      <c r="W533" s="27">
        <v>1</v>
      </c>
      <c r="X533" s="27">
        <v>0</v>
      </c>
      <c r="Y533" s="27">
        <v>0</v>
      </c>
      <c r="Z533" s="27">
        <v>0</v>
      </c>
      <c r="AA533" s="27">
        <v>0</v>
      </c>
      <c r="AB533" s="27">
        <v>0</v>
      </c>
      <c r="AC533" s="27">
        <v>0</v>
      </c>
      <c r="AD533" s="27">
        <v>0</v>
      </c>
      <c r="AE533" s="27">
        <v>0</v>
      </c>
      <c r="AF533" s="27">
        <v>0</v>
      </c>
      <c r="AG533" s="27">
        <v>0</v>
      </c>
      <c r="AH533" s="27">
        <v>0</v>
      </c>
      <c r="AJ533">
        <f t="shared" si="8"/>
        <v>1</v>
      </c>
    </row>
    <row r="534" spans="1:36">
      <c r="A534" t="s">
        <v>3825</v>
      </c>
      <c r="B534" t="s">
        <v>3826</v>
      </c>
      <c r="C534" t="s">
        <v>3827</v>
      </c>
      <c r="D534" t="s">
        <v>3828</v>
      </c>
      <c r="E534">
        <v>2019</v>
      </c>
      <c r="F534" t="s">
        <v>3814</v>
      </c>
      <c r="G534">
        <v>11</v>
      </c>
      <c r="H534">
        <v>16</v>
      </c>
      <c r="I534">
        <v>4351</v>
      </c>
      <c r="M534">
        <v>12</v>
      </c>
      <c r="N534" t="s">
        <v>3829</v>
      </c>
      <c r="O534" t="s">
        <v>3830</v>
      </c>
      <c r="P534" s="22" t="str">
        <f>HYPERLINK(O534)</f>
        <v>https://www.scopus.com/inward/record.uri?eid=2-s2.0-85070738381&amp;doi=10.3390%2fsu11164351&amp;partnerID=40&amp;md5=8c4f3ed439a614132d47556521031324</v>
      </c>
      <c r="Q534" t="s">
        <v>156</v>
      </c>
      <c r="R534" t="s">
        <v>48</v>
      </c>
      <c r="S534" t="s">
        <v>225</v>
      </c>
      <c r="T534" t="s">
        <v>6</v>
      </c>
      <c r="U534" t="s">
        <v>3831</v>
      </c>
      <c r="V534" s="36">
        <v>0</v>
      </c>
      <c r="W534" s="27">
        <v>1</v>
      </c>
      <c r="X534" s="27">
        <v>0</v>
      </c>
      <c r="Y534" s="27">
        <v>0</v>
      </c>
      <c r="Z534" s="27">
        <v>0</v>
      </c>
      <c r="AA534" s="27">
        <v>0</v>
      </c>
      <c r="AB534" s="27">
        <v>0</v>
      </c>
      <c r="AC534" s="27">
        <v>0</v>
      </c>
      <c r="AD534" s="27">
        <v>0</v>
      </c>
      <c r="AE534" s="27">
        <v>0</v>
      </c>
      <c r="AF534" s="27">
        <v>0</v>
      </c>
      <c r="AG534" s="27">
        <v>0</v>
      </c>
      <c r="AH534" s="27">
        <v>0</v>
      </c>
      <c r="AJ534">
        <f t="shared" si="8"/>
        <v>1</v>
      </c>
    </row>
    <row r="535" spans="1:36">
      <c r="A535" t="s">
        <v>3832</v>
      </c>
      <c r="B535" t="s">
        <v>3833</v>
      </c>
      <c r="C535" t="s">
        <v>3834</v>
      </c>
      <c r="D535" t="s">
        <v>3835</v>
      </c>
      <c r="E535">
        <v>2022</v>
      </c>
      <c r="F535" t="s">
        <v>3814</v>
      </c>
      <c r="G535">
        <v>14</v>
      </c>
      <c r="H535">
        <v>21</v>
      </c>
      <c r="I535">
        <v>14007</v>
      </c>
      <c r="M535">
        <v>10</v>
      </c>
      <c r="N535" t="s">
        <v>3836</v>
      </c>
      <c r="O535" t="s">
        <v>3837</v>
      </c>
      <c r="P535" s="22" t="str">
        <f>HYPERLINK(O535)</f>
        <v>https://www.scopus.com/inward/record.uri?eid=2-s2.0-85141659734&amp;doi=10.3390%2fsu142114007&amp;partnerID=40&amp;md5=5c9b553e00a2bee34ae7da5db4736195</v>
      </c>
      <c r="Q535" t="s">
        <v>156</v>
      </c>
      <c r="R535" t="s">
        <v>48</v>
      </c>
      <c r="S535" t="s">
        <v>185</v>
      </c>
      <c r="T535" t="s">
        <v>6</v>
      </c>
      <c r="U535" t="s">
        <v>3838</v>
      </c>
      <c r="V535" s="36">
        <v>0</v>
      </c>
      <c r="W535" s="27">
        <v>1</v>
      </c>
      <c r="X535" s="27">
        <v>0</v>
      </c>
      <c r="Y535" s="27">
        <v>0</v>
      </c>
      <c r="Z535" s="27">
        <v>0</v>
      </c>
      <c r="AA535" s="27">
        <v>0</v>
      </c>
      <c r="AB535" s="27">
        <v>0</v>
      </c>
      <c r="AC535" s="27">
        <v>0</v>
      </c>
      <c r="AD535" s="27">
        <v>0</v>
      </c>
      <c r="AE535" s="27">
        <v>0</v>
      </c>
      <c r="AF535" s="27">
        <v>0</v>
      </c>
      <c r="AG535" s="27">
        <v>0</v>
      </c>
      <c r="AH535" s="27">
        <v>0</v>
      </c>
      <c r="AJ535">
        <f t="shared" si="8"/>
        <v>1</v>
      </c>
    </row>
    <row r="536" spans="1:36">
      <c r="A536" t="s">
        <v>3839</v>
      </c>
      <c r="B536" t="s">
        <v>3840</v>
      </c>
      <c r="C536" t="s">
        <v>3841</v>
      </c>
      <c r="D536" t="s">
        <v>3842</v>
      </c>
      <c r="E536">
        <v>2023</v>
      </c>
      <c r="F536" t="s">
        <v>3814</v>
      </c>
      <c r="G536">
        <v>15</v>
      </c>
      <c r="H536">
        <v>16</v>
      </c>
      <c r="I536">
        <v>12262</v>
      </c>
      <c r="M536">
        <v>6</v>
      </c>
      <c r="N536" t="s">
        <v>3843</v>
      </c>
      <c r="O536" t="s">
        <v>3844</v>
      </c>
      <c r="P536" s="22" t="str">
        <f>HYPERLINK(O536)</f>
        <v>https://www.scopus.com/inward/record.uri?eid=2-s2.0-85169105979&amp;doi=10.3390%2fsu151612262&amp;partnerID=40&amp;md5=740e564f7c511bb455e00083d1c29f82</v>
      </c>
      <c r="Q536" t="s">
        <v>156</v>
      </c>
      <c r="R536" t="s">
        <v>48</v>
      </c>
      <c r="S536" t="s">
        <v>185</v>
      </c>
      <c r="T536" t="s">
        <v>6</v>
      </c>
      <c r="U536" t="s">
        <v>3845</v>
      </c>
      <c r="V536" s="36">
        <v>0</v>
      </c>
      <c r="W536" s="27">
        <v>1</v>
      </c>
      <c r="X536" s="27">
        <v>0</v>
      </c>
      <c r="Y536" s="27">
        <v>0</v>
      </c>
      <c r="Z536" s="27">
        <v>0</v>
      </c>
      <c r="AA536" s="27">
        <v>0</v>
      </c>
      <c r="AB536" s="27">
        <v>0</v>
      </c>
      <c r="AC536" s="27">
        <v>0</v>
      </c>
      <c r="AD536" s="27">
        <v>0</v>
      </c>
      <c r="AE536" s="27">
        <v>0</v>
      </c>
      <c r="AF536" s="27">
        <v>0</v>
      </c>
      <c r="AG536" s="27">
        <v>0</v>
      </c>
      <c r="AH536" s="27">
        <v>0</v>
      </c>
      <c r="AJ536">
        <f t="shared" si="8"/>
        <v>1</v>
      </c>
    </row>
    <row r="537" spans="1:36">
      <c r="A537" t="s">
        <v>3846</v>
      </c>
      <c r="B537" t="s">
        <v>3847</v>
      </c>
      <c r="C537" t="s">
        <v>3848</v>
      </c>
      <c r="D537" t="s">
        <v>3849</v>
      </c>
      <c r="E537">
        <v>2023</v>
      </c>
      <c r="F537" t="s">
        <v>3814</v>
      </c>
      <c r="G537">
        <v>15</v>
      </c>
      <c r="H537">
        <v>9</v>
      </c>
      <c r="I537">
        <v>7686</v>
      </c>
      <c r="M537">
        <v>1</v>
      </c>
      <c r="N537" t="s">
        <v>3850</v>
      </c>
      <c r="O537" t="s">
        <v>3851</v>
      </c>
      <c r="P537" s="22" t="str">
        <f>HYPERLINK(O537)</f>
        <v>https://www.scopus.com/inward/record.uri?eid=2-s2.0-85159297171&amp;doi=10.3390%2fsu15097686&amp;partnerID=40&amp;md5=5c4520a3d04bd7d64c5e4caa59ddaa75</v>
      </c>
      <c r="Q537" t="s">
        <v>156</v>
      </c>
      <c r="R537" t="s">
        <v>48</v>
      </c>
      <c r="S537" t="s">
        <v>185</v>
      </c>
      <c r="T537" t="s">
        <v>6</v>
      </c>
      <c r="U537" t="s">
        <v>3852</v>
      </c>
      <c r="V537" s="36">
        <v>0</v>
      </c>
      <c r="W537" s="27">
        <v>1</v>
      </c>
      <c r="X537" s="27">
        <v>0</v>
      </c>
      <c r="Y537" s="27">
        <v>0</v>
      </c>
      <c r="Z537" s="27">
        <v>0</v>
      </c>
      <c r="AA537" s="27">
        <v>0</v>
      </c>
      <c r="AB537" s="27">
        <v>0</v>
      </c>
      <c r="AC537" s="27">
        <v>0</v>
      </c>
      <c r="AD537" s="27">
        <v>0</v>
      </c>
      <c r="AE537" s="27">
        <v>0</v>
      </c>
      <c r="AF537" s="27">
        <v>0</v>
      </c>
      <c r="AG537" s="27">
        <v>0</v>
      </c>
      <c r="AH537" s="27">
        <v>0</v>
      </c>
      <c r="AJ537">
        <f t="shared" si="8"/>
        <v>1</v>
      </c>
    </row>
    <row r="538" spans="1:36">
      <c r="A538" t="s">
        <v>3853</v>
      </c>
      <c r="B538" t="s">
        <v>3854</v>
      </c>
      <c r="C538" t="s">
        <v>3855</v>
      </c>
      <c r="D538" t="s">
        <v>3856</v>
      </c>
      <c r="E538">
        <v>2019</v>
      </c>
      <c r="F538" t="s">
        <v>3814</v>
      </c>
      <c r="G538">
        <v>11</v>
      </c>
      <c r="H538">
        <v>12</v>
      </c>
      <c r="I538">
        <v>3470</v>
      </c>
      <c r="M538">
        <v>10</v>
      </c>
      <c r="N538" t="s">
        <v>3857</v>
      </c>
      <c r="O538" t="s">
        <v>3858</v>
      </c>
      <c r="P538" s="22" t="str">
        <f>HYPERLINK(O538)</f>
        <v>https://www.scopus.com/inward/record.uri?eid=2-s2.0-85069760142&amp;doi=10.3390%2fsu10023470&amp;partnerID=40&amp;md5=4cbf3b819eabc1481e67c756a05c728c</v>
      </c>
      <c r="Q538" t="s">
        <v>156</v>
      </c>
      <c r="R538" t="s">
        <v>48</v>
      </c>
      <c r="T538" t="s">
        <v>6</v>
      </c>
      <c r="U538" t="s">
        <v>3859</v>
      </c>
      <c r="V538" s="36">
        <v>0</v>
      </c>
      <c r="W538" s="27">
        <v>1</v>
      </c>
      <c r="X538" s="27">
        <v>0</v>
      </c>
      <c r="Y538" s="27">
        <v>0</v>
      </c>
      <c r="Z538" s="27">
        <v>0</v>
      </c>
      <c r="AA538" s="27">
        <v>0</v>
      </c>
      <c r="AB538" s="27">
        <v>0</v>
      </c>
      <c r="AC538" s="27">
        <v>0</v>
      </c>
      <c r="AD538" s="27">
        <v>0</v>
      </c>
      <c r="AE538" s="27">
        <v>0</v>
      </c>
      <c r="AF538" s="27">
        <v>0</v>
      </c>
      <c r="AG538" s="27">
        <v>0</v>
      </c>
      <c r="AH538" s="27">
        <v>0</v>
      </c>
      <c r="AJ538">
        <f t="shared" si="8"/>
        <v>1</v>
      </c>
    </row>
    <row r="539" spans="1:36">
      <c r="A539" t="s">
        <v>3860</v>
      </c>
      <c r="B539" t="s">
        <v>3861</v>
      </c>
      <c r="C539" t="s">
        <v>3862</v>
      </c>
      <c r="D539" t="s">
        <v>3863</v>
      </c>
      <c r="E539">
        <v>2022</v>
      </c>
      <c r="F539" t="s">
        <v>3814</v>
      </c>
      <c r="G539">
        <v>14</v>
      </c>
      <c r="H539">
        <v>19</v>
      </c>
      <c r="I539">
        <v>12122</v>
      </c>
      <c r="M539">
        <v>8</v>
      </c>
      <c r="N539" t="s">
        <v>3864</v>
      </c>
      <c r="O539" t="s">
        <v>3865</v>
      </c>
      <c r="P539" s="22" t="str">
        <f>HYPERLINK(O539)</f>
        <v>https://www.scopus.com/inward/record.uri?eid=2-s2.0-85139941071&amp;doi=10.3390%2fsu141912122&amp;partnerID=40&amp;md5=aa3d74cfbb23ee6c2c40ca655394e56f</v>
      </c>
      <c r="Q539" t="s">
        <v>156</v>
      </c>
      <c r="R539" t="s">
        <v>48</v>
      </c>
      <c r="S539" t="s">
        <v>185</v>
      </c>
      <c r="T539" t="s">
        <v>6</v>
      </c>
      <c r="U539" t="s">
        <v>3866</v>
      </c>
      <c r="V539" s="36">
        <v>0</v>
      </c>
      <c r="W539" s="27">
        <v>1</v>
      </c>
      <c r="X539" s="27">
        <v>0</v>
      </c>
      <c r="Y539" s="27">
        <v>0</v>
      </c>
      <c r="Z539" s="27">
        <v>0</v>
      </c>
      <c r="AA539" s="27">
        <v>0</v>
      </c>
      <c r="AB539" s="27">
        <v>0</v>
      </c>
      <c r="AC539" s="27">
        <v>0</v>
      </c>
      <c r="AD539" s="27">
        <v>0</v>
      </c>
      <c r="AE539" s="27">
        <v>0</v>
      </c>
      <c r="AF539" s="27">
        <v>0</v>
      </c>
      <c r="AG539" s="27">
        <v>0</v>
      </c>
      <c r="AH539" s="27">
        <v>0</v>
      </c>
      <c r="AJ539">
        <f t="shared" si="8"/>
        <v>1</v>
      </c>
    </row>
    <row r="540" spans="1:36">
      <c r="A540" t="s">
        <v>3867</v>
      </c>
      <c r="B540" t="s">
        <v>3868</v>
      </c>
      <c r="C540" t="s">
        <v>3869</v>
      </c>
      <c r="D540" t="s">
        <v>3870</v>
      </c>
      <c r="E540">
        <v>2023</v>
      </c>
      <c r="F540" t="s">
        <v>3814</v>
      </c>
      <c r="G540">
        <v>15</v>
      </c>
      <c r="H540">
        <v>5</v>
      </c>
      <c r="I540">
        <v>4355</v>
      </c>
      <c r="M540">
        <v>3</v>
      </c>
      <c r="N540" t="s">
        <v>3871</v>
      </c>
      <c r="O540" t="s">
        <v>3872</v>
      </c>
      <c r="P540" s="22" t="str">
        <f>HYPERLINK(O540)</f>
        <v>https://www.scopus.com/inward/record.uri?eid=2-s2.0-85149865681&amp;doi=10.3390%2fsu15054355&amp;partnerID=40&amp;md5=71d27180b876e374f63a22d51c4aed86</v>
      </c>
      <c r="Q540" t="s">
        <v>156</v>
      </c>
      <c r="R540" t="s">
        <v>48</v>
      </c>
      <c r="S540" t="s">
        <v>185</v>
      </c>
      <c r="T540" t="s">
        <v>6</v>
      </c>
      <c r="U540" t="s">
        <v>3873</v>
      </c>
      <c r="V540" s="36">
        <v>0</v>
      </c>
      <c r="W540" s="27">
        <v>1</v>
      </c>
      <c r="X540" s="27">
        <v>0</v>
      </c>
      <c r="Y540" s="27">
        <v>0</v>
      </c>
      <c r="Z540" s="27">
        <v>0</v>
      </c>
      <c r="AA540" s="27">
        <v>0</v>
      </c>
      <c r="AB540" s="27">
        <v>0</v>
      </c>
      <c r="AC540" s="27">
        <v>0</v>
      </c>
      <c r="AD540" s="27">
        <v>0</v>
      </c>
      <c r="AE540" s="27">
        <v>0</v>
      </c>
      <c r="AF540" s="27">
        <v>0</v>
      </c>
      <c r="AG540" s="27">
        <v>0</v>
      </c>
      <c r="AH540" s="27">
        <v>0</v>
      </c>
      <c r="AJ540">
        <f t="shared" si="8"/>
        <v>1</v>
      </c>
    </row>
    <row r="541" spans="1:36">
      <c r="A541" t="s">
        <v>3874</v>
      </c>
      <c r="B541" t="s">
        <v>3875</v>
      </c>
      <c r="C541" t="s">
        <v>3876</v>
      </c>
      <c r="D541" t="s">
        <v>3877</v>
      </c>
      <c r="E541">
        <v>2023</v>
      </c>
      <c r="F541" t="s">
        <v>3814</v>
      </c>
      <c r="G541">
        <v>15</v>
      </c>
      <c r="H541">
        <v>2</v>
      </c>
      <c r="I541">
        <v>1689</v>
      </c>
      <c r="M541">
        <v>4</v>
      </c>
      <c r="N541" t="s">
        <v>3878</v>
      </c>
      <c r="O541" t="s">
        <v>3879</v>
      </c>
      <c r="P541" s="22" t="str">
        <f>HYPERLINK(O541)</f>
        <v>https://www.scopus.com/inward/record.uri?eid=2-s2.0-85159664019&amp;doi=10.3390%2fsu15021689&amp;partnerID=40&amp;md5=4a5dfb4ea7c38bbf7ed205e03c248922</v>
      </c>
      <c r="Q541" t="s">
        <v>156</v>
      </c>
      <c r="R541" t="s">
        <v>48</v>
      </c>
      <c r="S541" t="s">
        <v>185</v>
      </c>
      <c r="T541" t="s">
        <v>6</v>
      </c>
      <c r="U541" t="s">
        <v>3880</v>
      </c>
      <c r="V541" s="36">
        <v>0</v>
      </c>
      <c r="W541" s="27">
        <v>0</v>
      </c>
      <c r="X541" s="27">
        <v>0</v>
      </c>
      <c r="Y541" s="27">
        <v>0</v>
      </c>
      <c r="Z541" s="27">
        <v>0</v>
      </c>
      <c r="AA541" s="27">
        <v>0</v>
      </c>
      <c r="AB541" s="27">
        <v>0</v>
      </c>
      <c r="AC541" s="27">
        <v>0</v>
      </c>
      <c r="AD541" s="27">
        <v>0</v>
      </c>
      <c r="AE541" s="27">
        <v>0</v>
      </c>
      <c r="AF541" s="27">
        <v>0</v>
      </c>
      <c r="AG541" s="27">
        <v>1</v>
      </c>
      <c r="AH541" s="27">
        <v>0</v>
      </c>
      <c r="AJ541">
        <f t="shared" si="8"/>
        <v>1</v>
      </c>
    </row>
    <row r="542" spans="1:36">
      <c r="A542" t="s">
        <v>3881</v>
      </c>
      <c r="B542" t="s">
        <v>3882</v>
      </c>
      <c r="C542" t="s">
        <v>3883</v>
      </c>
      <c r="D542" t="s">
        <v>3884</v>
      </c>
      <c r="E542">
        <v>2022</v>
      </c>
      <c r="F542" t="s">
        <v>3814</v>
      </c>
      <c r="G542">
        <v>14</v>
      </c>
      <c r="H542">
        <v>22</v>
      </c>
      <c r="I542">
        <v>15069</v>
      </c>
      <c r="M542">
        <v>1</v>
      </c>
      <c r="N542" t="s">
        <v>3885</v>
      </c>
      <c r="O542" t="s">
        <v>3886</v>
      </c>
      <c r="P542" s="22" t="str">
        <f>HYPERLINK(O542)</f>
        <v>https://www.scopus.com/inward/record.uri?eid=2-s2.0-85142752714&amp;doi=10.3390%2fsu142215069&amp;partnerID=40&amp;md5=08daeee9addf628725f8a94a4e7d863b</v>
      </c>
      <c r="Q542" t="s">
        <v>156</v>
      </c>
      <c r="R542" t="s">
        <v>48</v>
      </c>
      <c r="S542" t="s">
        <v>185</v>
      </c>
      <c r="T542" t="s">
        <v>6</v>
      </c>
      <c r="U542" t="s">
        <v>3887</v>
      </c>
      <c r="V542" s="36">
        <v>0</v>
      </c>
      <c r="W542" s="27">
        <v>1</v>
      </c>
      <c r="X542" s="27">
        <v>0</v>
      </c>
      <c r="Y542" s="27">
        <v>0</v>
      </c>
      <c r="Z542" s="27">
        <v>0</v>
      </c>
      <c r="AA542" s="27">
        <v>0</v>
      </c>
      <c r="AB542" s="27">
        <v>0</v>
      </c>
      <c r="AC542" s="27">
        <v>0</v>
      </c>
      <c r="AD542" s="27">
        <v>0</v>
      </c>
      <c r="AE542" s="27">
        <v>0</v>
      </c>
      <c r="AF542" s="27">
        <v>0</v>
      </c>
      <c r="AG542" s="27">
        <v>0</v>
      </c>
      <c r="AH542" s="27">
        <v>0</v>
      </c>
      <c r="AJ542">
        <f t="shared" si="8"/>
        <v>1</v>
      </c>
    </row>
    <row r="543" spans="1:36">
      <c r="A543" t="s">
        <v>3888</v>
      </c>
      <c r="B543" t="s">
        <v>3889</v>
      </c>
      <c r="C543" t="s">
        <v>3890</v>
      </c>
      <c r="D543" t="s">
        <v>3891</v>
      </c>
      <c r="E543">
        <v>2024</v>
      </c>
      <c r="F543" t="s">
        <v>3814</v>
      </c>
      <c r="G543">
        <v>16</v>
      </c>
      <c r="H543">
        <v>14</v>
      </c>
      <c r="I543">
        <v>5925</v>
      </c>
      <c r="M543">
        <v>2</v>
      </c>
      <c r="N543" t="s">
        <v>3892</v>
      </c>
      <c r="O543" t="s">
        <v>3893</v>
      </c>
      <c r="P543" s="22" t="str">
        <f>HYPERLINK(O543)</f>
        <v>https://www.scopus.com/inward/record.uri?eid=2-s2.0-85199878093&amp;doi=10.3390%2fsu16145925&amp;partnerID=40&amp;md5=4301e3450b15f26c064d45ef3be13307</v>
      </c>
      <c r="Q543" t="s">
        <v>156</v>
      </c>
      <c r="R543" t="s">
        <v>48</v>
      </c>
      <c r="S543" t="s">
        <v>185</v>
      </c>
      <c r="T543" t="s">
        <v>6</v>
      </c>
      <c r="U543" t="s">
        <v>3894</v>
      </c>
      <c r="V543" s="36">
        <v>0</v>
      </c>
      <c r="W543" s="27">
        <v>0</v>
      </c>
      <c r="X543" s="27">
        <v>0</v>
      </c>
      <c r="Y543" s="27">
        <v>0</v>
      </c>
      <c r="Z543" s="27">
        <v>0</v>
      </c>
      <c r="AA543" s="27">
        <v>0</v>
      </c>
      <c r="AB543" s="27">
        <v>0</v>
      </c>
      <c r="AC543" s="27">
        <v>0</v>
      </c>
      <c r="AD543" s="27">
        <v>0</v>
      </c>
      <c r="AE543" s="27">
        <v>0</v>
      </c>
      <c r="AF543" s="27">
        <v>0</v>
      </c>
      <c r="AG543" s="27">
        <v>0</v>
      </c>
      <c r="AH543" s="27">
        <v>0</v>
      </c>
      <c r="AJ543">
        <f t="shared" si="8"/>
        <v>0</v>
      </c>
    </row>
    <row r="544" spans="1:36">
      <c r="A544" t="s">
        <v>3895</v>
      </c>
      <c r="B544" t="s">
        <v>3896</v>
      </c>
      <c r="C544" t="s">
        <v>3897</v>
      </c>
      <c r="D544" t="s">
        <v>3898</v>
      </c>
      <c r="E544">
        <v>2024</v>
      </c>
      <c r="F544" t="s">
        <v>3814</v>
      </c>
      <c r="G544">
        <v>16</v>
      </c>
      <c r="H544">
        <v>24</v>
      </c>
      <c r="I544">
        <v>11028</v>
      </c>
      <c r="M544">
        <v>0</v>
      </c>
      <c r="N544" t="s">
        <v>3899</v>
      </c>
      <c r="O544" t="s">
        <v>3900</v>
      </c>
      <c r="P544" s="22" t="str">
        <f>HYPERLINK(O544)</f>
        <v>https://www.scopus.com/inward/record.uri?eid=2-s2.0-85213247777&amp;doi=10.3390%2fsu162411028&amp;partnerID=40&amp;md5=c447885f4337616624501b0241743332</v>
      </c>
      <c r="Q544" t="s">
        <v>156</v>
      </c>
      <c r="R544" t="s">
        <v>48</v>
      </c>
      <c r="T544" t="s">
        <v>6</v>
      </c>
      <c r="U544" t="s">
        <v>3901</v>
      </c>
      <c r="V544" s="36">
        <v>0</v>
      </c>
      <c r="W544" s="27">
        <v>1</v>
      </c>
      <c r="X544" s="27">
        <v>0</v>
      </c>
      <c r="Y544" s="27">
        <v>0</v>
      </c>
      <c r="Z544" s="27">
        <v>0</v>
      </c>
      <c r="AA544" s="27">
        <v>0</v>
      </c>
      <c r="AB544" s="27">
        <v>0</v>
      </c>
      <c r="AC544" s="27">
        <v>0</v>
      </c>
      <c r="AD544" s="27">
        <v>0</v>
      </c>
      <c r="AE544" s="27">
        <v>0</v>
      </c>
      <c r="AF544" s="27">
        <v>0</v>
      </c>
      <c r="AG544" s="27">
        <v>0</v>
      </c>
      <c r="AH544" s="27">
        <v>0</v>
      </c>
      <c r="AJ544">
        <f t="shared" si="8"/>
        <v>1</v>
      </c>
    </row>
    <row r="545" spans="1:36">
      <c r="A545" t="s">
        <v>3902</v>
      </c>
      <c r="B545" t="s">
        <v>3903</v>
      </c>
      <c r="C545" t="s">
        <v>3904</v>
      </c>
      <c r="D545" t="s">
        <v>3905</v>
      </c>
      <c r="E545">
        <v>2022</v>
      </c>
      <c r="F545" t="s">
        <v>3814</v>
      </c>
      <c r="G545">
        <v>14</v>
      </c>
      <c r="H545">
        <v>14</v>
      </c>
      <c r="I545">
        <v>8518</v>
      </c>
      <c r="M545">
        <v>4</v>
      </c>
      <c r="N545" t="s">
        <v>3906</v>
      </c>
      <c r="O545" t="s">
        <v>3907</v>
      </c>
      <c r="P545" s="22" t="str">
        <f>HYPERLINK(O545)</f>
        <v>https://www.scopus.com/inward/record.uri?eid=2-s2.0-85137222425&amp;doi=10.3390%2fsu14148518&amp;partnerID=40&amp;md5=66d0dc19dfc7a117e564abe85dcdeb9b</v>
      </c>
      <c r="Q545" t="s">
        <v>156</v>
      </c>
      <c r="R545" t="s">
        <v>48</v>
      </c>
      <c r="S545" t="s">
        <v>185</v>
      </c>
      <c r="T545" t="s">
        <v>6</v>
      </c>
      <c r="U545" t="s">
        <v>3908</v>
      </c>
      <c r="V545" s="36">
        <v>0</v>
      </c>
      <c r="W545" s="27">
        <v>1</v>
      </c>
      <c r="X545" s="27">
        <v>0</v>
      </c>
      <c r="Y545" s="27">
        <v>0</v>
      </c>
      <c r="Z545" s="27">
        <v>0</v>
      </c>
      <c r="AA545" s="27">
        <v>0</v>
      </c>
      <c r="AB545" s="27">
        <v>0</v>
      </c>
      <c r="AC545" s="27">
        <v>0</v>
      </c>
      <c r="AD545" s="27">
        <v>0</v>
      </c>
      <c r="AE545" s="27">
        <v>0</v>
      </c>
      <c r="AF545" s="27">
        <v>0</v>
      </c>
      <c r="AG545" s="27">
        <v>0</v>
      </c>
      <c r="AH545" s="27">
        <v>0</v>
      </c>
      <c r="AJ545">
        <f t="shared" si="8"/>
        <v>1</v>
      </c>
    </row>
    <row r="546" spans="1:36">
      <c r="A546" t="s">
        <v>3909</v>
      </c>
      <c r="B546" t="s">
        <v>3910</v>
      </c>
      <c r="C546" t="s">
        <v>3911</v>
      </c>
      <c r="D546" t="s">
        <v>3912</v>
      </c>
      <c r="E546">
        <v>2023</v>
      </c>
      <c r="F546" t="s">
        <v>3814</v>
      </c>
      <c r="G546">
        <v>15</v>
      </c>
      <c r="H546">
        <v>15</v>
      </c>
      <c r="I546">
        <v>11811</v>
      </c>
      <c r="M546">
        <v>4</v>
      </c>
      <c r="N546" t="s">
        <v>3913</v>
      </c>
      <c r="O546" t="s">
        <v>3914</v>
      </c>
      <c r="P546" s="22" t="str">
        <f>HYPERLINK(O546)</f>
        <v>https://www.scopus.com/inward/record.uri?eid=2-s2.0-85167786699&amp;doi=10.3390%2fsu151511811&amp;partnerID=40&amp;md5=ff14f642eb96315e8bbf217087d230cb</v>
      </c>
      <c r="Q546" t="s">
        <v>156</v>
      </c>
      <c r="R546" t="s">
        <v>48</v>
      </c>
      <c r="S546" t="s">
        <v>225</v>
      </c>
      <c r="T546" t="s">
        <v>6</v>
      </c>
      <c r="U546" t="s">
        <v>3915</v>
      </c>
      <c r="V546" s="36">
        <v>0</v>
      </c>
      <c r="W546" s="27">
        <v>1</v>
      </c>
      <c r="X546" s="27">
        <v>0</v>
      </c>
      <c r="Y546" s="27">
        <v>0</v>
      </c>
      <c r="Z546" s="27">
        <v>0</v>
      </c>
      <c r="AA546" s="27">
        <v>0</v>
      </c>
      <c r="AB546" s="27">
        <v>0</v>
      </c>
      <c r="AC546" s="27">
        <v>0</v>
      </c>
      <c r="AD546" s="27">
        <v>0</v>
      </c>
      <c r="AE546" s="27">
        <v>0</v>
      </c>
      <c r="AF546" s="27">
        <v>0</v>
      </c>
      <c r="AG546" s="27">
        <v>0</v>
      </c>
      <c r="AH546" s="27">
        <v>0</v>
      </c>
      <c r="AJ546">
        <f t="shared" si="8"/>
        <v>1</v>
      </c>
    </row>
    <row r="547" spans="1:36">
      <c r="A547" t="s">
        <v>3916</v>
      </c>
      <c r="B547" t="s">
        <v>3917</v>
      </c>
      <c r="C547" t="s">
        <v>3918</v>
      </c>
      <c r="D547" t="s">
        <v>3919</v>
      </c>
      <c r="E547">
        <v>2021</v>
      </c>
      <c r="F547" t="s">
        <v>3814</v>
      </c>
      <c r="G547">
        <v>13</v>
      </c>
      <c r="H547">
        <v>9</v>
      </c>
      <c r="I547">
        <v>4805</v>
      </c>
      <c r="M547">
        <v>11</v>
      </c>
      <c r="N547" t="s">
        <v>3920</v>
      </c>
      <c r="O547" t="s">
        <v>3921</v>
      </c>
      <c r="P547" s="22" t="str">
        <f>HYPERLINK(O547)</f>
        <v>https://www.scopus.com/inward/record.uri?eid=2-s2.0-85105451504&amp;doi=10.3390%2fsu13094805&amp;partnerID=40&amp;md5=ce7127852493410b8a51d37965c5c604</v>
      </c>
      <c r="Q547" t="s">
        <v>156</v>
      </c>
      <c r="R547" t="s">
        <v>48</v>
      </c>
      <c r="S547" t="s">
        <v>225</v>
      </c>
      <c r="T547" t="s">
        <v>6</v>
      </c>
      <c r="U547" t="s">
        <v>3922</v>
      </c>
      <c r="V547" s="36">
        <v>0</v>
      </c>
      <c r="W547" s="27">
        <v>1</v>
      </c>
      <c r="X547" s="27">
        <v>0</v>
      </c>
      <c r="Y547" s="27">
        <v>0</v>
      </c>
      <c r="Z547" s="27">
        <v>0</v>
      </c>
      <c r="AA547" s="27">
        <v>0</v>
      </c>
      <c r="AB547" s="27">
        <v>0</v>
      </c>
      <c r="AC547" s="27">
        <v>0</v>
      </c>
      <c r="AD547" s="27">
        <v>0</v>
      </c>
      <c r="AE547" s="27">
        <v>0</v>
      </c>
      <c r="AF547" s="27">
        <v>0</v>
      </c>
      <c r="AG547" s="27">
        <v>0</v>
      </c>
      <c r="AH547" s="27">
        <v>0</v>
      </c>
      <c r="AJ547">
        <f t="shared" si="8"/>
        <v>1</v>
      </c>
    </row>
    <row r="548" spans="1:36">
      <c r="A548" t="s">
        <v>3923</v>
      </c>
      <c r="B548" t="s">
        <v>3924</v>
      </c>
      <c r="C548" t="s">
        <v>3925</v>
      </c>
      <c r="D548" t="s">
        <v>3926</v>
      </c>
      <c r="E548">
        <v>2021</v>
      </c>
      <c r="F548" t="s">
        <v>3814</v>
      </c>
      <c r="G548">
        <v>13</v>
      </c>
      <c r="H548">
        <v>1</v>
      </c>
      <c r="I548">
        <v>280</v>
      </c>
      <c r="J548">
        <v>1</v>
      </c>
      <c r="K548">
        <v>23</v>
      </c>
      <c r="L548">
        <v>22</v>
      </c>
      <c r="M548">
        <v>36</v>
      </c>
      <c r="N548" t="s">
        <v>3927</v>
      </c>
      <c r="O548" t="s">
        <v>3928</v>
      </c>
      <c r="P548" s="22" t="str">
        <f>HYPERLINK(O548)</f>
        <v>https://www.scopus.com/inward/record.uri?eid=2-s2.0-85098873408&amp;doi=10.3390%2fsu13010280&amp;partnerID=40&amp;md5=4252ec666ff14a6e6d8f42feb1058961</v>
      </c>
      <c r="Q548" t="s">
        <v>156</v>
      </c>
      <c r="R548" t="s">
        <v>48</v>
      </c>
      <c r="S548" t="s">
        <v>225</v>
      </c>
      <c r="T548" t="s">
        <v>6</v>
      </c>
      <c r="U548" t="s">
        <v>3929</v>
      </c>
      <c r="V548" s="36">
        <v>0</v>
      </c>
      <c r="W548" s="27">
        <v>1</v>
      </c>
      <c r="X548" s="27">
        <v>0</v>
      </c>
      <c r="Y548" s="27">
        <v>0</v>
      </c>
      <c r="Z548" s="27">
        <v>0</v>
      </c>
      <c r="AA548" s="27">
        <v>0</v>
      </c>
      <c r="AB548" s="27">
        <v>0</v>
      </c>
      <c r="AC548" s="27">
        <v>0</v>
      </c>
      <c r="AD548" s="27">
        <v>0</v>
      </c>
      <c r="AE548" s="27">
        <v>0</v>
      </c>
      <c r="AF548" s="27">
        <v>0</v>
      </c>
      <c r="AG548" s="27">
        <v>0</v>
      </c>
      <c r="AH548" s="27">
        <v>0</v>
      </c>
      <c r="AJ548">
        <f t="shared" si="8"/>
        <v>1</v>
      </c>
    </row>
    <row r="549" spans="1:36">
      <c r="A549" t="s">
        <v>3930</v>
      </c>
      <c r="B549" t="s">
        <v>3931</v>
      </c>
      <c r="C549" t="s">
        <v>3932</v>
      </c>
      <c r="D549" t="s">
        <v>3933</v>
      </c>
      <c r="E549">
        <v>2020</v>
      </c>
      <c r="F549" t="s">
        <v>3814</v>
      </c>
      <c r="G549">
        <v>12</v>
      </c>
      <c r="H549">
        <v>4</v>
      </c>
      <c r="M549">
        <v>23</v>
      </c>
      <c r="N549" t="s">
        <v>3934</v>
      </c>
      <c r="O549" t="s">
        <v>3935</v>
      </c>
      <c r="P549" s="22" t="str">
        <f>HYPERLINK(O549)</f>
        <v>https://www.scopus.com/inward/record.uri?eid=2-s2.0-85081233360&amp;doi=10.3390%2fsu12041456&amp;partnerID=40&amp;md5=f479d21140c6fc94d9199a1f3c6091c7</v>
      </c>
      <c r="Q549" t="s">
        <v>156</v>
      </c>
      <c r="R549" t="s">
        <v>48</v>
      </c>
      <c r="S549" t="s">
        <v>225</v>
      </c>
      <c r="T549" t="s">
        <v>6</v>
      </c>
      <c r="U549" t="s">
        <v>3936</v>
      </c>
      <c r="V549" s="36">
        <v>1</v>
      </c>
      <c r="W549" s="27">
        <v>0</v>
      </c>
      <c r="X549" s="27">
        <v>0</v>
      </c>
      <c r="Y549" s="27">
        <v>0</v>
      </c>
      <c r="Z549" s="27">
        <v>0</v>
      </c>
      <c r="AA549" s="27">
        <v>0</v>
      </c>
      <c r="AB549" s="27">
        <v>0</v>
      </c>
      <c r="AC549" s="27">
        <v>0</v>
      </c>
      <c r="AD549" s="27">
        <v>0</v>
      </c>
      <c r="AE549" s="27">
        <v>0</v>
      </c>
      <c r="AF549" s="27">
        <v>0</v>
      </c>
      <c r="AG549" s="27">
        <v>0</v>
      </c>
      <c r="AH549" s="27">
        <v>0</v>
      </c>
      <c r="AJ549">
        <f t="shared" si="8"/>
        <v>1</v>
      </c>
    </row>
    <row r="550" spans="1:36">
      <c r="A550" t="s">
        <v>3937</v>
      </c>
      <c r="B550" t="s">
        <v>3938</v>
      </c>
      <c r="C550" t="s">
        <v>3939</v>
      </c>
      <c r="D550" t="s">
        <v>3940</v>
      </c>
      <c r="E550">
        <v>2022</v>
      </c>
      <c r="F550" t="s">
        <v>3814</v>
      </c>
      <c r="G550">
        <v>14</v>
      </c>
      <c r="H550">
        <v>10</v>
      </c>
      <c r="I550">
        <v>5925</v>
      </c>
      <c r="M550">
        <v>2</v>
      </c>
      <c r="N550" t="s">
        <v>3941</v>
      </c>
      <c r="O550" t="s">
        <v>3942</v>
      </c>
      <c r="P550" s="22" t="str">
        <f>HYPERLINK(O550)</f>
        <v>https://www.scopus.com/inward/record.uri?eid=2-s2.0-85130539419&amp;doi=10.3390%2fsu14105925&amp;partnerID=40&amp;md5=f52e21c0505614e5ed62a31110ce1bdf</v>
      </c>
      <c r="Q550" t="s">
        <v>156</v>
      </c>
      <c r="R550" t="s">
        <v>48</v>
      </c>
      <c r="S550" t="s">
        <v>185</v>
      </c>
      <c r="T550" t="s">
        <v>6</v>
      </c>
      <c r="U550" t="s">
        <v>3943</v>
      </c>
      <c r="V550" s="36">
        <v>0</v>
      </c>
      <c r="W550" s="27">
        <v>1</v>
      </c>
      <c r="X550" s="27">
        <v>0</v>
      </c>
      <c r="Y550" s="27">
        <v>0</v>
      </c>
      <c r="Z550" s="27">
        <v>0</v>
      </c>
      <c r="AA550" s="27">
        <v>0</v>
      </c>
      <c r="AB550" s="27">
        <v>0</v>
      </c>
      <c r="AC550" s="27">
        <v>0</v>
      </c>
      <c r="AD550" s="27">
        <v>0</v>
      </c>
      <c r="AE550" s="27">
        <v>0</v>
      </c>
      <c r="AF550" s="27">
        <v>0</v>
      </c>
      <c r="AG550" s="27">
        <v>0</v>
      </c>
      <c r="AH550" s="27">
        <v>0</v>
      </c>
      <c r="AJ550">
        <f t="shared" si="8"/>
        <v>1</v>
      </c>
    </row>
    <row r="551" spans="1:36">
      <c r="A551" t="s">
        <v>3944</v>
      </c>
      <c r="B551" t="s">
        <v>3945</v>
      </c>
      <c r="C551" t="s">
        <v>3946</v>
      </c>
      <c r="D551" t="s">
        <v>3947</v>
      </c>
      <c r="E551">
        <v>2023</v>
      </c>
      <c r="F551" t="s">
        <v>3814</v>
      </c>
      <c r="G551">
        <v>15</v>
      </c>
      <c r="H551">
        <v>14</v>
      </c>
      <c r="I551">
        <v>10929</v>
      </c>
      <c r="M551">
        <v>5</v>
      </c>
      <c r="N551" t="s">
        <v>3948</v>
      </c>
      <c r="O551" t="s">
        <v>3949</v>
      </c>
      <c r="P551" s="22" t="str">
        <f>HYPERLINK(O551)</f>
        <v>https://www.scopus.com/inward/record.uri?eid=2-s2.0-85166195983&amp;doi=10.3390%2fsu151410929&amp;partnerID=40&amp;md5=287c818b6ea229746412221eedcf2cb6</v>
      </c>
      <c r="Q551" t="s">
        <v>156</v>
      </c>
      <c r="R551" t="s">
        <v>48</v>
      </c>
      <c r="S551" t="s">
        <v>185</v>
      </c>
      <c r="T551" t="s">
        <v>6</v>
      </c>
      <c r="U551" t="s">
        <v>3950</v>
      </c>
      <c r="V551" s="36">
        <v>0</v>
      </c>
      <c r="W551" s="27">
        <v>1</v>
      </c>
      <c r="X551" s="27">
        <v>0</v>
      </c>
      <c r="Y551" s="27">
        <v>0</v>
      </c>
      <c r="Z551" s="27">
        <v>0</v>
      </c>
      <c r="AA551" s="27">
        <v>0</v>
      </c>
      <c r="AB551" s="27">
        <v>0</v>
      </c>
      <c r="AC551" s="27">
        <v>0</v>
      </c>
      <c r="AD551" s="27">
        <v>0</v>
      </c>
      <c r="AE551" s="27">
        <v>0</v>
      </c>
      <c r="AF551" s="27">
        <v>0</v>
      </c>
      <c r="AG551" s="27">
        <v>0</v>
      </c>
      <c r="AH551" s="27">
        <v>1</v>
      </c>
      <c r="AJ551">
        <f t="shared" si="8"/>
        <v>2</v>
      </c>
    </row>
    <row r="552" spans="1:36">
      <c r="A552" t="s">
        <v>3951</v>
      </c>
      <c r="B552" t="s">
        <v>3952</v>
      </c>
      <c r="C552" t="s">
        <v>3953</v>
      </c>
      <c r="D552" t="s">
        <v>3954</v>
      </c>
      <c r="E552">
        <v>2024</v>
      </c>
      <c r="F552" t="s">
        <v>3814</v>
      </c>
      <c r="G552">
        <v>16</v>
      </c>
      <c r="H552">
        <v>15</v>
      </c>
      <c r="I552">
        <v>6671</v>
      </c>
      <c r="M552">
        <v>0</v>
      </c>
      <c r="N552" t="s">
        <v>3955</v>
      </c>
      <c r="O552" t="s">
        <v>3956</v>
      </c>
      <c r="P552" s="22" t="str">
        <f>HYPERLINK(O552)</f>
        <v>https://www.scopus.com/inward/record.uri?eid=2-s2.0-85200726177&amp;doi=10.3390%2fsu16156671&amp;partnerID=40&amp;md5=9e934532046b8c0e21d44add6a3f2f68</v>
      </c>
      <c r="Q552" t="s">
        <v>156</v>
      </c>
      <c r="R552" t="s">
        <v>48</v>
      </c>
      <c r="T552" t="s">
        <v>6</v>
      </c>
      <c r="U552" t="s">
        <v>3957</v>
      </c>
      <c r="V552" s="36">
        <v>0</v>
      </c>
      <c r="W552" s="27">
        <v>0</v>
      </c>
      <c r="X552" s="27">
        <v>0</v>
      </c>
      <c r="Y552" s="27">
        <v>0</v>
      </c>
      <c r="Z552" s="27">
        <v>0</v>
      </c>
      <c r="AA552" s="27">
        <v>0</v>
      </c>
      <c r="AB552" s="27">
        <v>1</v>
      </c>
      <c r="AC552" s="27">
        <v>0</v>
      </c>
      <c r="AD552" s="27">
        <v>0</v>
      </c>
      <c r="AE552" s="27">
        <v>0</v>
      </c>
      <c r="AF552" s="27">
        <v>0</v>
      </c>
      <c r="AG552" s="27">
        <v>0</v>
      </c>
      <c r="AH552" s="27">
        <v>0</v>
      </c>
      <c r="AJ552">
        <f t="shared" si="8"/>
        <v>1</v>
      </c>
    </row>
    <row r="553" spans="1:36">
      <c r="A553" t="s">
        <v>3958</v>
      </c>
      <c r="B553" t="s">
        <v>3959</v>
      </c>
      <c r="C553" t="s">
        <v>3960</v>
      </c>
      <c r="D553" t="s">
        <v>3961</v>
      </c>
      <c r="E553">
        <v>2023</v>
      </c>
      <c r="F553" t="s">
        <v>3814</v>
      </c>
      <c r="G553">
        <v>15</v>
      </c>
      <c r="H553">
        <v>18</v>
      </c>
      <c r="I553">
        <v>13330</v>
      </c>
      <c r="M553">
        <v>3</v>
      </c>
      <c r="N553" t="s">
        <v>3962</v>
      </c>
      <c r="O553" t="s">
        <v>3963</v>
      </c>
      <c r="P553" s="22" t="str">
        <f>HYPERLINK(O553)</f>
        <v>https://www.scopus.com/inward/record.uri?eid=2-s2.0-85172865787&amp;doi=10.3390%2fsu151813330&amp;partnerID=40&amp;md5=e8bd0e301fced018535608b672653865</v>
      </c>
      <c r="Q553" t="s">
        <v>156</v>
      </c>
      <c r="R553" t="s">
        <v>48</v>
      </c>
      <c r="S553" t="s">
        <v>225</v>
      </c>
      <c r="T553" t="s">
        <v>6</v>
      </c>
      <c r="U553" t="s">
        <v>3964</v>
      </c>
      <c r="V553" s="36">
        <v>0</v>
      </c>
      <c r="W553" s="27">
        <v>1</v>
      </c>
      <c r="X553" s="27">
        <v>0</v>
      </c>
      <c r="Y553" s="27">
        <v>0</v>
      </c>
      <c r="Z553" s="27">
        <v>0</v>
      </c>
      <c r="AA553" s="27">
        <v>0</v>
      </c>
      <c r="AB553" s="27">
        <v>0</v>
      </c>
      <c r="AC553" s="27">
        <v>0</v>
      </c>
      <c r="AD553" s="27">
        <v>0</v>
      </c>
      <c r="AE553" s="27">
        <v>0</v>
      </c>
      <c r="AF553" s="27">
        <v>0</v>
      </c>
      <c r="AG553" s="27">
        <v>0</v>
      </c>
      <c r="AH553" s="27">
        <v>0</v>
      </c>
      <c r="AJ553">
        <f t="shared" si="8"/>
        <v>1</v>
      </c>
    </row>
    <row r="554" spans="1:36">
      <c r="A554" t="s">
        <v>3965</v>
      </c>
      <c r="B554" t="s">
        <v>3966</v>
      </c>
      <c r="C554" t="s">
        <v>3967</v>
      </c>
      <c r="D554" t="s">
        <v>3968</v>
      </c>
      <c r="E554">
        <v>2024</v>
      </c>
      <c r="F554" t="s">
        <v>3969</v>
      </c>
      <c r="G554">
        <v>16</v>
      </c>
      <c r="H554">
        <v>5</v>
      </c>
      <c r="I554">
        <v>1843</v>
      </c>
      <c r="M554">
        <v>2</v>
      </c>
      <c r="N554" t="s">
        <v>3970</v>
      </c>
      <c r="O554" t="s">
        <v>3971</v>
      </c>
      <c r="P554" s="22" t="str">
        <f>HYPERLINK(O554)</f>
        <v>https://www.scopus.com/inward/record.uri?eid=2-s2.0-85187643902&amp;doi=10.3390%2fsu16051843&amp;partnerID=40&amp;md5=65b658d890f4c4a98ccff1cfb7f3f7ae</v>
      </c>
      <c r="Q554" t="s">
        <v>156</v>
      </c>
      <c r="R554" t="s">
        <v>48</v>
      </c>
      <c r="S554" t="s">
        <v>185</v>
      </c>
      <c r="T554" t="s">
        <v>6</v>
      </c>
      <c r="U554" t="s">
        <v>3972</v>
      </c>
      <c r="V554" s="36">
        <v>0</v>
      </c>
      <c r="W554" s="27">
        <v>1</v>
      </c>
      <c r="X554" s="27">
        <v>0</v>
      </c>
      <c r="Y554" s="27">
        <v>0</v>
      </c>
      <c r="Z554" s="27">
        <v>0</v>
      </c>
      <c r="AA554" s="27">
        <v>0</v>
      </c>
      <c r="AB554" s="27">
        <v>0</v>
      </c>
      <c r="AC554" s="27">
        <v>0</v>
      </c>
      <c r="AD554" s="27">
        <v>0</v>
      </c>
      <c r="AE554" s="27">
        <v>0</v>
      </c>
      <c r="AF554" s="27">
        <v>0</v>
      </c>
      <c r="AG554" s="27">
        <v>0</v>
      </c>
      <c r="AH554" s="27">
        <v>0</v>
      </c>
      <c r="AJ554">
        <f t="shared" si="8"/>
        <v>1</v>
      </c>
    </row>
    <row r="555" spans="1:36">
      <c r="A555" t="s">
        <v>3973</v>
      </c>
      <c r="B555" t="s">
        <v>3974</v>
      </c>
      <c r="C555" t="s">
        <v>3975</v>
      </c>
      <c r="D555" t="s">
        <v>3976</v>
      </c>
      <c r="E555">
        <v>2024</v>
      </c>
      <c r="F555" t="s">
        <v>3969</v>
      </c>
      <c r="G555">
        <v>16</v>
      </c>
      <c r="H555">
        <v>13</v>
      </c>
      <c r="I555">
        <v>5740</v>
      </c>
      <c r="M555">
        <v>0</v>
      </c>
      <c r="N555" t="s">
        <v>3977</v>
      </c>
      <c r="O555" t="s">
        <v>3978</v>
      </c>
      <c r="P555" s="22" t="str">
        <f>HYPERLINK(O555)</f>
        <v>https://www.scopus.com/inward/record.uri?eid=2-s2.0-85198413047&amp;doi=10.3390%2fsu16135740&amp;partnerID=40&amp;md5=ee1fdd1f8b966ab227e9199acd436511</v>
      </c>
      <c r="Q555" t="s">
        <v>156</v>
      </c>
      <c r="R555" t="s">
        <v>48</v>
      </c>
      <c r="S555" t="s">
        <v>225</v>
      </c>
      <c r="T555" t="s">
        <v>6</v>
      </c>
      <c r="U555" t="s">
        <v>3979</v>
      </c>
      <c r="V555" s="36">
        <v>1</v>
      </c>
      <c r="W555" s="27">
        <v>0</v>
      </c>
      <c r="X555" s="27">
        <v>0</v>
      </c>
      <c r="Y555" s="27">
        <v>0</v>
      </c>
      <c r="Z555" s="27">
        <v>0</v>
      </c>
      <c r="AA555" s="27">
        <v>0</v>
      </c>
      <c r="AB555" s="27">
        <v>0</v>
      </c>
      <c r="AC555" s="27">
        <v>0</v>
      </c>
      <c r="AD555" s="27">
        <v>0</v>
      </c>
      <c r="AE555" s="27">
        <v>0</v>
      </c>
      <c r="AF555" s="27">
        <v>0</v>
      </c>
      <c r="AG555" s="27">
        <v>0</v>
      </c>
      <c r="AH555" s="27">
        <v>0</v>
      </c>
      <c r="AJ555">
        <f t="shared" si="8"/>
        <v>1</v>
      </c>
    </row>
    <row r="556" spans="1:36">
      <c r="A556" t="s">
        <v>3980</v>
      </c>
      <c r="B556" t="s">
        <v>3981</v>
      </c>
      <c r="C556" t="s">
        <v>3982</v>
      </c>
      <c r="D556" t="s">
        <v>3983</v>
      </c>
      <c r="E556">
        <v>2024</v>
      </c>
      <c r="F556" t="s">
        <v>3969</v>
      </c>
      <c r="G556">
        <v>16</v>
      </c>
      <c r="H556">
        <v>7</v>
      </c>
      <c r="I556">
        <v>2653</v>
      </c>
      <c r="M556">
        <v>2</v>
      </c>
      <c r="N556" t="s">
        <v>3984</v>
      </c>
      <c r="O556" t="s">
        <v>3985</v>
      </c>
      <c r="P556" s="22" t="str">
        <f>HYPERLINK(O556)</f>
        <v>https://www.scopus.com/inward/record.uri?eid=2-s2.0-85190304093&amp;doi=10.3390%2fsu16072653&amp;partnerID=40&amp;md5=0482115c585d211db54496f907f37f22</v>
      </c>
      <c r="Q556" t="s">
        <v>156</v>
      </c>
      <c r="R556" t="s">
        <v>48</v>
      </c>
      <c r="S556" t="s">
        <v>185</v>
      </c>
      <c r="T556" t="s">
        <v>6</v>
      </c>
      <c r="U556" t="s">
        <v>3986</v>
      </c>
      <c r="V556" s="36">
        <v>0</v>
      </c>
      <c r="W556" s="27">
        <v>1</v>
      </c>
      <c r="X556" s="27">
        <v>0</v>
      </c>
      <c r="Y556" s="27">
        <v>0</v>
      </c>
      <c r="Z556" s="27">
        <v>0</v>
      </c>
      <c r="AA556" s="27">
        <v>0</v>
      </c>
      <c r="AB556" s="27">
        <v>0</v>
      </c>
      <c r="AC556" s="27">
        <v>0</v>
      </c>
      <c r="AD556" s="27">
        <v>0</v>
      </c>
      <c r="AE556" s="27">
        <v>0</v>
      </c>
      <c r="AF556" s="27">
        <v>0</v>
      </c>
      <c r="AG556" s="27">
        <v>0</v>
      </c>
      <c r="AH556" s="27">
        <v>0</v>
      </c>
      <c r="AJ556">
        <f t="shared" si="8"/>
        <v>1</v>
      </c>
    </row>
    <row r="557" spans="1:36">
      <c r="A557" t="s">
        <v>3987</v>
      </c>
      <c r="B557" t="s">
        <v>3988</v>
      </c>
      <c r="C557" t="s">
        <v>3989</v>
      </c>
      <c r="D557" t="s">
        <v>3990</v>
      </c>
      <c r="E557">
        <v>2024</v>
      </c>
      <c r="F557" t="s">
        <v>3969</v>
      </c>
      <c r="G557">
        <v>16</v>
      </c>
      <c r="H557">
        <v>8</v>
      </c>
      <c r="I557">
        <v>3162</v>
      </c>
      <c r="M557">
        <v>0</v>
      </c>
      <c r="N557" t="s">
        <v>3991</v>
      </c>
      <c r="O557" t="s">
        <v>3992</v>
      </c>
      <c r="P557" s="22" t="str">
        <f>HYPERLINK(O557)</f>
        <v>https://www.scopus.com/inward/record.uri?eid=2-s2.0-85191491956&amp;doi=10.3390%2fsu16083162&amp;partnerID=40&amp;md5=5ac2fb91a6bf12cb89f2d26b152bcea9</v>
      </c>
      <c r="Q557" t="s">
        <v>156</v>
      </c>
      <c r="R557" t="s">
        <v>48</v>
      </c>
      <c r="S557" t="s">
        <v>225</v>
      </c>
      <c r="T557" t="s">
        <v>6</v>
      </c>
      <c r="U557" t="s">
        <v>3993</v>
      </c>
      <c r="V557" s="36">
        <v>0</v>
      </c>
      <c r="W557" s="27">
        <v>1</v>
      </c>
      <c r="X557" s="27">
        <v>0</v>
      </c>
      <c r="Y557" s="27">
        <v>0</v>
      </c>
      <c r="Z557" s="27">
        <v>0</v>
      </c>
      <c r="AA557" s="27">
        <v>0</v>
      </c>
      <c r="AB557" s="27">
        <v>0</v>
      </c>
      <c r="AC557" s="27">
        <v>0</v>
      </c>
      <c r="AD557" s="27">
        <v>0</v>
      </c>
      <c r="AE557" s="27">
        <v>0</v>
      </c>
      <c r="AF557" s="27">
        <v>0</v>
      </c>
      <c r="AG557" s="27">
        <v>0</v>
      </c>
      <c r="AH557" s="27">
        <v>0</v>
      </c>
      <c r="AJ557">
        <f t="shared" si="8"/>
        <v>1</v>
      </c>
    </row>
    <row r="558" spans="1:36">
      <c r="A558" t="s">
        <v>3994</v>
      </c>
      <c r="B558" t="s">
        <v>3995</v>
      </c>
      <c r="C558" t="s">
        <v>3996</v>
      </c>
      <c r="D558" t="s">
        <v>3997</v>
      </c>
      <c r="E558">
        <v>2024</v>
      </c>
      <c r="F558" t="s">
        <v>3969</v>
      </c>
      <c r="G558">
        <v>16</v>
      </c>
      <c r="H558">
        <v>8</v>
      </c>
      <c r="I558">
        <v>3397</v>
      </c>
      <c r="M558">
        <v>1</v>
      </c>
      <c r="N558" t="s">
        <v>3998</v>
      </c>
      <c r="O558" t="s">
        <v>3999</v>
      </c>
      <c r="P558" s="22" t="str">
        <f>HYPERLINK(O558)</f>
        <v>https://www.scopus.com/inward/record.uri?eid=2-s2.0-85191402572&amp;doi=10.3390%2fsu16083397&amp;partnerID=40&amp;md5=c79032944333a5c7a1b310a235d2165f</v>
      </c>
      <c r="Q558" t="s">
        <v>156</v>
      </c>
      <c r="R558" t="s">
        <v>48</v>
      </c>
      <c r="S558" t="s">
        <v>185</v>
      </c>
      <c r="T558" t="s">
        <v>6</v>
      </c>
      <c r="U558" t="s">
        <v>4000</v>
      </c>
      <c r="V558" s="36">
        <v>0</v>
      </c>
      <c r="W558" s="27">
        <v>1</v>
      </c>
      <c r="X558" s="27">
        <v>0</v>
      </c>
      <c r="Y558" s="27">
        <v>0</v>
      </c>
      <c r="Z558" s="27">
        <v>0</v>
      </c>
      <c r="AA558" s="27">
        <v>0</v>
      </c>
      <c r="AB558" s="27">
        <v>0</v>
      </c>
      <c r="AC558" s="27">
        <v>0</v>
      </c>
      <c r="AD558" s="27">
        <v>0</v>
      </c>
      <c r="AE558" s="27">
        <v>0</v>
      </c>
      <c r="AF558" s="27">
        <v>0</v>
      </c>
      <c r="AG558" s="27">
        <v>0</v>
      </c>
      <c r="AH558" s="27">
        <v>0</v>
      </c>
      <c r="AJ558">
        <f t="shared" si="8"/>
        <v>1</v>
      </c>
    </row>
    <row r="559" spans="1:36">
      <c r="A559" t="s">
        <v>4001</v>
      </c>
      <c r="B559" t="s">
        <v>4002</v>
      </c>
      <c r="C559" t="s">
        <v>4003</v>
      </c>
      <c r="D559" t="s">
        <v>4004</v>
      </c>
      <c r="E559">
        <v>2024</v>
      </c>
      <c r="F559" t="s">
        <v>3969</v>
      </c>
      <c r="G559">
        <v>16</v>
      </c>
      <c r="H559">
        <v>11</v>
      </c>
      <c r="I559">
        <v>4542</v>
      </c>
      <c r="M559">
        <v>0</v>
      </c>
      <c r="N559" t="s">
        <v>4005</v>
      </c>
      <c r="O559" t="s">
        <v>4006</v>
      </c>
      <c r="P559" s="22" t="str">
        <f>HYPERLINK(O559)</f>
        <v>https://www.scopus.com/inward/record.uri?eid=2-s2.0-85195874459&amp;doi=10.3390%2fsu16114542&amp;partnerID=40&amp;md5=cc4562b6d57d7874447a4ab383e73869</v>
      </c>
      <c r="Q559" t="s">
        <v>156</v>
      </c>
      <c r="R559" t="s">
        <v>48</v>
      </c>
      <c r="S559" t="s">
        <v>185</v>
      </c>
      <c r="T559" t="s">
        <v>6</v>
      </c>
      <c r="U559" t="s">
        <v>4007</v>
      </c>
      <c r="V559" s="36">
        <v>0</v>
      </c>
      <c r="W559" s="27">
        <v>1</v>
      </c>
      <c r="X559" s="27">
        <v>0</v>
      </c>
      <c r="Y559" s="27">
        <v>0</v>
      </c>
      <c r="Z559" s="27">
        <v>0</v>
      </c>
      <c r="AA559" s="27">
        <v>0</v>
      </c>
      <c r="AB559" s="27">
        <v>0</v>
      </c>
      <c r="AC559" s="27">
        <v>0</v>
      </c>
      <c r="AD559" s="27">
        <v>0</v>
      </c>
      <c r="AE559" s="27">
        <v>0</v>
      </c>
      <c r="AF559" s="27">
        <v>0</v>
      </c>
      <c r="AG559" s="27">
        <v>0</v>
      </c>
      <c r="AH559" s="27">
        <v>0</v>
      </c>
      <c r="AJ559">
        <f t="shared" si="8"/>
        <v>1</v>
      </c>
    </row>
    <row r="560" spans="1:36">
      <c r="A560" t="s">
        <v>4008</v>
      </c>
      <c r="B560" t="s">
        <v>4009</v>
      </c>
      <c r="C560" t="s">
        <v>4010</v>
      </c>
      <c r="D560" t="s">
        <v>4011</v>
      </c>
      <c r="E560">
        <v>2024</v>
      </c>
      <c r="F560" t="s">
        <v>3969</v>
      </c>
      <c r="G560">
        <v>16</v>
      </c>
      <c r="H560">
        <v>5</v>
      </c>
      <c r="I560">
        <v>1815</v>
      </c>
      <c r="M560">
        <v>1</v>
      </c>
      <c r="N560" t="s">
        <v>4012</v>
      </c>
      <c r="O560" t="s">
        <v>4013</v>
      </c>
      <c r="P560" s="22" t="str">
        <f>HYPERLINK(O560)</f>
        <v>https://www.scopus.com/inward/record.uri?eid=2-s2.0-85187502751&amp;doi=10.3390%2fsu16051815&amp;partnerID=40&amp;md5=1c917c9211f0b0105490d6eb9203700f</v>
      </c>
      <c r="Q560" t="s">
        <v>156</v>
      </c>
      <c r="R560" t="s">
        <v>48</v>
      </c>
      <c r="S560" t="s">
        <v>185</v>
      </c>
      <c r="T560" t="s">
        <v>6</v>
      </c>
      <c r="U560" t="s">
        <v>4014</v>
      </c>
      <c r="V560" s="36">
        <v>0</v>
      </c>
      <c r="W560" s="27">
        <v>1</v>
      </c>
      <c r="X560" s="27">
        <v>0</v>
      </c>
      <c r="Y560" s="27">
        <v>0</v>
      </c>
      <c r="Z560" s="27">
        <v>0</v>
      </c>
      <c r="AA560" s="27">
        <v>0</v>
      </c>
      <c r="AB560" s="27">
        <v>0</v>
      </c>
      <c r="AC560" s="27">
        <v>0</v>
      </c>
      <c r="AD560" s="27">
        <v>0</v>
      </c>
      <c r="AE560" s="27">
        <v>0</v>
      </c>
      <c r="AF560" s="27">
        <v>0</v>
      </c>
      <c r="AG560" s="27">
        <v>0</v>
      </c>
      <c r="AH560" s="27">
        <v>0</v>
      </c>
      <c r="AJ560">
        <f t="shared" si="8"/>
        <v>1</v>
      </c>
    </row>
    <row r="561" spans="1:36">
      <c r="A561" t="s">
        <v>4015</v>
      </c>
      <c r="B561" t="s">
        <v>4016</v>
      </c>
      <c r="C561" t="s">
        <v>4017</v>
      </c>
      <c r="D561" t="s">
        <v>4018</v>
      </c>
      <c r="E561">
        <v>2024</v>
      </c>
      <c r="F561" t="s">
        <v>4019</v>
      </c>
      <c r="G561">
        <v>32</v>
      </c>
      <c r="H561">
        <v>6</v>
      </c>
      <c r="J561">
        <v>6201</v>
      </c>
      <c r="K561">
        <v>6214</v>
      </c>
      <c r="L561">
        <v>13</v>
      </c>
      <c r="M561">
        <v>0</v>
      </c>
      <c r="N561" t="s">
        <v>4020</v>
      </c>
      <c r="O561" t="s">
        <v>4021</v>
      </c>
      <c r="P561" s="22" t="str">
        <f>HYPERLINK(O561)</f>
        <v>https://www.scopus.com/inward/record.uri?eid=2-s2.0-85192070495&amp;doi=10.1002%2fsd.2969&amp;partnerID=40&amp;md5=be5d9516111ac9e08d6072f20a32c3b5</v>
      </c>
      <c r="Q561" t="s">
        <v>156</v>
      </c>
      <c r="R561" t="s">
        <v>48</v>
      </c>
      <c r="T561" t="s">
        <v>6</v>
      </c>
      <c r="U561" t="s">
        <v>4022</v>
      </c>
      <c r="V561" s="36">
        <v>0</v>
      </c>
      <c r="W561" s="27">
        <v>1</v>
      </c>
      <c r="X561" s="27">
        <v>0</v>
      </c>
      <c r="Y561" s="27">
        <v>0</v>
      </c>
      <c r="Z561" s="27">
        <v>0</v>
      </c>
      <c r="AA561" s="27">
        <v>0</v>
      </c>
      <c r="AB561" s="27">
        <v>0</v>
      </c>
      <c r="AC561" s="27">
        <v>0</v>
      </c>
      <c r="AD561" s="27">
        <v>0</v>
      </c>
      <c r="AE561" s="27">
        <v>0</v>
      </c>
      <c r="AF561" s="27">
        <v>0</v>
      </c>
      <c r="AG561" s="27">
        <v>0</v>
      </c>
      <c r="AH561" s="27">
        <v>0</v>
      </c>
      <c r="AJ561">
        <f t="shared" si="8"/>
        <v>1</v>
      </c>
    </row>
    <row r="562" spans="1:36">
      <c r="A562" t="s">
        <v>4023</v>
      </c>
      <c r="B562" t="s">
        <v>4024</v>
      </c>
      <c r="C562" t="s">
        <v>4025</v>
      </c>
      <c r="D562" t="s">
        <v>4026</v>
      </c>
      <c r="E562">
        <v>2019</v>
      </c>
      <c r="F562" t="s">
        <v>4027</v>
      </c>
      <c r="J562">
        <v>657</v>
      </c>
      <c r="K562">
        <v>669</v>
      </c>
      <c r="L562">
        <v>12</v>
      </c>
      <c r="M562">
        <v>5</v>
      </c>
      <c r="N562" t="s">
        <v>4028</v>
      </c>
      <c r="O562" t="s">
        <v>4029</v>
      </c>
      <c r="P562" s="22" t="str">
        <f>HYPERLINK(O562)</f>
        <v>https://www.scopus.com/inward/record.uri?eid=2-s2.0-85123309831&amp;doi=10.1007%2f978-981-13-7071-7_59&amp;partnerID=40&amp;md5=c7995cc7f07285e38724aa309c3ee686</v>
      </c>
      <c r="Q562" t="s">
        <v>216</v>
      </c>
      <c r="R562" t="s">
        <v>48</v>
      </c>
      <c r="T562" t="s">
        <v>6</v>
      </c>
      <c r="U562" t="s">
        <v>4030</v>
      </c>
      <c r="V562" s="36">
        <v>0</v>
      </c>
      <c r="W562" s="27">
        <v>0</v>
      </c>
      <c r="X562" s="27">
        <v>0</v>
      </c>
      <c r="Y562" s="27">
        <v>0</v>
      </c>
      <c r="Z562" s="27">
        <v>0</v>
      </c>
      <c r="AA562" s="27">
        <v>0</v>
      </c>
      <c r="AB562" s="27">
        <v>0</v>
      </c>
      <c r="AC562" s="27">
        <v>0</v>
      </c>
      <c r="AD562" s="27">
        <v>0</v>
      </c>
      <c r="AE562" s="27">
        <v>0</v>
      </c>
      <c r="AF562" s="27">
        <v>0</v>
      </c>
      <c r="AG562" s="27">
        <v>0</v>
      </c>
      <c r="AH562" s="27">
        <v>1</v>
      </c>
      <c r="AJ562">
        <f t="shared" si="8"/>
        <v>1</v>
      </c>
    </row>
    <row r="563" spans="1:36">
      <c r="A563" t="s">
        <v>4031</v>
      </c>
      <c r="B563" t="s">
        <v>4032</v>
      </c>
      <c r="C563" t="s">
        <v>4033</v>
      </c>
      <c r="D563" t="s">
        <v>4034</v>
      </c>
      <c r="E563">
        <v>2022</v>
      </c>
      <c r="F563" t="s">
        <v>4035</v>
      </c>
      <c r="J563">
        <v>165</v>
      </c>
      <c r="K563">
        <v>182</v>
      </c>
      <c r="L563">
        <v>17</v>
      </c>
      <c r="M563">
        <v>0</v>
      </c>
      <c r="N563" t="s">
        <v>4036</v>
      </c>
      <c r="O563" t="s">
        <v>4037</v>
      </c>
      <c r="P563" s="22" t="str">
        <f>HYPERLINK(O563)</f>
        <v>https://www.scopus.com/inward/record.uri?eid=2-s2.0-85159011551&amp;doi=10.1007%2f978-981-16-5461-9_10&amp;partnerID=40&amp;md5=1bf0e8e35ccb6e92765e23feb1c90951</v>
      </c>
      <c r="Q563" t="s">
        <v>216</v>
      </c>
      <c r="R563" t="s">
        <v>48</v>
      </c>
      <c r="S563" t="s">
        <v>164</v>
      </c>
      <c r="T563" t="s">
        <v>6</v>
      </c>
      <c r="U563" t="s">
        <v>4038</v>
      </c>
      <c r="V563" s="36">
        <v>0</v>
      </c>
      <c r="W563" s="27">
        <v>1</v>
      </c>
      <c r="X563" s="27">
        <v>0</v>
      </c>
      <c r="Y563" s="27">
        <v>0</v>
      </c>
      <c r="Z563" s="27">
        <v>0</v>
      </c>
      <c r="AA563" s="27">
        <v>0</v>
      </c>
      <c r="AB563" s="27">
        <v>0</v>
      </c>
      <c r="AC563" s="27">
        <v>0</v>
      </c>
      <c r="AD563" s="27">
        <v>0</v>
      </c>
      <c r="AE563" s="27">
        <v>0</v>
      </c>
      <c r="AF563" s="27">
        <v>0</v>
      </c>
      <c r="AG563" s="27">
        <v>0</v>
      </c>
      <c r="AH563" s="27">
        <v>0</v>
      </c>
      <c r="AJ563">
        <f t="shared" si="8"/>
        <v>1</v>
      </c>
    </row>
    <row r="564" spans="1:36">
      <c r="A564" t="s">
        <v>4039</v>
      </c>
      <c r="B564" t="s">
        <v>4040</v>
      </c>
      <c r="C564" t="s">
        <v>4041</v>
      </c>
      <c r="D564" t="s">
        <v>4042</v>
      </c>
      <c r="E564">
        <v>2023</v>
      </c>
      <c r="F564" t="s">
        <v>4043</v>
      </c>
      <c r="G564">
        <v>63</v>
      </c>
      <c r="H564">
        <v>5</v>
      </c>
      <c r="J564">
        <v>537</v>
      </c>
      <c r="K564">
        <v>556</v>
      </c>
      <c r="L564">
        <v>19</v>
      </c>
      <c r="M564">
        <v>0</v>
      </c>
      <c r="N564" t="s">
        <v>4044</v>
      </c>
      <c r="O564" t="s">
        <v>4045</v>
      </c>
      <c r="P564" s="22" t="str">
        <f>HYPERLINK(O564)</f>
        <v>https://www.scopus.com/inward/record.uri?eid=2-s2.0-85173651643&amp;doi=10.15196%2fTS630501&amp;partnerID=40&amp;md5=d2ff4cbb73746506699ffc30fc17970b</v>
      </c>
      <c r="Q564" t="s">
        <v>156</v>
      </c>
      <c r="R564" t="s">
        <v>48</v>
      </c>
      <c r="S564" t="s">
        <v>225</v>
      </c>
      <c r="T564" t="s">
        <v>6</v>
      </c>
      <c r="U564" t="s">
        <v>4046</v>
      </c>
      <c r="V564" s="36">
        <v>0</v>
      </c>
      <c r="W564" s="27">
        <v>0</v>
      </c>
      <c r="X564" s="27">
        <v>0</v>
      </c>
      <c r="Y564" s="27">
        <v>0</v>
      </c>
      <c r="Z564" s="27">
        <v>0</v>
      </c>
      <c r="AA564" s="27">
        <v>0</v>
      </c>
      <c r="AB564" s="27">
        <v>0</v>
      </c>
      <c r="AC564" s="27">
        <v>0</v>
      </c>
      <c r="AD564" s="27">
        <v>0</v>
      </c>
      <c r="AE564" s="27">
        <v>0</v>
      </c>
      <c r="AF564" s="27">
        <v>0</v>
      </c>
      <c r="AG564" s="27">
        <v>0</v>
      </c>
      <c r="AH564" s="27">
        <v>1</v>
      </c>
      <c r="AJ564">
        <f t="shared" si="8"/>
        <v>1</v>
      </c>
    </row>
    <row r="565" spans="1:36">
      <c r="A565" t="s">
        <v>4047</v>
      </c>
      <c r="B565" t="s">
        <v>4048</v>
      </c>
      <c r="C565" t="s">
        <v>4049</v>
      </c>
      <c r="D565" t="s">
        <v>4050</v>
      </c>
      <c r="E565">
        <v>2014</v>
      </c>
      <c r="F565" t="s">
        <v>4051</v>
      </c>
      <c r="J565">
        <v>239</v>
      </c>
      <c r="K565">
        <v>245</v>
      </c>
      <c r="L565">
        <v>6</v>
      </c>
      <c r="M565">
        <v>2</v>
      </c>
      <c r="N565" t="s">
        <v>4052</v>
      </c>
      <c r="O565" t="s">
        <v>4053</v>
      </c>
      <c r="P565" s="22" t="str">
        <f>HYPERLINK(O565)</f>
        <v>https://www.scopus.com/inward/record.uri?eid=2-s2.0-85128503279&amp;doi=10.1201%2fb17570-28&amp;partnerID=40&amp;md5=d863fa4a644fd804a6e88661678a710a</v>
      </c>
      <c r="Q565" t="s">
        <v>216</v>
      </c>
      <c r="R565" t="s">
        <v>48</v>
      </c>
      <c r="T565" t="s">
        <v>6</v>
      </c>
      <c r="U565" t="s">
        <v>4054</v>
      </c>
      <c r="V565" s="36">
        <v>0</v>
      </c>
      <c r="W565" s="27">
        <v>0</v>
      </c>
      <c r="X565" s="27">
        <v>0</v>
      </c>
      <c r="Y565" s="27">
        <v>0</v>
      </c>
      <c r="Z565" s="27">
        <v>0</v>
      </c>
      <c r="AA565" s="27">
        <v>0</v>
      </c>
      <c r="AB565" s="27">
        <v>0</v>
      </c>
      <c r="AC565" s="27">
        <v>0</v>
      </c>
      <c r="AD565" s="27">
        <v>0</v>
      </c>
      <c r="AE565" s="27">
        <v>0</v>
      </c>
      <c r="AF565" s="27">
        <v>0</v>
      </c>
      <c r="AG565" s="27">
        <v>0</v>
      </c>
      <c r="AH565" s="27">
        <v>1</v>
      </c>
      <c r="AJ565">
        <f t="shared" si="8"/>
        <v>1</v>
      </c>
    </row>
    <row r="566" spans="1:36">
      <c r="A566" t="s">
        <v>4047</v>
      </c>
      <c r="B566" t="s">
        <v>4048</v>
      </c>
      <c r="C566" t="s">
        <v>4049</v>
      </c>
      <c r="D566" t="s">
        <v>4050</v>
      </c>
      <c r="E566">
        <v>2014</v>
      </c>
      <c r="F566" t="s">
        <v>4055</v>
      </c>
      <c r="J566">
        <v>239</v>
      </c>
      <c r="K566">
        <v>245</v>
      </c>
      <c r="L566">
        <v>6</v>
      </c>
      <c r="M566">
        <v>7</v>
      </c>
      <c r="N566" t="s">
        <v>4056</v>
      </c>
      <c r="O566" t="s">
        <v>4057</v>
      </c>
      <c r="P566" s="22" t="str">
        <f>HYPERLINK(O566)</f>
        <v>https://www.scopus.com/inward/record.uri?eid=2-s2.0-84958768501&amp;doi=10.1201%2fb17570-29&amp;partnerID=40&amp;md5=4ce5bbac95e7f09879e87495c633ca1f</v>
      </c>
      <c r="Q566" t="s">
        <v>62</v>
      </c>
      <c r="R566" t="s">
        <v>48</v>
      </c>
      <c r="T566" t="s">
        <v>6</v>
      </c>
      <c r="U566" t="s">
        <v>4058</v>
      </c>
      <c r="V566" s="36">
        <v>0</v>
      </c>
      <c r="W566" s="27">
        <v>0</v>
      </c>
      <c r="X566" s="27">
        <v>0</v>
      </c>
      <c r="Y566" s="27">
        <v>0</v>
      </c>
      <c r="Z566" s="27">
        <v>0</v>
      </c>
      <c r="AA566" s="27">
        <v>0</v>
      </c>
      <c r="AB566" s="27">
        <v>0</v>
      </c>
      <c r="AC566" s="27">
        <v>0</v>
      </c>
      <c r="AD566" s="27">
        <v>0</v>
      </c>
      <c r="AE566" s="27">
        <v>0</v>
      </c>
      <c r="AF566" s="27">
        <v>0</v>
      </c>
      <c r="AG566" s="27">
        <v>0</v>
      </c>
      <c r="AH566" s="27">
        <v>1</v>
      </c>
      <c r="AJ566">
        <f t="shared" si="8"/>
        <v>1</v>
      </c>
    </row>
    <row r="567" spans="1:36">
      <c r="A567" t="s">
        <v>4059</v>
      </c>
      <c r="B567" t="s">
        <v>4060</v>
      </c>
      <c r="C567" t="s">
        <v>4061</v>
      </c>
      <c r="D567" t="s">
        <v>4062</v>
      </c>
      <c r="E567">
        <v>2024</v>
      </c>
      <c r="F567" t="s">
        <v>4063</v>
      </c>
      <c r="G567">
        <v>32</v>
      </c>
      <c r="H567">
        <v>12</v>
      </c>
      <c r="J567">
        <v>535</v>
      </c>
      <c r="K567">
        <v>541</v>
      </c>
      <c r="L567">
        <v>6</v>
      </c>
      <c r="M567">
        <v>2</v>
      </c>
      <c r="N567" t="s">
        <v>4064</v>
      </c>
      <c r="O567" t="s">
        <v>4065</v>
      </c>
      <c r="P567" s="22" t="str">
        <f>HYPERLINK(O567)</f>
        <v>https://www.scopus.com/inward/record.uri?eid=2-s2.0-85195228781&amp;doi=10.5435%2fJAAOS-D-23-00954&amp;partnerID=40&amp;md5=7fa29a94145e0d24864814ef18671a61</v>
      </c>
      <c r="Q567" t="s">
        <v>184</v>
      </c>
      <c r="R567" t="s">
        <v>48</v>
      </c>
      <c r="T567" t="s">
        <v>6</v>
      </c>
      <c r="U567" t="s">
        <v>4066</v>
      </c>
      <c r="V567" s="36">
        <v>0</v>
      </c>
      <c r="W567" s="27">
        <v>1</v>
      </c>
      <c r="X567" s="27">
        <v>0</v>
      </c>
      <c r="Y567" s="27">
        <v>0</v>
      </c>
      <c r="Z567" s="27">
        <v>0</v>
      </c>
      <c r="AA567" s="27">
        <v>0</v>
      </c>
      <c r="AB567" s="27">
        <v>0</v>
      </c>
      <c r="AC567" s="27">
        <v>0</v>
      </c>
      <c r="AD567" s="27">
        <v>0</v>
      </c>
      <c r="AE567" s="27">
        <v>0</v>
      </c>
      <c r="AF567" s="27">
        <v>0</v>
      </c>
      <c r="AG567" s="27">
        <v>0</v>
      </c>
      <c r="AH567" s="27">
        <v>0</v>
      </c>
      <c r="AJ567">
        <f t="shared" si="8"/>
        <v>1</v>
      </c>
    </row>
    <row r="568" spans="1:36">
      <c r="A568" t="s">
        <v>4067</v>
      </c>
      <c r="B568" t="s">
        <v>4068</v>
      </c>
      <c r="C568">
        <v>56830061000</v>
      </c>
      <c r="D568" t="s">
        <v>4069</v>
      </c>
      <c r="E568">
        <v>2013</v>
      </c>
      <c r="F568" t="s">
        <v>4070</v>
      </c>
      <c r="J568">
        <v>383</v>
      </c>
      <c r="K568">
        <v>388</v>
      </c>
      <c r="L568">
        <v>5</v>
      </c>
      <c r="M568">
        <v>6</v>
      </c>
      <c r="N568" t="s">
        <v>4071</v>
      </c>
      <c r="O568" t="s">
        <v>4072</v>
      </c>
      <c r="P568" s="22" t="str">
        <f>HYPERLINK(O568)</f>
        <v>https://www.scopus.com/inward/record.uri?eid=2-s2.0-85063544088&amp;doi=10.4324%2f9780203120958&amp;partnerID=40&amp;md5=6b4b07972671ec10506d405c2acdfb24</v>
      </c>
      <c r="Q568" t="s">
        <v>216</v>
      </c>
      <c r="R568" t="s">
        <v>48</v>
      </c>
      <c r="T568" t="s">
        <v>6</v>
      </c>
      <c r="U568" t="s">
        <v>4073</v>
      </c>
      <c r="V568" s="36">
        <v>0</v>
      </c>
      <c r="W568" s="27">
        <v>1</v>
      </c>
      <c r="X568" s="27">
        <v>0</v>
      </c>
      <c r="Y568" s="27">
        <v>0</v>
      </c>
      <c r="Z568" s="27">
        <v>0</v>
      </c>
      <c r="AA568" s="27">
        <v>0</v>
      </c>
      <c r="AB568" s="27">
        <v>0</v>
      </c>
      <c r="AC568" s="27">
        <v>0</v>
      </c>
      <c r="AD568" s="27">
        <v>0</v>
      </c>
      <c r="AE568" s="27">
        <v>0</v>
      </c>
      <c r="AF568" s="27">
        <v>0</v>
      </c>
      <c r="AG568" s="27">
        <v>0</v>
      </c>
      <c r="AH568" s="27">
        <v>0</v>
      </c>
      <c r="AJ568">
        <f t="shared" si="8"/>
        <v>1</v>
      </c>
    </row>
    <row r="569" spans="1:36">
      <c r="A569" t="s">
        <v>4074</v>
      </c>
      <c r="B569" t="s">
        <v>4075</v>
      </c>
      <c r="C569" t="s">
        <v>4076</v>
      </c>
      <c r="D569" t="s">
        <v>4077</v>
      </c>
      <c r="E569">
        <v>2017</v>
      </c>
      <c r="F569" t="s">
        <v>4078</v>
      </c>
      <c r="G569">
        <v>65</v>
      </c>
      <c r="H569">
        <v>3</v>
      </c>
      <c r="J569">
        <v>346</v>
      </c>
      <c r="K569">
        <v>360</v>
      </c>
      <c r="L569">
        <v>14</v>
      </c>
      <c r="M569">
        <v>13</v>
      </c>
      <c r="O569" s="22" t="s">
        <v>4079</v>
      </c>
      <c r="P569" s="22" t="str">
        <f>HYPERLINK(O569)</f>
        <v>https://www.scopus.com/inward/record.uri?eid=2-s2.0-85034065604&amp;partnerID=40&amp;md5=8060f26b234aeb62d03cee7ff1824502</v>
      </c>
      <c r="Q569" t="s">
        <v>156</v>
      </c>
      <c r="R569" t="s">
        <v>48</v>
      </c>
      <c r="T569" t="s">
        <v>6</v>
      </c>
      <c r="U569" t="s">
        <v>4080</v>
      </c>
      <c r="V569" s="36">
        <v>1</v>
      </c>
      <c r="W569" s="27">
        <v>0</v>
      </c>
      <c r="X569" s="27">
        <v>0</v>
      </c>
      <c r="Y569" s="27">
        <v>0</v>
      </c>
      <c r="Z569" s="27">
        <v>0</v>
      </c>
      <c r="AA569" s="27">
        <v>0</v>
      </c>
      <c r="AB569" s="27">
        <v>0</v>
      </c>
      <c r="AC569" s="27">
        <v>0</v>
      </c>
      <c r="AD569" s="27">
        <v>0</v>
      </c>
      <c r="AE569" s="27">
        <v>0</v>
      </c>
      <c r="AF569" s="27">
        <v>0</v>
      </c>
      <c r="AG569" s="27">
        <v>0</v>
      </c>
      <c r="AH569" s="27">
        <v>0</v>
      </c>
      <c r="AJ569">
        <f t="shared" si="8"/>
        <v>1</v>
      </c>
    </row>
    <row r="570" spans="1:36">
      <c r="A570" t="s">
        <v>4081</v>
      </c>
      <c r="B570" t="s">
        <v>4082</v>
      </c>
      <c r="C570">
        <v>57202600547</v>
      </c>
      <c r="D570" t="s">
        <v>4083</v>
      </c>
      <c r="E570">
        <v>2023</v>
      </c>
      <c r="F570" t="s">
        <v>4078</v>
      </c>
      <c r="G570">
        <v>71</v>
      </c>
      <c r="H570">
        <v>4</v>
      </c>
      <c r="J570">
        <v>806</v>
      </c>
      <c r="K570">
        <v>816</v>
      </c>
      <c r="L570">
        <v>10</v>
      </c>
      <c r="M570">
        <v>1</v>
      </c>
      <c r="N570" t="s">
        <v>4084</v>
      </c>
      <c r="O570" t="s">
        <v>4085</v>
      </c>
      <c r="P570" s="22" t="str">
        <f>HYPERLINK(O570)</f>
        <v>https://www.scopus.com/inward/record.uri?eid=2-s2.0-85178306997&amp;doi=10.37741%2ft.71.4.11&amp;partnerID=40&amp;md5=f524ac3e00e4b4c5b04795bfb0e6b0ef</v>
      </c>
      <c r="Q570" t="s">
        <v>156</v>
      </c>
      <c r="R570" t="s">
        <v>48</v>
      </c>
      <c r="S570" t="s">
        <v>185</v>
      </c>
      <c r="T570" t="s">
        <v>6</v>
      </c>
      <c r="U570" t="s">
        <v>4086</v>
      </c>
      <c r="V570" s="36">
        <v>0</v>
      </c>
      <c r="W570" s="27">
        <v>0</v>
      </c>
      <c r="X570" s="27">
        <v>0</v>
      </c>
      <c r="Y570" s="27">
        <v>0</v>
      </c>
      <c r="Z570" s="27">
        <v>0</v>
      </c>
      <c r="AA570" s="27">
        <v>0</v>
      </c>
      <c r="AB570" s="27">
        <v>0</v>
      </c>
      <c r="AC570" s="27">
        <v>0</v>
      </c>
      <c r="AD570" s="27">
        <v>0</v>
      </c>
      <c r="AE570" s="27">
        <v>0</v>
      </c>
      <c r="AF570" s="27">
        <v>0</v>
      </c>
      <c r="AG570" s="27">
        <v>0</v>
      </c>
      <c r="AH570" s="27">
        <v>1</v>
      </c>
      <c r="AJ570">
        <f t="shared" si="8"/>
        <v>1</v>
      </c>
    </row>
    <row r="571" spans="1:36">
      <c r="A571" t="s">
        <v>4087</v>
      </c>
      <c r="B571" t="s">
        <v>4088</v>
      </c>
      <c r="C571" t="s">
        <v>4089</v>
      </c>
      <c r="D571" t="s">
        <v>4090</v>
      </c>
      <c r="E571">
        <v>2018</v>
      </c>
      <c r="F571" t="s">
        <v>4091</v>
      </c>
      <c r="G571">
        <v>23</v>
      </c>
      <c r="H571">
        <v>3</v>
      </c>
      <c r="J571">
        <v>433</v>
      </c>
      <c r="K571">
        <v>437</v>
      </c>
      <c r="L571">
        <v>4</v>
      </c>
      <c r="M571">
        <v>3</v>
      </c>
      <c r="N571" t="s">
        <v>4092</v>
      </c>
      <c r="O571" t="s">
        <v>4093</v>
      </c>
      <c r="P571" s="22" t="str">
        <f>HYPERLINK(O571)</f>
        <v>https://www.scopus.com/inward/record.uri?eid=2-s2.0-85053272714&amp;doi=10.3727%2f108354218X15305419108047&amp;partnerID=40&amp;md5=7c9916e78c00bb05be62e107304f4896</v>
      </c>
      <c r="Q571" t="s">
        <v>425</v>
      </c>
      <c r="R571" t="s">
        <v>48</v>
      </c>
      <c r="T571" t="s">
        <v>6</v>
      </c>
      <c r="U571" t="s">
        <v>4094</v>
      </c>
      <c r="V571" s="36">
        <v>1</v>
      </c>
      <c r="W571" s="27">
        <v>0</v>
      </c>
      <c r="X571" s="27">
        <v>0</v>
      </c>
      <c r="Y571" s="27">
        <v>0</v>
      </c>
      <c r="Z571" s="27">
        <v>0</v>
      </c>
      <c r="AA571" s="27">
        <v>0</v>
      </c>
      <c r="AB571" s="27">
        <v>0</v>
      </c>
      <c r="AC571" s="27">
        <v>0</v>
      </c>
      <c r="AD571" s="27">
        <v>0</v>
      </c>
      <c r="AE571" s="27">
        <v>0</v>
      </c>
      <c r="AF571" s="27">
        <v>0</v>
      </c>
      <c r="AG571" s="27">
        <v>0</v>
      </c>
      <c r="AH571" s="27">
        <v>0</v>
      </c>
      <c r="AJ571">
        <f t="shared" si="8"/>
        <v>1</v>
      </c>
    </row>
    <row r="572" spans="1:36">
      <c r="A572" t="s">
        <v>4095</v>
      </c>
      <c r="B572" t="s">
        <v>4096</v>
      </c>
      <c r="C572" t="s">
        <v>4097</v>
      </c>
      <c r="D572" t="s">
        <v>4098</v>
      </c>
      <c r="E572">
        <v>2015</v>
      </c>
      <c r="F572" t="s">
        <v>4091</v>
      </c>
      <c r="G572">
        <v>20</v>
      </c>
      <c r="H572">
        <v>2</v>
      </c>
      <c r="J572">
        <v>229</v>
      </c>
      <c r="K572">
        <v>241</v>
      </c>
      <c r="L572">
        <v>12</v>
      </c>
      <c r="M572">
        <v>24</v>
      </c>
      <c r="N572" t="s">
        <v>4099</v>
      </c>
      <c r="O572" t="s">
        <v>4100</v>
      </c>
      <c r="P572" s="22" t="str">
        <f>HYPERLINK(O572)</f>
        <v>https://www.scopus.com/inward/record.uri?eid=2-s2.0-84938677475&amp;doi=10.3727%2f108354215X14265319207551&amp;partnerID=40&amp;md5=0f31ecf005d9f8ea8e0e640b2b71e3ab</v>
      </c>
      <c r="Q572" t="s">
        <v>156</v>
      </c>
      <c r="R572" t="s">
        <v>48</v>
      </c>
      <c r="T572" t="s">
        <v>6</v>
      </c>
      <c r="U572" t="s">
        <v>4101</v>
      </c>
      <c r="V572" s="36">
        <v>0</v>
      </c>
      <c r="W572" s="27">
        <v>0</v>
      </c>
      <c r="X572" s="27">
        <v>0</v>
      </c>
      <c r="Y572" s="27">
        <v>0</v>
      </c>
      <c r="Z572" s="27">
        <v>0</v>
      </c>
      <c r="AA572" s="27">
        <v>0</v>
      </c>
      <c r="AB572" s="27">
        <v>0</v>
      </c>
      <c r="AC572" s="27">
        <v>0</v>
      </c>
      <c r="AD572" s="27">
        <v>0</v>
      </c>
      <c r="AE572" s="27">
        <v>0</v>
      </c>
      <c r="AF572" s="27">
        <v>1</v>
      </c>
      <c r="AG572" s="27">
        <v>0</v>
      </c>
      <c r="AH572" s="27">
        <v>0</v>
      </c>
      <c r="AJ572">
        <f t="shared" si="8"/>
        <v>1</v>
      </c>
    </row>
    <row r="573" spans="1:36">
      <c r="A573" t="s">
        <v>4102</v>
      </c>
      <c r="B573" t="s">
        <v>4103</v>
      </c>
      <c r="C573" t="s">
        <v>4104</v>
      </c>
      <c r="D573" t="s">
        <v>4105</v>
      </c>
      <c r="E573">
        <v>2024</v>
      </c>
      <c r="F573" t="s">
        <v>4106</v>
      </c>
      <c r="G573">
        <v>5</v>
      </c>
      <c r="H573">
        <v>1</v>
      </c>
      <c r="J573">
        <v>60</v>
      </c>
      <c r="K573">
        <v>79</v>
      </c>
      <c r="L573">
        <v>19</v>
      </c>
      <c r="M573">
        <v>3</v>
      </c>
      <c r="N573" t="s">
        <v>4107</v>
      </c>
      <c r="O573" t="s">
        <v>4108</v>
      </c>
      <c r="P573" s="22" t="str">
        <f>HYPERLINK(O573)</f>
        <v>https://www.scopus.com/inward/record.uri?eid=2-s2.0-85188910445&amp;doi=10.3390%2ftourhosp5010005&amp;partnerID=40&amp;md5=89cdb338823929129d45a2e4324b7ba0</v>
      </c>
      <c r="Q573" t="s">
        <v>156</v>
      </c>
      <c r="R573" t="s">
        <v>48</v>
      </c>
      <c r="S573" t="s">
        <v>185</v>
      </c>
      <c r="T573" t="s">
        <v>6</v>
      </c>
      <c r="U573" t="s">
        <v>4109</v>
      </c>
      <c r="V573" s="36">
        <v>0</v>
      </c>
      <c r="W573" s="27">
        <v>1</v>
      </c>
      <c r="X573" s="27">
        <v>0</v>
      </c>
      <c r="Y573" s="27">
        <v>0</v>
      </c>
      <c r="Z573" s="27">
        <v>0</v>
      </c>
      <c r="AA573" s="27">
        <v>0</v>
      </c>
      <c r="AB573" s="27">
        <v>0</v>
      </c>
      <c r="AC573" s="27">
        <v>0</v>
      </c>
      <c r="AD573" s="27">
        <v>0</v>
      </c>
      <c r="AE573" s="27">
        <v>0</v>
      </c>
      <c r="AF573" s="27">
        <v>0</v>
      </c>
      <c r="AG573" s="27">
        <v>0</v>
      </c>
      <c r="AH573" s="27">
        <v>0</v>
      </c>
      <c r="AJ573">
        <f t="shared" si="8"/>
        <v>1</v>
      </c>
    </row>
    <row r="574" spans="1:36">
      <c r="A574" t="s">
        <v>4110</v>
      </c>
      <c r="B574" t="s">
        <v>4111</v>
      </c>
      <c r="C574">
        <v>57194468973</v>
      </c>
      <c r="D574" t="s">
        <v>4112</v>
      </c>
      <c r="E574">
        <v>2020</v>
      </c>
      <c r="F574" t="s">
        <v>4113</v>
      </c>
      <c r="G574">
        <v>20</v>
      </c>
      <c r="H574">
        <v>1</v>
      </c>
      <c r="J574">
        <v>72</v>
      </c>
      <c r="K574">
        <v>81</v>
      </c>
      <c r="L574">
        <v>9</v>
      </c>
      <c r="M574">
        <v>24</v>
      </c>
      <c r="N574" t="s">
        <v>4114</v>
      </c>
      <c r="O574" t="s">
        <v>4115</v>
      </c>
      <c r="P574" s="22" t="str">
        <f>HYPERLINK(O574)</f>
        <v>https://www.scopus.com/inward/record.uri?eid=2-s2.0-85058628284&amp;doi=10.1177%2f1467358418800121&amp;partnerID=40&amp;md5=1e61760093b22423bc7fdaf6484f946a</v>
      </c>
      <c r="Q574" t="s">
        <v>156</v>
      </c>
      <c r="R574" t="s">
        <v>48</v>
      </c>
      <c r="T574" t="s">
        <v>6</v>
      </c>
      <c r="U574" t="s">
        <v>4116</v>
      </c>
      <c r="V574" s="36">
        <v>0</v>
      </c>
      <c r="W574" s="27">
        <v>1</v>
      </c>
      <c r="X574" s="27">
        <v>0</v>
      </c>
      <c r="Y574" s="27">
        <v>0</v>
      </c>
      <c r="Z574" s="27">
        <v>0</v>
      </c>
      <c r="AA574" s="27">
        <v>0</v>
      </c>
      <c r="AB574" s="27">
        <v>0</v>
      </c>
      <c r="AC574" s="27">
        <v>0</v>
      </c>
      <c r="AD574" s="27">
        <v>0</v>
      </c>
      <c r="AE574" s="27">
        <v>0</v>
      </c>
      <c r="AF574" s="27">
        <v>0</v>
      </c>
      <c r="AG574" s="27">
        <v>0</v>
      </c>
      <c r="AH574" s="27">
        <v>0</v>
      </c>
      <c r="AJ574">
        <f t="shared" si="8"/>
        <v>1</v>
      </c>
    </row>
    <row r="575" spans="1:36">
      <c r="A575" t="s">
        <v>4117</v>
      </c>
      <c r="B575" t="s">
        <v>4118</v>
      </c>
      <c r="C575" t="s">
        <v>4119</v>
      </c>
      <c r="D575" t="s">
        <v>4120</v>
      </c>
      <c r="E575">
        <v>2020</v>
      </c>
      <c r="F575" t="s">
        <v>4121</v>
      </c>
      <c r="G575">
        <v>26</v>
      </c>
      <c r="H575">
        <v>1</v>
      </c>
      <c r="J575">
        <v>97</v>
      </c>
      <c r="K575">
        <v>114</v>
      </c>
      <c r="L575">
        <v>17</v>
      </c>
      <c r="M575">
        <v>127</v>
      </c>
      <c r="N575" t="s">
        <v>4122</v>
      </c>
      <c r="O575" t="s">
        <v>4123</v>
      </c>
      <c r="P575" s="22" t="str">
        <f>HYPERLINK(O575)</f>
        <v>https://www.scopus.com/inward/record.uri?eid=2-s2.0-85061981100&amp;doi=10.1177%2f1354816619827712&amp;partnerID=40&amp;md5=022768895d8e834e0de5e25c9e0b6de3</v>
      </c>
      <c r="Q575" t="s">
        <v>156</v>
      </c>
      <c r="R575" t="s">
        <v>48</v>
      </c>
      <c r="T575" t="s">
        <v>6</v>
      </c>
      <c r="U575" t="s">
        <v>4124</v>
      </c>
      <c r="V575" s="36">
        <v>0</v>
      </c>
      <c r="W575" s="27">
        <v>0</v>
      </c>
      <c r="X575" s="27">
        <v>0</v>
      </c>
      <c r="Y575" s="27">
        <v>0</v>
      </c>
      <c r="Z575" s="27">
        <v>0</v>
      </c>
      <c r="AA575" s="27">
        <v>0</v>
      </c>
      <c r="AB575" s="27">
        <v>0</v>
      </c>
      <c r="AC575" s="27">
        <v>0</v>
      </c>
      <c r="AD575" s="27">
        <v>0</v>
      </c>
      <c r="AE575" s="27">
        <v>0</v>
      </c>
      <c r="AF575" s="27">
        <v>0</v>
      </c>
      <c r="AG575" s="27">
        <v>1</v>
      </c>
      <c r="AH575" s="27">
        <v>0</v>
      </c>
      <c r="AJ575">
        <f t="shared" si="8"/>
        <v>1</v>
      </c>
    </row>
    <row r="576" spans="1:36">
      <c r="A576" t="s">
        <v>4125</v>
      </c>
      <c r="B576" t="s">
        <v>4126</v>
      </c>
      <c r="C576" t="s">
        <v>4127</v>
      </c>
      <c r="D576" t="s">
        <v>4128</v>
      </c>
      <c r="E576">
        <v>2024</v>
      </c>
      <c r="F576" t="s">
        <v>4121</v>
      </c>
      <c r="G576">
        <v>30</v>
      </c>
      <c r="H576">
        <v>1</v>
      </c>
      <c r="J576">
        <v>27</v>
      </c>
      <c r="K576">
        <v>43</v>
      </c>
      <c r="L576">
        <v>16</v>
      </c>
      <c r="M576">
        <v>3</v>
      </c>
      <c r="N576" t="s">
        <v>4129</v>
      </c>
      <c r="O576" t="s">
        <v>4130</v>
      </c>
      <c r="P576" s="22" t="str">
        <f>HYPERLINK(O576)</f>
        <v>https://www.scopus.com/inward/record.uri?eid=2-s2.0-85139775430&amp;doi=10.1177%2f13548166221132452&amp;partnerID=40&amp;md5=bd0c5f52480ad5a880b6e23f55a12a95</v>
      </c>
      <c r="Q576" t="s">
        <v>156</v>
      </c>
      <c r="R576" t="s">
        <v>48</v>
      </c>
      <c r="T576" t="s">
        <v>6</v>
      </c>
      <c r="U576" t="s">
        <v>4131</v>
      </c>
      <c r="V576" s="36">
        <v>1</v>
      </c>
      <c r="W576" s="27">
        <v>0</v>
      </c>
      <c r="X576" s="27">
        <v>0</v>
      </c>
      <c r="Y576" s="27">
        <v>0</v>
      </c>
      <c r="Z576" s="27">
        <v>0</v>
      </c>
      <c r="AA576" s="27">
        <v>0</v>
      </c>
      <c r="AB576" s="27">
        <v>0</v>
      </c>
      <c r="AC576" s="27">
        <v>0</v>
      </c>
      <c r="AD576" s="27">
        <v>0</v>
      </c>
      <c r="AE576" s="27">
        <v>0</v>
      </c>
      <c r="AF576" s="27">
        <v>0</v>
      </c>
      <c r="AG576" s="27">
        <v>0</v>
      </c>
      <c r="AH576" s="27">
        <v>0</v>
      </c>
      <c r="AJ576">
        <f t="shared" si="8"/>
        <v>1</v>
      </c>
    </row>
    <row r="577" spans="1:36">
      <c r="A577" t="s">
        <v>3660</v>
      </c>
      <c r="B577" t="s">
        <v>3661</v>
      </c>
      <c r="C577" t="s">
        <v>3662</v>
      </c>
      <c r="D577" t="s">
        <v>4132</v>
      </c>
      <c r="E577">
        <v>2020</v>
      </c>
      <c r="F577" t="s">
        <v>4121</v>
      </c>
      <c r="G577">
        <v>26</v>
      </c>
      <c r="H577">
        <v>5</v>
      </c>
      <c r="J577">
        <v>792</v>
      </c>
      <c r="K577">
        <v>808</v>
      </c>
      <c r="L577">
        <v>16</v>
      </c>
      <c r="M577">
        <v>14</v>
      </c>
      <c r="N577" t="s">
        <v>4133</v>
      </c>
      <c r="O577" t="s">
        <v>4134</v>
      </c>
      <c r="P577" s="22" t="str">
        <f>HYPERLINK(O577)</f>
        <v>https://www.scopus.com/inward/record.uri?eid=2-s2.0-85067894840&amp;doi=10.1177%2f1354816619855233&amp;partnerID=40&amp;md5=f45e5264b9074c5c30c0bca0fd3c1a25</v>
      </c>
      <c r="Q577" t="s">
        <v>156</v>
      </c>
      <c r="R577" t="s">
        <v>48</v>
      </c>
      <c r="T577" t="s">
        <v>6</v>
      </c>
      <c r="U577" t="s">
        <v>4135</v>
      </c>
      <c r="V577" s="36">
        <v>1</v>
      </c>
      <c r="W577" s="27">
        <v>0</v>
      </c>
      <c r="X577" s="27">
        <v>0</v>
      </c>
      <c r="Y577" s="27">
        <v>0</v>
      </c>
      <c r="Z577" s="27">
        <v>0</v>
      </c>
      <c r="AA577" s="27">
        <v>0</v>
      </c>
      <c r="AB577" s="27">
        <v>0</v>
      </c>
      <c r="AC577" s="27">
        <v>0</v>
      </c>
      <c r="AD577" s="27">
        <v>0</v>
      </c>
      <c r="AE577" s="27">
        <v>0</v>
      </c>
      <c r="AF577" s="27">
        <v>0</v>
      </c>
      <c r="AG577" s="27">
        <v>0</v>
      </c>
      <c r="AH577" s="27">
        <v>0</v>
      </c>
      <c r="AJ577">
        <f t="shared" si="8"/>
        <v>1</v>
      </c>
    </row>
    <row r="578" spans="1:36">
      <c r="A578" t="s">
        <v>4136</v>
      </c>
      <c r="B578" t="s">
        <v>4137</v>
      </c>
      <c r="C578" t="s">
        <v>4138</v>
      </c>
      <c r="D578" t="s">
        <v>4139</v>
      </c>
      <c r="E578">
        <v>2010</v>
      </c>
      <c r="F578" t="s">
        <v>4121</v>
      </c>
      <c r="G578">
        <v>16</v>
      </c>
      <c r="H578">
        <v>3</v>
      </c>
      <c r="J578">
        <v>585</v>
      </c>
      <c r="K578">
        <v>595</v>
      </c>
      <c r="L578">
        <v>10</v>
      </c>
      <c r="M578">
        <v>58</v>
      </c>
      <c r="N578" t="s">
        <v>4140</v>
      </c>
      <c r="O578" t="s">
        <v>4141</v>
      </c>
      <c r="P578" s="22" t="str">
        <f>HYPERLINK(O578)</f>
        <v>https://www.scopus.com/inward/record.uri?eid=2-s2.0-77956634451&amp;doi=10.5367%2f000000010792278374&amp;partnerID=40&amp;md5=0049f37f5254433abff92c87089ec815</v>
      </c>
      <c r="Q578" t="s">
        <v>156</v>
      </c>
      <c r="R578" t="s">
        <v>48</v>
      </c>
      <c r="T578" t="s">
        <v>6</v>
      </c>
      <c r="U578" t="s">
        <v>4142</v>
      </c>
      <c r="V578" s="36">
        <v>1</v>
      </c>
      <c r="W578" s="27">
        <v>0</v>
      </c>
      <c r="X578" s="27">
        <v>0</v>
      </c>
      <c r="Y578" s="27">
        <v>0</v>
      </c>
      <c r="Z578" s="27">
        <v>0</v>
      </c>
      <c r="AA578" s="27">
        <v>0</v>
      </c>
      <c r="AB578" s="27">
        <v>0</v>
      </c>
      <c r="AC578" s="27">
        <v>0</v>
      </c>
      <c r="AD578" s="27">
        <v>0</v>
      </c>
      <c r="AE578" s="27">
        <v>0</v>
      </c>
      <c r="AF578" s="27">
        <v>0</v>
      </c>
      <c r="AG578" s="27">
        <v>0</v>
      </c>
      <c r="AH578" s="27">
        <v>0</v>
      </c>
      <c r="AJ578">
        <f t="shared" ref="AJ578:AJ641" si="9">SUM(V578:AH578)</f>
        <v>1</v>
      </c>
    </row>
    <row r="579" spans="1:36">
      <c r="A579" t="s">
        <v>2658</v>
      </c>
      <c r="B579" t="s">
        <v>4143</v>
      </c>
      <c r="C579" t="s">
        <v>2533</v>
      </c>
      <c r="D579" t="s">
        <v>4144</v>
      </c>
      <c r="E579">
        <v>2016</v>
      </c>
      <c r="F579" t="s">
        <v>4121</v>
      </c>
      <c r="G579">
        <v>22</v>
      </c>
      <c r="H579">
        <v>1</v>
      </c>
      <c r="J579">
        <v>163</v>
      </c>
      <c r="K579">
        <v>169</v>
      </c>
      <c r="L579">
        <v>6</v>
      </c>
      <c r="M579">
        <v>11</v>
      </c>
      <c r="N579" t="s">
        <v>4145</v>
      </c>
      <c r="O579" t="s">
        <v>4146</v>
      </c>
      <c r="P579" s="22" t="str">
        <f>HYPERLINK(O579)</f>
        <v>https://www.scopus.com/inward/record.uri?eid=2-s2.0-84960868115&amp;doi=10.5367%2fte.2014.0412&amp;partnerID=40&amp;md5=eb5f5e5f7e9fbc494a16785aa92928ad</v>
      </c>
      <c r="Q579" t="s">
        <v>156</v>
      </c>
      <c r="R579" t="s">
        <v>48</v>
      </c>
      <c r="T579" t="s">
        <v>6</v>
      </c>
      <c r="U579" t="s">
        <v>4147</v>
      </c>
      <c r="V579" s="36">
        <v>1</v>
      </c>
      <c r="W579" s="27">
        <v>0</v>
      </c>
      <c r="X579" s="27">
        <v>0</v>
      </c>
      <c r="Y579" s="27">
        <v>0</v>
      </c>
      <c r="Z579" s="27">
        <v>0</v>
      </c>
      <c r="AA579" s="27">
        <v>0</v>
      </c>
      <c r="AB579" s="27">
        <v>0</v>
      </c>
      <c r="AC579" s="27">
        <v>0</v>
      </c>
      <c r="AD579" s="27">
        <v>0</v>
      </c>
      <c r="AE579" s="27">
        <v>0</v>
      </c>
      <c r="AF579" s="27">
        <v>0</v>
      </c>
      <c r="AG579" s="27">
        <v>0</v>
      </c>
      <c r="AH579" s="27">
        <v>0</v>
      </c>
      <c r="AJ579">
        <f t="shared" si="9"/>
        <v>1</v>
      </c>
    </row>
    <row r="580" spans="1:36">
      <c r="A580" t="s">
        <v>4148</v>
      </c>
      <c r="B580" t="s">
        <v>4149</v>
      </c>
      <c r="C580" t="s">
        <v>4150</v>
      </c>
      <c r="D580" t="s">
        <v>4151</v>
      </c>
      <c r="E580">
        <v>2014</v>
      </c>
      <c r="F580" t="s">
        <v>4121</v>
      </c>
      <c r="G580">
        <v>20</v>
      </c>
      <c r="H580">
        <v>3</v>
      </c>
      <c r="J580">
        <v>451</v>
      </c>
      <c r="K580">
        <v>472</v>
      </c>
      <c r="L580">
        <v>21</v>
      </c>
      <c r="M580">
        <v>23</v>
      </c>
      <c r="N580" t="s">
        <v>4152</v>
      </c>
      <c r="O580" t="s">
        <v>4153</v>
      </c>
      <c r="P580" s="22" t="str">
        <f>HYPERLINK(O580)</f>
        <v>https://www.scopus.com/inward/record.uri?eid=2-s2.0-84902306499&amp;doi=10.5367%2fte.2013.0286&amp;partnerID=40&amp;md5=3359387ac4daef4a9ba9d4d70defa607</v>
      </c>
      <c r="Q580" t="s">
        <v>156</v>
      </c>
      <c r="R580" t="s">
        <v>48</v>
      </c>
      <c r="T580" t="s">
        <v>6</v>
      </c>
      <c r="U580" t="s">
        <v>4154</v>
      </c>
      <c r="V580" s="36">
        <v>0</v>
      </c>
      <c r="W580" s="27">
        <v>0</v>
      </c>
      <c r="X580" s="27">
        <v>0</v>
      </c>
      <c r="Y580" s="27">
        <v>0</v>
      </c>
      <c r="Z580" s="27">
        <v>1</v>
      </c>
      <c r="AA580" s="27">
        <v>0</v>
      </c>
      <c r="AB580" s="27">
        <v>0</v>
      </c>
      <c r="AC580" s="27">
        <v>0</v>
      </c>
      <c r="AD580" s="27">
        <v>0</v>
      </c>
      <c r="AE580" s="27">
        <v>0</v>
      </c>
      <c r="AF580" s="27">
        <v>0</v>
      </c>
      <c r="AG580" s="27">
        <v>0</v>
      </c>
      <c r="AH580" s="27">
        <v>0</v>
      </c>
      <c r="AJ580">
        <f t="shared" si="9"/>
        <v>1</v>
      </c>
    </row>
    <row r="581" spans="1:36">
      <c r="A581" t="s">
        <v>4155</v>
      </c>
      <c r="B581" t="s">
        <v>4156</v>
      </c>
      <c r="C581" t="s">
        <v>4157</v>
      </c>
      <c r="D581" t="s">
        <v>4158</v>
      </c>
      <c r="E581">
        <v>2017</v>
      </c>
      <c r="F581" t="s">
        <v>4121</v>
      </c>
      <c r="G581">
        <v>23</v>
      </c>
      <c r="H581">
        <v>8</v>
      </c>
      <c r="J581">
        <v>1679</v>
      </c>
      <c r="K581">
        <v>1686</v>
      </c>
      <c r="L581">
        <v>7</v>
      </c>
      <c r="M581">
        <v>12</v>
      </c>
      <c r="N581" t="s">
        <v>4159</v>
      </c>
      <c r="O581" t="s">
        <v>4160</v>
      </c>
      <c r="P581" s="22" t="str">
        <f>HYPERLINK(O581)</f>
        <v>https://www.scopus.com/inward/record.uri?eid=2-s2.0-85034598693&amp;doi=10.1177%2f1354816617692478&amp;partnerID=40&amp;md5=46d45a529806e3e56815db854885b6ca</v>
      </c>
      <c r="Q581" t="s">
        <v>156</v>
      </c>
      <c r="R581" t="s">
        <v>48</v>
      </c>
      <c r="S581" t="s">
        <v>164</v>
      </c>
      <c r="T581" t="s">
        <v>6</v>
      </c>
      <c r="U581" t="s">
        <v>4161</v>
      </c>
      <c r="V581" s="36">
        <v>1</v>
      </c>
      <c r="W581" s="27">
        <v>0</v>
      </c>
      <c r="X581" s="27">
        <v>0</v>
      </c>
      <c r="Y581" s="27">
        <v>0</v>
      </c>
      <c r="Z581" s="27">
        <v>0</v>
      </c>
      <c r="AA581" s="27">
        <v>0</v>
      </c>
      <c r="AB581" s="27">
        <v>0</v>
      </c>
      <c r="AC581" s="27">
        <v>0</v>
      </c>
      <c r="AD581" s="27">
        <v>0</v>
      </c>
      <c r="AE581" s="27">
        <v>0</v>
      </c>
      <c r="AF581" s="27">
        <v>0</v>
      </c>
      <c r="AG581" s="27">
        <v>0</v>
      </c>
      <c r="AH581" s="27">
        <v>0</v>
      </c>
      <c r="AJ581">
        <f t="shared" si="9"/>
        <v>1</v>
      </c>
    </row>
    <row r="582" spans="1:36">
      <c r="A582" t="s">
        <v>4162</v>
      </c>
      <c r="B582" t="s">
        <v>4163</v>
      </c>
      <c r="C582" t="s">
        <v>4164</v>
      </c>
      <c r="D582" t="s">
        <v>4165</v>
      </c>
      <c r="E582">
        <v>2023</v>
      </c>
      <c r="F582" t="s">
        <v>4121</v>
      </c>
      <c r="G582">
        <v>29</v>
      </c>
      <c r="H582">
        <v>6</v>
      </c>
      <c r="J582">
        <v>1643</v>
      </c>
      <c r="K582">
        <v>1661</v>
      </c>
      <c r="L582">
        <v>18</v>
      </c>
      <c r="M582">
        <v>12</v>
      </c>
      <c r="N582" t="s">
        <v>4166</v>
      </c>
      <c r="O582" t="s">
        <v>4167</v>
      </c>
      <c r="P582" s="22" t="str">
        <f>HYPERLINK(O582)</f>
        <v>https://www.scopus.com/inward/record.uri?eid=2-s2.0-85135002414&amp;doi=10.1177%2f13548166221116704&amp;partnerID=40&amp;md5=23a2a42d2f8bcc76a9bc9fdf4151a116</v>
      </c>
      <c r="Q582" t="s">
        <v>156</v>
      </c>
      <c r="R582" t="s">
        <v>48</v>
      </c>
      <c r="S582" t="s">
        <v>172</v>
      </c>
      <c r="T582" t="s">
        <v>6</v>
      </c>
      <c r="U582" t="s">
        <v>4168</v>
      </c>
      <c r="V582" s="36">
        <v>1</v>
      </c>
      <c r="W582" s="27">
        <v>0</v>
      </c>
      <c r="X582" s="27">
        <v>0</v>
      </c>
      <c r="Y582" s="27">
        <v>0</v>
      </c>
      <c r="Z582" s="27">
        <v>0</v>
      </c>
      <c r="AA582" s="27">
        <v>0</v>
      </c>
      <c r="AB582" s="27">
        <v>0</v>
      </c>
      <c r="AC582" s="27">
        <v>0</v>
      </c>
      <c r="AD582" s="27">
        <v>0</v>
      </c>
      <c r="AE582" s="27">
        <v>0</v>
      </c>
      <c r="AF582" s="27">
        <v>0</v>
      </c>
      <c r="AG582" s="27">
        <v>0</v>
      </c>
      <c r="AH582" s="27">
        <v>0</v>
      </c>
      <c r="AJ582">
        <f t="shared" si="9"/>
        <v>1</v>
      </c>
    </row>
    <row r="583" spans="1:36">
      <c r="A583" t="s">
        <v>919</v>
      </c>
      <c r="B583" t="s">
        <v>920</v>
      </c>
      <c r="C583" t="s">
        <v>921</v>
      </c>
      <c r="D583" t="s">
        <v>4169</v>
      </c>
      <c r="E583">
        <v>2020</v>
      </c>
      <c r="F583" t="s">
        <v>4121</v>
      </c>
      <c r="G583">
        <v>26</v>
      </c>
      <c r="H583">
        <v>3</v>
      </c>
      <c r="J583">
        <v>500</v>
      </c>
      <c r="K583">
        <v>518</v>
      </c>
      <c r="L583">
        <v>18</v>
      </c>
      <c r="M583">
        <v>19</v>
      </c>
      <c r="N583" t="s">
        <v>4170</v>
      </c>
      <c r="O583" t="s">
        <v>4171</v>
      </c>
      <c r="P583" s="22" t="str">
        <f>HYPERLINK(O583)</f>
        <v>https://www.scopus.com/inward/record.uri?eid=2-s2.0-85064813936&amp;doi=10.1177%2f1354816619843452&amp;partnerID=40&amp;md5=6e3fdaab3c54af28833020df7303e4a5</v>
      </c>
      <c r="Q583" t="s">
        <v>156</v>
      </c>
      <c r="R583" t="s">
        <v>48</v>
      </c>
      <c r="T583" t="s">
        <v>6</v>
      </c>
      <c r="U583" t="s">
        <v>4172</v>
      </c>
      <c r="V583" s="36">
        <v>1</v>
      </c>
      <c r="W583" s="27">
        <v>0</v>
      </c>
      <c r="X583" s="27">
        <v>0</v>
      </c>
      <c r="Y583" s="27">
        <v>0</v>
      </c>
      <c r="Z583" s="27">
        <v>0</v>
      </c>
      <c r="AA583" s="27">
        <v>0</v>
      </c>
      <c r="AB583" s="27">
        <v>0</v>
      </c>
      <c r="AC583" s="27">
        <v>0</v>
      </c>
      <c r="AD583" s="27">
        <v>0</v>
      </c>
      <c r="AE583" s="27">
        <v>0</v>
      </c>
      <c r="AF583" s="27">
        <v>0</v>
      </c>
      <c r="AG583" s="27">
        <v>0</v>
      </c>
      <c r="AH583" s="27">
        <v>0</v>
      </c>
      <c r="AJ583">
        <f t="shared" si="9"/>
        <v>1</v>
      </c>
    </row>
    <row r="584" spans="1:36">
      <c r="A584" t="s">
        <v>4173</v>
      </c>
      <c r="B584" t="s">
        <v>4174</v>
      </c>
      <c r="C584" t="s">
        <v>4175</v>
      </c>
      <c r="D584" t="s">
        <v>4176</v>
      </c>
      <c r="E584">
        <v>2020</v>
      </c>
      <c r="F584" t="s">
        <v>4121</v>
      </c>
      <c r="G584">
        <v>26</v>
      </c>
      <c r="H584">
        <v>2</v>
      </c>
      <c r="J584">
        <v>299</v>
      </c>
      <c r="K584">
        <v>323</v>
      </c>
      <c r="L584">
        <v>24</v>
      </c>
      <c r="M584">
        <v>29</v>
      </c>
      <c r="N584" t="s">
        <v>4177</v>
      </c>
      <c r="O584" t="s">
        <v>4178</v>
      </c>
      <c r="P584" s="22" t="str">
        <f>HYPERLINK(O584)</f>
        <v>https://www.scopus.com/inward/record.uri?eid=2-s2.0-85071503669&amp;doi=10.1177%2f1354816619867577&amp;partnerID=40&amp;md5=2f1662c760e1462d87473de75176bbc7</v>
      </c>
      <c r="Q584" t="s">
        <v>156</v>
      </c>
      <c r="R584" t="s">
        <v>48</v>
      </c>
      <c r="T584" t="s">
        <v>6</v>
      </c>
      <c r="U584" t="s">
        <v>4179</v>
      </c>
      <c r="V584" s="36">
        <v>0</v>
      </c>
      <c r="W584" s="27">
        <v>0</v>
      </c>
      <c r="X584" s="27">
        <v>0</v>
      </c>
      <c r="Y584" s="27">
        <v>0</v>
      </c>
      <c r="Z584" s="27">
        <v>0</v>
      </c>
      <c r="AA584" s="27">
        <v>0</v>
      </c>
      <c r="AB584" s="27">
        <v>1</v>
      </c>
      <c r="AC584" s="27">
        <v>0</v>
      </c>
      <c r="AD584" s="27">
        <v>0</v>
      </c>
      <c r="AE584" s="27">
        <v>0</v>
      </c>
      <c r="AF584" s="27">
        <v>0</v>
      </c>
      <c r="AG584" s="27">
        <v>0</v>
      </c>
      <c r="AH584" s="27">
        <v>0</v>
      </c>
      <c r="AJ584">
        <f t="shared" si="9"/>
        <v>1</v>
      </c>
    </row>
    <row r="585" spans="1:36">
      <c r="A585" t="s">
        <v>4180</v>
      </c>
      <c r="B585" t="s">
        <v>4181</v>
      </c>
      <c r="C585" t="s">
        <v>1154</v>
      </c>
      <c r="D585" t="s">
        <v>4182</v>
      </c>
      <c r="E585">
        <v>2022</v>
      </c>
      <c r="F585" t="s">
        <v>4121</v>
      </c>
      <c r="G585">
        <v>28</v>
      </c>
      <c r="H585">
        <v>7</v>
      </c>
      <c r="J585">
        <v>1749</v>
      </c>
      <c r="K585">
        <v>1768</v>
      </c>
      <c r="L585">
        <v>19</v>
      </c>
      <c r="M585">
        <v>14</v>
      </c>
      <c r="N585" t="s">
        <v>4183</v>
      </c>
      <c r="O585" t="s">
        <v>4184</v>
      </c>
      <c r="P585" s="22" t="str">
        <f>HYPERLINK(O585)</f>
        <v>https://www.scopus.com/inward/record.uri?eid=2-s2.0-85104637623&amp;doi=10.1177%2f13548166211009985&amp;partnerID=40&amp;md5=be0088825e28adf9357d5d619689f22f</v>
      </c>
      <c r="Q585" t="s">
        <v>156</v>
      </c>
      <c r="R585" t="s">
        <v>48</v>
      </c>
      <c r="T585" t="s">
        <v>6</v>
      </c>
      <c r="U585" t="s">
        <v>4185</v>
      </c>
      <c r="V585" s="36">
        <v>1</v>
      </c>
      <c r="W585" s="27">
        <v>0</v>
      </c>
      <c r="X585" s="27">
        <v>0</v>
      </c>
      <c r="Y585" s="27">
        <v>0</v>
      </c>
      <c r="Z585" s="27">
        <v>0</v>
      </c>
      <c r="AA585" s="27">
        <v>0</v>
      </c>
      <c r="AB585" s="27">
        <v>0</v>
      </c>
      <c r="AC585" s="27">
        <v>0</v>
      </c>
      <c r="AD585" s="27">
        <v>0</v>
      </c>
      <c r="AE585" s="27">
        <v>0</v>
      </c>
      <c r="AF585" s="27">
        <v>0</v>
      </c>
      <c r="AG585" s="27">
        <v>0</v>
      </c>
      <c r="AH585" s="27">
        <v>0</v>
      </c>
      <c r="AJ585">
        <f t="shared" si="9"/>
        <v>1</v>
      </c>
    </row>
    <row r="586" spans="1:36">
      <c r="A586" t="s">
        <v>4186</v>
      </c>
      <c r="B586" t="s">
        <v>4187</v>
      </c>
      <c r="C586" t="s">
        <v>4188</v>
      </c>
      <c r="D586" t="s">
        <v>4189</v>
      </c>
      <c r="E586">
        <v>2020</v>
      </c>
      <c r="F586" t="s">
        <v>4121</v>
      </c>
      <c r="G586">
        <v>26</v>
      </c>
      <c r="H586">
        <v>4</v>
      </c>
      <c r="J586">
        <v>555</v>
      </c>
      <c r="K586">
        <v>577</v>
      </c>
      <c r="L586">
        <v>22</v>
      </c>
      <c r="M586">
        <v>39</v>
      </c>
      <c r="N586" t="s">
        <v>4190</v>
      </c>
      <c r="O586" t="s">
        <v>4191</v>
      </c>
      <c r="P586" s="22" t="str">
        <f>HYPERLINK(O586)</f>
        <v>https://www.scopus.com/inward/record.uri?eid=2-s2.0-85084555920&amp;doi=10.1177%2f1354816619851404&amp;partnerID=40&amp;md5=97dfc3d2813a1f848c3b0a8f901a4904</v>
      </c>
      <c r="Q586" t="s">
        <v>156</v>
      </c>
      <c r="R586" t="s">
        <v>48</v>
      </c>
      <c r="T586" t="s">
        <v>6</v>
      </c>
      <c r="U586" t="s">
        <v>4192</v>
      </c>
      <c r="V586" s="36">
        <v>1</v>
      </c>
      <c r="W586" s="27">
        <v>0</v>
      </c>
      <c r="X586" s="27">
        <v>0</v>
      </c>
      <c r="Y586" s="27">
        <v>0</v>
      </c>
      <c r="Z586" s="27">
        <v>0</v>
      </c>
      <c r="AA586" s="27">
        <v>0</v>
      </c>
      <c r="AB586" s="27">
        <v>0</v>
      </c>
      <c r="AC586" s="27">
        <v>0</v>
      </c>
      <c r="AD586" s="27">
        <v>0</v>
      </c>
      <c r="AE586" s="27">
        <v>0</v>
      </c>
      <c r="AF586" s="27">
        <v>0</v>
      </c>
      <c r="AG586" s="27">
        <v>0</v>
      </c>
      <c r="AH586" s="27">
        <v>1</v>
      </c>
      <c r="AJ586">
        <f t="shared" si="9"/>
        <v>2</v>
      </c>
    </row>
    <row r="587" spans="1:36">
      <c r="A587" t="s">
        <v>4193</v>
      </c>
      <c r="B587" t="s">
        <v>4194</v>
      </c>
      <c r="C587" t="s">
        <v>4195</v>
      </c>
      <c r="D587" t="s">
        <v>4196</v>
      </c>
      <c r="E587">
        <v>2021</v>
      </c>
      <c r="F587" t="s">
        <v>4121</v>
      </c>
      <c r="G587">
        <v>27</v>
      </c>
      <c r="H587">
        <v>4</v>
      </c>
      <c r="J587">
        <v>841</v>
      </c>
      <c r="K587">
        <v>858</v>
      </c>
      <c r="L587">
        <v>17</v>
      </c>
      <c r="M587">
        <v>42</v>
      </c>
      <c r="N587" t="s">
        <v>4197</v>
      </c>
      <c r="O587" t="s">
        <v>4198</v>
      </c>
      <c r="P587" s="22" t="str">
        <f>HYPERLINK(O587)</f>
        <v>https://www.scopus.com/inward/record.uri?eid=2-s2.0-85081572227&amp;doi=10.1177%2f1354816620909608&amp;partnerID=40&amp;md5=d7ab416a05df0d89ae1f33f997fee327</v>
      </c>
      <c r="Q587" t="s">
        <v>156</v>
      </c>
      <c r="R587" t="s">
        <v>48</v>
      </c>
      <c r="T587" t="s">
        <v>6</v>
      </c>
      <c r="U587" t="s">
        <v>4199</v>
      </c>
      <c r="V587" s="36">
        <v>0</v>
      </c>
      <c r="W587" s="27">
        <v>1</v>
      </c>
      <c r="X587" s="27">
        <v>0</v>
      </c>
      <c r="Y587" s="27">
        <v>0</v>
      </c>
      <c r="Z587" s="27">
        <v>0</v>
      </c>
      <c r="AA587" s="27">
        <v>0</v>
      </c>
      <c r="AB587" s="27">
        <v>0</v>
      </c>
      <c r="AC587" s="27">
        <v>0</v>
      </c>
      <c r="AD587" s="27">
        <v>0</v>
      </c>
      <c r="AE587" s="27">
        <v>0</v>
      </c>
      <c r="AF587" s="27">
        <v>0</v>
      </c>
      <c r="AG587" s="27">
        <v>0</v>
      </c>
      <c r="AH587" s="27">
        <v>0</v>
      </c>
      <c r="AJ587">
        <f t="shared" si="9"/>
        <v>1</v>
      </c>
    </row>
    <row r="588" spans="1:36">
      <c r="A588" t="s">
        <v>4200</v>
      </c>
      <c r="B588" t="s">
        <v>4201</v>
      </c>
      <c r="C588" t="s">
        <v>4202</v>
      </c>
      <c r="D588" t="s">
        <v>4203</v>
      </c>
      <c r="E588">
        <v>2023</v>
      </c>
      <c r="F588" t="s">
        <v>4121</v>
      </c>
      <c r="G588">
        <v>29</v>
      </c>
      <c r="H588">
        <v>1</v>
      </c>
      <c r="J588">
        <v>157</v>
      </c>
      <c r="K588">
        <v>171</v>
      </c>
      <c r="L588">
        <v>14</v>
      </c>
      <c r="M588">
        <v>5</v>
      </c>
      <c r="N588" t="s">
        <v>4204</v>
      </c>
      <c r="O588" t="s">
        <v>4205</v>
      </c>
      <c r="P588" s="22" t="str">
        <f>HYPERLINK(O588)</f>
        <v>https://www.scopus.com/inward/record.uri?eid=2-s2.0-85115024071&amp;doi=10.1177%2f13548166211041416&amp;partnerID=40&amp;md5=60b9a0c32ab85dd8c4981a22f416cfdb</v>
      </c>
      <c r="Q588" t="s">
        <v>156</v>
      </c>
      <c r="R588" t="s">
        <v>48</v>
      </c>
      <c r="S588" t="s">
        <v>467</v>
      </c>
      <c r="T588" t="s">
        <v>6</v>
      </c>
      <c r="U588" t="s">
        <v>4206</v>
      </c>
      <c r="V588" s="36">
        <v>0</v>
      </c>
      <c r="W588" s="27">
        <v>0</v>
      </c>
      <c r="X588" s="27">
        <v>0</v>
      </c>
      <c r="Y588" s="27">
        <v>0</v>
      </c>
      <c r="Z588" s="27">
        <v>0</v>
      </c>
      <c r="AA588" s="27">
        <v>0</v>
      </c>
      <c r="AB588" s="27">
        <v>1</v>
      </c>
      <c r="AC588" s="27">
        <v>0</v>
      </c>
      <c r="AD588" s="27">
        <v>0</v>
      </c>
      <c r="AE588" s="27">
        <v>0</v>
      </c>
      <c r="AF588" s="27">
        <v>0</v>
      </c>
      <c r="AG588" s="27">
        <v>0</v>
      </c>
      <c r="AH588" s="27">
        <v>0</v>
      </c>
      <c r="AJ588">
        <f t="shared" si="9"/>
        <v>1</v>
      </c>
    </row>
    <row r="589" spans="1:36">
      <c r="A589" t="s">
        <v>4207</v>
      </c>
      <c r="B589" t="s">
        <v>4208</v>
      </c>
      <c r="C589">
        <v>6507803550</v>
      </c>
      <c r="D589" t="s">
        <v>4209</v>
      </c>
      <c r="E589">
        <v>2020</v>
      </c>
      <c r="F589" t="s">
        <v>4121</v>
      </c>
      <c r="G589">
        <v>26</v>
      </c>
      <c r="H589">
        <v>5</v>
      </c>
      <c r="J589">
        <v>809</v>
      </c>
      <c r="K589">
        <v>829</v>
      </c>
      <c r="L589">
        <v>20</v>
      </c>
      <c r="M589">
        <v>2</v>
      </c>
      <c r="N589" t="s">
        <v>4210</v>
      </c>
      <c r="O589" t="s">
        <v>4211</v>
      </c>
      <c r="P589" s="22" t="str">
        <f>HYPERLINK(O589)</f>
        <v>https://www.scopus.com/inward/record.uri?eid=2-s2.0-85070286250&amp;doi=10.1177%2f1354816619863253&amp;partnerID=40&amp;md5=99bfdd24daeab474d95d7f3ac79a4706</v>
      </c>
      <c r="Q589" t="s">
        <v>156</v>
      </c>
      <c r="R589" t="s">
        <v>48</v>
      </c>
      <c r="T589" t="s">
        <v>6</v>
      </c>
      <c r="U589" t="s">
        <v>4212</v>
      </c>
      <c r="V589" s="36">
        <v>0</v>
      </c>
      <c r="W589" s="27">
        <v>1</v>
      </c>
      <c r="X589" s="27">
        <v>0</v>
      </c>
      <c r="Y589" s="27">
        <v>0</v>
      </c>
      <c r="Z589" s="27">
        <v>0</v>
      </c>
      <c r="AA589" s="27">
        <v>0</v>
      </c>
      <c r="AB589" s="27">
        <v>0</v>
      </c>
      <c r="AC589" s="27">
        <v>0</v>
      </c>
      <c r="AD589" s="27">
        <v>0</v>
      </c>
      <c r="AE589" s="27">
        <v>0</v>
      </c>
      <c r="AF589" s="27">
        <v>0</v>
      </c>
      <c r="AG589" s="27">
        <v>0</v>
      </c>
      <c r="AH589" s="27">
        <v>0</v>
      </c>
      <c r="AJ589">
        <f t="shared" si="9"/>
        <v>1</v>
      </c>
    </row>
    <row r="590" spans="1:36">
      <c r="A590" t="s">
        <v>4213</v>
      </c>
      <c r="B590" t="s">
        <v>4214</v>
      </c>
      <c r="C590" t="s">
        <v>4215</v>
      </c>
      <c r="D590" t="s">
        <v>4216</v>
      </c>
      <c r="E590">
        <v>2016</v>
      </c>
      <c r="F590" t="s">
        <v>4121</v>
      </c>
      <c r="G590">
        <v>22</v>
      </c>
      <c r="H590">
        <v>4</v>
      </c>
      <c r="J590">
        <v>685</v>
      </c>
      <c r="K590">
        <v>698</v>
      </c>
      <c r="L590">
        <v>13</v>
      </c>
      <c r="M590">
        <v>28</v>
      </c>
      <c r="N590" t="s">
        <v>4217</v>
      </c>
      <c r="O590" t="s">
        <v>4218</v>
      </c>
      <c r="P590" s="22" t="str">
        <f>HYPERLINK(O590)</f>
        <v>https://www.scopus.com/inward/record.uri?eid=2-s2.0-84986593076&amp;doi=10.1177%2f1354816616654242&amp;partnerID=40&amp;md5=ee4d852de05d383a5fa6203a9b83817b</v>
      </c>
      <c r="Q590" t="s">
        <v>62</v>
      </c>
      <c r="R590" t="s">
        <v>48</v>
      </c>
      <c r="T590" t="s">
        <v>6</v>
      </c>
      <c r="U590" t="s">
        <v>4219</v>
      </c>
      <c r="V590" s="36">
        <v>1</v>
      </c>
      <c r="W590" s="27">
        <v>0</v>
      </c>
      <c r="X590" s="27">
        <v>0</v>
      </c>
      <c r="Y590" s="27">
        <v>0</v>
      </c>
      <c r="Z590" s="27">
        <v>0</v>
      </c>
      <c r="AA590" s="27">
        <v>0</v>
      </c>
      <c r="AB590" s="27">
        <v>0</v>
      </c>
      <c r="AC590" s="27">
        <v>0</v>
      </c>
      <c r="AD590" s="27">
        <v>0</v>
      </c>
      <c r="AE590" s="27">
        <v>0</v>
      </c>
      <c r="AF590" s="27">
        <v>0</v>
      </c>
      <c r="AG590" s="27">
        <v>0</v>
      </c>
      <c r="AH590" s="27">
        <v>0</v>
      </c>
      <c r="AJ590">
        <f t="shared" si="9"/>
        <v>1</v>
      </c>
    </row>
    <row r="591" spans="1:36">
      <c r="A591" t="s">
        <v>4220</v>
      </c>
      <c r="B591" t="s">
        <v>4221</v>
      </c>
      <c r="C591">
        <v>42561710700</v>
      </c>
      <c r="D591" t="s">
        <v>4222</v>
      </c>
      <c r="E591">
        <v>2015</v>
      </c>
      <c r="F591" t="s">
        <v>4121</v>
      </c>
      <c r="G591">
        <v>21</v>
      </c>
      <c r="H591">
        <v>3</v>
      </c>
      <c r="J591">
        <v>441</v>
      </c>
      <c r="K591">
        <v>454</v>
      </c>
      <c r="L591">
        <v>13</v>
      </c>
      <c r="M591">
        <v>25</v>
      </c>
      <c r="N591" t="s">
        <v>4223</v>
      </c>
      <c r="O591" t="s">
        <v>4224</v>
      </c>
      <c r="P591" s="22" t="str">
        <f>HYPERLINK(O591)</f>
        <v>https://www.scopus.com/inward/record.uri?eid=2-s2.0-84936122100&amp;doi=10.5367%2fte.2015.0480&amp;partnerID=40&amp;md5=c8c64b37ad1b5cfe1e0e0e17433a820a</v>
      </c>
      <c r="Q591" t="s">
        <v>156</v>
      </c>
      <c r="R591" t="s">
        <v>48</v>
      </c>
      <c r="S591" t="s">
        <v>164</v>
      </c>
      <c r="T591" t="s">
        <v>6</v>
      </c>
      <c r="U591" t="s">
        <v>4225</v>
      </c>
      <c r="V591" s="36">
        <v>0</v>
      </c>
      <c r="W591" s="27">
        <v>1</v>
      </c>
      <c r="X591" s="27">
        <v>0</v>
      </c>
      <c r="Y591" s="27">
        <v>0</v>
      </c>
      <c r="Z591" s="27">
        <v>0</v>
      </c>
      <c r="AA591" s="27">
        <v>0</v>
      </c>
      <c r="AB591" s="27">
        <v>0</v>
      </c>
      <c r="AC591" s="27">
        <v>0</v>
      </c>
      <c r="AD591" s="27">
        <v>0</v>
      </c>
      <c r="AE591" s="27">
        <v>0</v>
      </c>
      <c r="AF591" s="27">
        <v>0</v>
      </c>
      <c r="AG591" s="27">
        <v>0</v>
      </c>
      <c r="AH591" s="27">
        <v>0</v>
      </c>
      <c r="AJ591">
        <f t="shared" si="9"/>
        <v>1</v>
      </c>
    </row>
    <row r="592" spans="1:36">
      <c r="A592" t="s">
        <v>4220</v>
      </c>
      <c r="B592" t="s">
        <v>4221</v>
      </c>
      <c r="C592">
        <v>42561710700</v>
      </c>
      <c r="D592" t="s">
        <v>4226</v>
      </c>
      <c r="E592">
        <v>2020</v>
      </c>
      <c r="F592" t="s">
        <v>4121</v>
      </c>
      <c r="G592">
        <v>26</v>
      </c>
      <c r="H592">
        <v>8</v>
      </c>
      <c r="J592">
        <v>1374</v>
      </c>
      <c r="K592">
        <v>1393</v>
      </c>
      <c r="L592">
        <v>19</v>
      </c>
      <c r="M592">
        <v>19</v>
      </c>
      <c r="N592" t="s">
        <v>4227</v>
      </c>
      <c r="O592" t="s">
        <v>4228</v>
      </c>
      <c r="P592" s="22" t="str">
        <f>HYPERLINK(O592)</f>
        <v>https://www.scopus.com/inward/record.uri?eid=2-s2.0-85081958600&amp;doi=10.1177%2f1354816620909994&amp;partnerID=40&amp;md5=7d2a5abf2ce67d6edeaf29397fe990ab</v>
      </c>
      <c r="Q592" t="s">
        <v>156</v>
      </c>
      <c r="R592" t="s">
        <v>48</v>
      </c>
      <c r="T592" t="s">
        <v>6</v>
      </c>
      <c r="U592" t="s">
        <v>4229</v>
      </c>
      <c r="V592" s="36">
        <v>1</v>
      </c>
      <c r="W592" s="27">
        <v>0</v>
      </c>
      <c r="X592" s="27">
        <v>0</v>
      </c>
      <c r="Y592" s="27">
        <v>0</v>
      </c>
      <c r="Z592" s="27">
        <v>0</v>
      </c>
      <c r="AA592" s="27">
        <v>0</v>
      </c>
      <c r="AB592" s="27">
        <v>0</v>
      </c>
      <c r="AC592" s="27">
        <v>0</v>
      </c>
      <c r="AD592" s="27">
        <v>0</v>
      </c>
      <c r="AE592" s="27">
        <v>0</v>
      </c>
      <c r="AF592" s="27">
        <v>0</v>
      </c>
      <c r="AG592" s="27">
        <v>0</v>
      </c>
      <c r="AH592" s="27">
        <v>0</v>
      </c>
      <c r="AJ592">
        <f t="shared" si="9"/>
        <v>1</v>
      </c>
    </row>
    <row r="593" spans="1:36">
      <c r="A593" t="s">
        <v>4230</v>
      </c>
      <c r="B593" t="s">
        <v>4231</v>
      </c>
      <c r="C593" t="s">
        <v>4232</v>
      </c>
      <c r="D593" t="s">
        <v>4233</v>
      </c>
      <c r="E593">
        <v>2016</v>
      </c>
      <c r="F593" t="s">
        <v>4121</v>
      </c>
      <c r="G593">
        <v>22</v>
      </c>
      <c r="H593">
        <v>6</v>
      </c>
      <c r="J593">
        <v>1274</v>
      </c>
      <c r="K593">
        <v>1300</v>
      </c>
      <c r="L593">
        <v>26</v>
      </c>
      <c r="M593">
        <v>30</v>
      </c>
      <c r="N593" t="s">
        <v>4234</v>
      </c>
      <c r="O593" t="s">
        <v>4235</v>
      </c>
      <c r="P593" s="22" t="str">
        <f>HYPERLINK(O593)</f>
        <v>https://www.scopus.com/inward/record.uri?eid=2-s2.0-85014237416&amp;doi=10.1177%2f1354816616672600&amp;partnerID=40&amp;md5=c231814b18079bfa31e13f182c3f61d6</v>
      </c>
      <c r="Q593" t="s">
        <v>156</v>
      </c>
      <c r="R593" t="s">
        <v>48</v>
      </c>
      <c r="S593" t="s">
        <v>164</v>
      </c>
      <c r="T593" t="s">
        <v>6</v>
      </c>
      <c r="U593" t="s">
        <v>4236</v>
      </c>
      <c r="V593" s="36">
        <v>1</v>
      </c>
      <c r="W593" s="27">
        <v>0</v>
      </c>
      <c r="X593" s="27">
        <v>0</v>
      </c>
      <c r="Y593" s="27">
        <v>0</v>
      </c>
      <c r="Z593" s="27">
        <v>0</v>
      </c>
      <c r="AA593" s="27">
        <v>0</v>
      </c>
      <c r="AB593" s="27">
        <v>0</v>
      </c>
      <c r="AC593" s="27">
        <v>0</v>
      </c>
      <c r="AD593" s="27">
        <v>0</v>
      </c>
      <c r="AE593" s="27">
        <v>0</v>
      </c>
      <c r="AF593" s="27">
        <v>0</v>
      </c>
      <c r="AG593" s="27">
        <v>0</v>
      </c>
      <c r="AH593" s="27">
        <v>0</v>
      </c>
      <c r="AJ593">
        <f t="shared" si="9"/>
        <v>1</v>
      </c>
    </row>
    <row r="594" spans="1:36">
      <c r="A594" t="s">
        <v>4237</v>
      </c>
      <c r="B594" t="s">
        <v>4238</v>
      </c>
      <c r="C594" t="s">
        <v>4239</v>
      </c>
      <c r="D594" t="s">
        <v>4240</v>
      </c>
      <c r="E594">
        <v>2022</v>
      </c>
      <c r="F594" t="s">
        <v>4121</v>
      </c>
      <c r="G594">
        <v>28</v>
      </c>
      <c r="H594">
        <v>4</v>
      </c>
      <c r="J594">
        <v>995</v>
      </c>
      <c r="K594">
        <v>1008</v>
      </c>
      <c r="L594">
        <v>13</v>
      </c>
      <c r="M594">
        <v>15</v>
      </c>
      <c r="N594" t="s">
        <v>4241</v>
      </c>
      <c r="O594" t="s">
        <v>4242</v>
      </c>
      <c r="P594" s="22" t="str">
        <f>HYPERLINK(O594)</f>
        <v>https://www.scopus.com/inward/record.uri?eid=2-s2.0-85097445149&amp;doi=10.1177%2f1354816620978128&amp;partnerID=40&amp;md5=97d1380734077d6e6d33e4f49141237b</v>
      </c>
      <c r="Q594" t="s">
        <v>156</v>
      </c>
      <c r="R594" t="s">
        <v>48</v>
      </c>
      <c r="T594" t="s">
        <v>6</v>
      </c>
      <c r="U594" t="s">
        <v>4243</v>
      </c>
      <c r="V594" s="36">
        <v>0</v>
      </c>
      <c r="W594" s="27">
        <v>0</v>
      </c>
      <c r="X594" s="27">
        <v>0</v>
      </c>
      <c r="Y594" s="27">
        <v>0</v>
      </c>
      <c r="Z594" s="27">
        <v>1</v>
      </c>
      <c r="AA594" s="27">
        <v>0</v>
      </c>
      <c r="AB594" s="27">
        <v>0</v>
      </c>
      <c r="AC594" s="27">
        <v>0</v>
      </c>
      <c r="AD594" s="27">
        <v>0</v>
      </c>
      <c r="AE594" s="27">
        <v>0</v>
      </c>
      <c r="AF594" s="27">
        <v>0</v>
      </c>
      <c r="AG594" s="27">
        <v>0</v>
      </c>
      <c r="AH594" s="27">
        <v>0</v>
      </c>
      <c r="AJ594">
        <f t="shared" si="9"/>
        <v>1</v>
      </c>
    </row>
    <row r="595" spans="1:36">
      <c r="A595" t="s">
        <v>4244</v>
      </c>
      <c r="B595" t="s">
        <v>4245</v>
      </c>
      <c r="C595" t="s">
        <v>4246</v>
      </c>
      <c r="D595" t="s">
        <v>4247</v>
      </c>
      <c r="E595">
        <v>2022</v>
      </c>
      <c r="F595" t="s">
        <v>4121</v>
      </c>
      <c r="G595">
        <v>28</v>
      </c>
      <c r="H595">
        <v>2</v>
      </c>
      <c r="J595">
        <v>394</v>
      </c>
      <c r="K595">
        <v>417</v>
      </c>
      <c r="L595">
        <v>23</v>
      </c>
      <c r="M595">
        <v>21</v>
      </c>
      <c r="N595" t="s">
        <v>4248</v>
      </c>
      <c r="O595" t="s">
        <v>4249</v>
      </c>
      <c r="P595" s="22" t="str">
        <f>HYPERLINK(O595)</f>
        <v>https://www.scopus.com/inward/record.uri?eid=2-s2.0-85097008605&amp;doi=10.1177%2f1354816620972597&amp;partnerID=40&amp;md5=bfd58b064b22b91f85c70b02be21655f</v>
      </c>
      <c r="Q595" t="s">
        <v>156</v>
      </c>
      <c r="R595" t="s">
        <v>48</v>
      </c>
      <c r="T595" t="s">
        <v>6</v>
      </c>
      <c r="U595" t="s">
        <v>4250</v>
      </c>
      <c r="V595" s="36">
        <v>0</v>
      </c>
      <c r="W595" s="27">
        <v>0</v>
      </c>
      <c r="X595" s="27">
        <v>0</v>
      </c>
      <c r="Y595" s="27">
        <v>0</v>
      </c>
      <c r="Z595" s="27">
        <v>1</v>
      </c>
      <c r="AA595" s="27">
        <v>0</v>
      </c>
      <c r="AB595" s="27">
        <v>0</v>
      </c>
      <c r="AC595" s="27">
        <v>0</v>
      </c>
      <c r="AD595" s="27">
        <v>0</v>
      </c>
      <c r="AE595" s="27">
        <v>0</v>
      </c>
      <c r="AF595" s="27">
        <v>0</v>
      </c>
      <c r="AG595" s="27">
        <v>0</v>
      </c>
      <c r="AH595" s="27">
        <v>0</v>
      </c>
      <c r="AJ595">
        <f t="shared" si="9"/>
        <v>1</v>
      </c>
    </row>
    <row r="596" spans="1:36">
      <c r="A596" t="s">
        <v>4251</v>
      </c>
      <c r="B596" t="s">
        <v>4252</v>
      </c>
      <c r="C596">
        <v>37067967300</v>
      </c>
      <c r="D596" t="s">
        <v>4253</v>
      </c>
      <c r="E596">
        <v>2015</v>
      </c>
      <c r="F596" t="s">
        <v>4121</v>
      </c>
      <c r="G596">
        <v>21</v>
      </c>
      <c r="H596">
        <v>4</v>
      </c>
      <c r="J596">
        <v>907</v>
      </c>
      <c r="K596">
        <v>916</v>
      </c>
      <c r="L596">
        <v>9</v>
      </c>
      <c r="M596">
        <v>25</v>
      </c>
      <c r="N596" t="s">
        <v>4254</v>
      </c>
      <c r="O596" t="s">
        <v>4255</v>
      </c>
      <c r="P596" s="22" t="str">
        <f>HYPERLINK(O596)</f>
        <v>https://www.scopus.com/inward/record.uri?eid=2-s2.0-84939792804&amp;doi=10.5367%2fte.2014.0397&amp;partnerID=40&amp;md5=1ccb863bb89fcd0f3861c5eb811b2394</v>
      </c>
      <c r="Q596" t="s">
        <v>156</v>
      </c>
      <c r="R596" t="s">
        <v>48</v>
      </c>
      <c r="S596" t="s">
        <v>436</v>
      </c>
      <c r="T596" t="s">
        <v>6</v>
      </c>
      <c r="U596" t="s">
        <v>4256</v>
      </c>
      <c r="V596" s="36">
        <v>1</v>
      </c>
      <c r="W596" s="27">
        <v>0</v>
      </c>
      <c r="X596" s="27">
        <v>0</v>
      </c>
      <c r="Y596" s="27">
        <v>0</v>
      </c>
      <c r="Z596" s="27">
        <v>0</v>
      </c>
      <c r="AA596" s="27">
        <v>0</v>
      </c>
      <c r="AB596" s="27">
        <v>0</v>
      </c>
      <c r="AC596" s="27">
        <v>0</v>
      </c>
      <c r="AD596" s="27">
        <v>0</v>
      </c>
      <c r="AE596" s="27">
        <v>0</v>
      </c>
      <c r="AF596" s="27">
        <v>0</v>
      </c>
      <c r="AG596" s="27">
        <v>0</v>
      </c>
      <c r="AH596" s="27">
        <v>0</v>
      </c>
      <c r="AJ596">
        <f t="shared" si="9"/>
        <v>1</v>
      </c>
    </row>
    <row r="597" spans="1:36">
      <c r="A597" t="s">
        <v>4257</v>
      </c>
      <c r="B597" t="s">
        <v>4258</v>
      </c>
      <c r="C597" t="s">
        <v>4259</v>
      </c>
      <c r="D597" t="s">
        <v>4260</v>
      </c>
      <c r="E597">
        <v>2010</v>
      </c>
      <c r="F597" t="s">
        <v>4121</v>
      </c>
      <c r="G597">
        <v>16</v>
      </c>
      <c r="H597">
        <v>3</v>
      </c>
      <c r="J597">
        <v>715</v>
      </c>
      <c r="K597">
        <v>729</v>
      </c>
      <c r="L597">
        <v>14</v>
      </c>
      <c r="M597">
        <v>60</v>
      </c>
      <c r="N597" t="s">
        <v>4261</v>
      </c>
      <c r="O597" t="s">
        <v>4262</v>
      </c>
      <c r="P597" s="22" t="str">
        <f>HYPERLINK(O597)</f>
        <v>https://www.scopus.com/inward/record.uri?eid=2-s2.0-77956645986&amp;doi=10.5367%2f000000010792278437&amp;partnerID=40&amp;md5=a756f80561f506d82475970d5e4a5f2a</v>
      </c>
      <c r="Q597" t="s">
        <v>156</v>
      </c>
      <c r="R597" t="s">
        <v>48</v>
      </c>
      <c r="T597" t="s">
        <v>6</v>
      </c>
      <c r="U597" t="s">
        <v>4263</v>
      </c>
      <c r="V597" s="36">
        <v>1</v>
      </c>
      <c r="W597" s="27">
        <v>0</v>
      </c>
      <c r="X597" s="27">
        <v>0</v>
      </c>
      <c r="Y597" s="27">
        <v>0</v>
      </c>
      <c r="Z597" s="27">
        <v>0</v>
      </c>
      <c r="AA597" s="27">
        <v>0</v>
      </c>
      <c r="AB597" s="27">
        <v>0</v>
      </c>
      <c r="AC597" s="27">
        <v>0</v>
      </c>
      <c r="AD597" s="27">
        <v>0</v>
      </c>
      <c r="AE597" s="27">
        <v>0</v>
      </c>
      <c r="AF597" s="27">
        <v>0</v>
      </c>
      <c r="AG597" s="27">
        <v>0</v>
      </c>
      <c r="AH597" s="27">
        <v>0</v>
      </c>
      <c r="AJ597">
        <f t="shared" si="9"/>
        <v>1</v>
      </c>
    </row>
    <row r="598" spans="1:36">
      <c r="A598" t="s">
        <v>4264</v>
      </c>
      <c r="B598" t="s">
        <v>4265</v>
      </c>
      <c r="C598" t="s">
        <v>4266</v>
      </c>
      <c r="D598" t="s">
        <v>4267</v>
      </c>
      <c r="E598">
        <v>2023</v>
      </c>
      <c r="F598" t="s">
        <v>4121</v>
      </c>
      <c r="G598">
        <v>29</v>
      </c>
      <c r="H598">
        <v>5</v>
      </c>
      <c r="J598">
        <v>1139</v>
      </c>
      <c r="K598">
        <v>1163</v>
      </c>
      <c r="L598">
        <v>24</v>
      </c>
      <c r="M598">
        <v>3</v>
      </c>
      <c r="N598" t="s">
        <v>4268</v>
      </c>
      <c r="O598" t="s">
        <v>4269</v>
      </c>
      <c r="P598" s="22" t="str">
        <f>HYPERLINK(O598)</f>
        <v>https://www.scopus.com/inward/record.uri?eid=2-s2.0-85130426702&amp;doi=10.1177%2f13548166221097025&amp;partnerID=40&amp;md5=027bd0e69e809e8d071589d8a7f5b197</v>
      </c>
      <c r="Q598" t="s">
        <v>156</v>
      </c>
      <c r="R598" t="s">
        <v>48</v>
      </c>
      <c r="T598" t="s">
        <v>6</v>
      </c>
      <c r="U598" t="s">
        <v>4270</v>
      </c>
      <c r="V598" s="36">
        <v>1</v>
      </c>
      <c r="W598" s="27">
        <v>0</v>
      </c>
      <c r="X598" s="27">
        <v>0</v>
      </c>
      <c r="Y598" s="27">
        <v>0</v>
      </c>
      <c r="Z598" s="27">
        <v>0</v>
      </c>
      <c r="AA598" s="27">
        <v>0</v>
      </c>
      <c r="AB598" s="27">
        <v>0</v>
      </c>
      <c r="AC598" s="27">
        <v>0</v>
      </c>
      <c r="AD598" s="27">
        <v>0</v>
      </c>
      <c r="AE598" s="27">
        <v>0</v>
      </c>
      <c r="AF598" s="27">
        <v>0</v>
      </c>
      <c r="AG598" s="27">
        <v>0</v>
      </c>
      <c r="AH598" s="27">
        <v>0</v>
      </c>
      <c r="AJ598">
        <f t="shared" si="9"/>
        <v>1</v>
      </c>
    </row>
    <row r="599" spans="1:36">
      <c r="A599" t="s">
        <v>4271</v>
      </c>
      <c r="B599" t="s">
        <v>4272</v>
      </c>
      <c r="C599" t="s">
        <v>4273</v>
      </c>
      <c r="D599" t="s">
        <v>4274</v>
      </c>
      <c r="E599">
        <v>2023</v>
      </c>
      <c r="F599" t="s">
        <v>4121</v>
      </c>
      <c r="G599">
        <v>29</v>
      </c>
      <c r="H599">
        <v>3</v>
      </c>
      <c r="J599">
        <v>696</v>
      </c>
      <c r="K599">
        <v>717</v>
      </c>
      <c r="L599">
        <v>21</v>
      </c>
      <c r="M599">
        <v>16</v>
      </c>
      <c r="N599" t="s">
        <v>4275</v>
      </c>
      <c r="O599" t="s">
        <v>4276</v>
      </c>
      <c r="P599" s="22" t="str">
        <f>HYPERLINK(O599)</f>
        <v>https://www.scopus.com/inward/record.uri?eid=2-s2.0-85125925258&amp;doi=10.1177%2f13548166211065250&amp;partnerID=40&amp;md5=51ac39074be8c9410c372279f080ccf6</v>
      </c>
      <c r="Q599" t="s">
        <v>156</v>
      </c>
      <c r="R599" t="s">
        <v>48</v>
      </c>
      <c r="T599" t="s">
        <v>6</v>
      </c>
      <c r="U599" t="s">
        <v>4277</v>
      </c>
      <c r="V599" s="36">
        <v>0</v>
      </c>
      <c r="W599" s="27">
        <v>1</v>
      </c>
      <c r="X599" s="27">
        <v>0</v>
      </c>
      <c r="Y599" s="27">
        <v>0</v>
      </c>
      <c r="Z599" s="27">
        <v>0</v>
      </c>
      <c r="AA599" s="27">
        <v>0</v>
      </c>
      <c r="AB599" s="27">
        <v>0</v>
      </c>
      <c r="AC599" s="27">
        <v>0</v>
      </c>
      <c r="AD599" s="27">
        <v>0</v>
      </c>
      <c r="AE599" s="27">
        <v>0</v>
      </c>
      <c r="AF599" s="27">
        <v>0</v>
      </c>
      <c r="AG599" s="27">
        <v>0</v>
      </c>
      <c r="AH599" s="27">
        <v>0</v>
      </c>
      <c r="AJ599">
        <f t="shared" si="9"/>
        <v>1</v>
      </c>
    </row>
    <row r="600" spans="1:36">
      <c r="A600" t="s">
        <v>4278</v>
      </c>
      <c r="B600" t="s">
        <v>4279</v>
      </c>
      <c r="C600" t="s">
        <v>4280</v>
      </c>
      <c r="D600" t="s">
        <v>4281</v>
      </c>
      <c r="E600">
        <v>2017</v>
      </c>
      <c r="F600" t="s">
        <v>4121</v>
      </c>
      <c r="G600">
        <v>23</v>
      </c>
      <c r="H600">
        <v>4</v>
      </c>
      <c r="J600">
        <v>834</v>
      </c>
      <c r="K600">
        <v>845</v>
      </c>
      <c r="L600">
        <v>11</v>
      </c>
      <c r="M600">
        <v>40</v>
      </c>
      <c r="N600" t="s">
        <v>4282</v>
      </c>
      <c r="O600" t="s">
        <v>4283</v>
      </c>
      <c r="P600" s="22" t="str">
        <f>HYPERLINK(O600)</f>
        <v>https://www.scopus.com/inward/record.uri?eid=2-s2.0-85021688090&amp;doi=10.5367%2fte.2016.0540&amp;partnerID=40&amp;md5=a64738e06e2cd04630422505b6e5499e</v>
      </c>
      <c r="Q600" t="s">
        <v>184</v>
      </c>
      <c r="R600" t="s">
        <v>48</v>
      </c>
      <c r="T600" t="s">
        <v>6</v>
      </c>
      <c r="U600" t="s">
        <v>4284</v>
      </c>
      <c r="V600" s="36">
        <v>0</v>
      </c>
      <c r="W600" s="27">
        <v>0</v>
      </c>
      <c r="X600" s="27">
        <v>0</v>
      </c>
      <c r="Y600" s="27">
        <v>0</v>
      </c>
      <c r="Z600" s="27">
        <v>0</v>
      </c>
      <c r="AA600" s="27">
        <v>0</v>
      </c>
      <c r="AB600" s="27">
        <v>1</v>
      </c>
      <c r="AC600" s="27">
        <v>0</v>
      </c>
      <c r="AD600" s="27">
        <v>0</v>
      </c>
      <c r="AE600" s="27">
        <v>0</v>
      </c>
      <c r="AF600" s="27">
        <v>0</v>
      </c>
      <c r="AG600" s="27">
        <v>0</v>
      </c>
      <c r="AH600" s="27">
        <v>0</v>
      </c>
      <c r="AJ600">
        <f t="shared" si="9"/>
        <v>1</v>
      </c>
    </row>
    <row r="601" spans="1:36">
      <c r="A601" t="s">
        <v>4285</v>
      </c>
      <c r="B601" t="s">
        <v>4286</v>
      </c>
      <c r="C601" t="s">
        <v>4287</v>
      </c>
      <c r="D601" t="s">
        <v>4288</v>
      </c>
      <c r="E601">
        <v>2018</v>
      </c>
      <c r="F601" t="s">
        <v>4121</v>
      </c>
      <c r="G601">
        <v>24</v>
      </c>
      <c r="H601">
        <v>4</v>
      </c>
      <c r="J601">
        <v>386</v>
      </c>
      <c r="K601">
        <v>417</v>
      </c>
      <c r="L601">
        <v>31</v>
      </c>
      <c r="M601">
        <v>73</v>
      </c>
      <c r="N601" t="s">
        <v>4289</v>
      </c>
      <c r="O601" t="s">
        <v>4290</v>
      </c>
      <c r="P601" s="22" t="str">
        <f>HYPERLINK(O601)</f>
        <v>https://www.scopus.com/inward/record.uri?eid=2-s2.0-85047067188&amp;doi=10.1177%2f1354816617731387&amp;partnerID=40&amp;md5=85f55770f65014f4679554aa1d2008b9</v>
      </c>
      <c r="Q601" t="s">
        <v>156</v>
      </c>
      <c r="R601" t="s">
        <v>48</v>
      </c>
      <c r="T601" t="s">
        <v>6</v>
      </c>
      <c r="U601" t="s">
        <v>4291</v>
      </c>
      <c r="V601" s="36">
        <v>0</v>
      </c>
      <c r="W601" s="27">
        <v>0</v>
      </c>
      <c r="X601" s="27">
        <v>0</v>
      </c>
      <c r="Y601" s="27">
        <v>0</v>
      </c>
      <c r="Z601" s="27">
        <v>0</v>
      </c>
      <c r="AA601" s="27">
        <v>0</v>
      </c>
      <c r="AB601" s="27">
        <v>0</v>
      </c>
      <c r="AC601" s="27">
        <v>0</v>
      </c>
      <c r="AD601" s="27">
        <v>0</v>
      </c>
      <c r="AE601" s="27">
        <v>0</v>
      </c>
      <c r="AF601" s="27">
        <v>0</v>
      </c>
      <c r="AG601" s="27">
        <v>0</v>
      </c>
      <c r="AH601" s="27">
        <v>0</v>
      </c>
      <c r="AJ601">
        <f t="shared" si="9"/>
        <v>0</v>
      </c>
    </row>
    <row r="602" spans="1:36">
      <c r="A602" t="s">
        <v>4292</v>
      </c>
      <c r="B602" t="s">
        <v>4293</v>
      </c>
      <c r="C602" t="s">
        <v>4294</v>
      </c>
      <c r="D602" t="s">
        <v>4295</v>
      </c>
      <c r="E602">
        <v>2020</v>
      </c>
      <c r="F602" t="s">
        <v>4121</v>
      </c>
      <c r="G602">
        <v>26</v>
      </c>
      <c r="H602">
        <v>8</v>
      </c>
      <c r="J602">
        <v>1394</v>
      </c>
      <c r="K602">
        <v>1414</v>
      </c>
      <c r="L602">
        <v>20</v>
      </c>
      <c r="M602">
        <v>77</v>
      </c>
      <c r="N602" t="s">
        <v>4296</v>
      </c>
      <c r="O602" t="s">
        <v>4297</v>
      </c>
      <c r="P602" s="22" t="str">
        <f>HYPERLINK(O602)</f>
        <v>https://www.scopus.com/inward/record.uri?eid=2-s2.0-85078812314&amp;doi=10.1177%2f1354816620901956&amp;partnerID=40&amp;md5=d53dd28d53498fb5903aca7c220de07a</v>
      </c>
      <c r="Q602" t="s">
        <v>156</v>
      </c>
      <c r="R602" t="s">
        <v>48</v>
      </c>
      <c r="T602" t="s">
        <v>6</v>
      </c>
      <c r="U602" t="s">
        <v>4298</v>
      </c>
      <c r="V602" s="36">
        <v>0</v>
      </c>
      <c r="W602" s="27">
        <v>1</v>
      </c>
      <c r="X602" s="27">
        <v>0</v>
      </c>
      <c r="Y602" s="27">
        <v>0</v>
      </c>
      <c r="Z602" s="27">
        <v>0</v>
      </c>
      <c r="AA602" s="27">
        <v>0</v>
      </c>
      <c r="AB602" s="27">
        <v>0</v>
      </c>
      <c r="AC602" s="27">
        <v>0</v>
      </c>
      <c r="AD602" s="27">
        <v>0</v>
      </c>
      <c r="AE602" s="27">
        <v>0</v>
      </c>
      <c r="AF602" s="27">
        <v>0</v>
      </c>
      <c r="AG602" s="27">
        <v>0</v>
      </c>
      <c r="AH602" s="27">
        <v>0</v>
      </c>
      <c r="AJ602">
        <f t="shared" si="9"/>
        <v>1</v>
      </c>
    </row>
    <row r="603" spans="1:36">
      <c r="A603" t="s">
        <v>4299</v>
      </c>
      <c r="B603" t="s">
        <v>4300</v>
      </c>
      <c r="C603" t="s">
        <v>4301</v>
      </c>
      <c r="D603" t="s">
        <v>4302</v>
      </c>
      <c r="E603">
        <v>2018</v>
      </c>
      <c r="F603" t="s">
        <v>4121</v>
      </c>
      <c r="G603">
        <v>24</v>
      </c>
      <c r="H603">
        <v>6</v>
      </c>
      <c r="J603">
        <v>677</v>
      </c>
      <c r="K603">
        <v>689</v>
      </c>
      <c r="L603">
        <v>12</v>
      </c>
      <c r="M603">
        <v>9</v>
      </c>
      <c r="N603" t="s">
        <v>4303</v>
      </c>
      <c r="O603" t="s">
        <v>4304</v>
      </c>
      <c r="P603" s="22" t="str">
        <f>HYPERLINK(O603)</f>
        <v>https://www.scopus.com/inward/record.uri?eid=2-s2.0-85051806189&amp;doi=10.1177%2f1354816618769077&amp;partnerID=40&amp;md5=4a8c7bf6943ec473b056de376e48d36a</v>
      </c>
      <c r="Q603" t="s">
        <v>156</v>
      </c>
      <c r="R603" t="s">
        <v>48</v>
      </c>
      <c r="T603" t="s">
        <v>6</v>
      </c>
      <c r="U603" t="s">
        <v>4305</v>
      </c>
      <c r="V603" s="36">
        <v>0</v>
      </c>
      <c r="W603" s="27">
        <v>1</v>
      </c>
      <c r="X603" s="27">
        <v>0</v>
      </c>
      <c r="Y603" s="27">
        <v>0</v>
      </c>
      <c r="Z603" s="27">
        <v>0</v>
      </c>
      <c r="AA603" s="27">
        <v>0</v>
      </c>
      <c r="AB603" s="27">
        <v>0</v>
      </c>
      <c r="AC603" s="27">
        <v>0</v>
      </c>
      <c r="AD603" s="27">
        <v>0</v>
      </c>
      <c r="AE603" s="27">
        <v>0</v>
      </c>
      <c r="AF603" s="27">
        <v>0</v>
      </c>
      <c r="AG603" s="27">
        <v>0</v>
      </c>
      <c r="AH603" s="27">
        <v>0</v>
      </c>
      <c r="AJ603">
        <f t="shared" si="9"/>
        <v>1</v>
      </c>
    </row>
    <row r="604" spans="1:36">
      <c r="A604" t="s">
        <v>4306</v>
      </c>
      <c r="B604" t="s">
        <v>4307</v>
      </c>
      <c r="C604">
        <v>56554129600</v>
      </c>
      <c r="D604" t="s">
        <v>4308</v>
      </c>
      <c r="E604">
        <v>2019</v>
      </c>
      <c r="F604" t="s">
        <v>4121</v>
      </c>
      <c r="G604">
        <v>25</v>
      </c>
      <c r="H604">
        <v>7</v>
      </c>
      <c r="J604">
        <v>1009</v>
      </c>
      <c r="K604">
        <v>1028</v>
      </c>
      <c r="L604">
        <v>19</v>
      </c>
      <c r="M604">
        <v>31</v>
      </c>
      <c r="N604" t="s">
        <v>4309</v>
      </c>
      <c r="O604" t="s">
        <v>4310</v>
      </c>
      <c r="P604" s="22" t="str">
        <f>HYPERLINK(O604)</f>
        <v>https://www.scopus.com/inward/record.uri?eid=2-s2.0-85059052540&amp;doi=10.1177%2f1354816618814329&amp;partnerID=40&amp;md5=3089fcc11741d43af74ff0b750bd156f</v>
      </c>
      <c r="Q604" t="s">
        <v>156</v>
      </c>
      <c r="R604" t="s">
        <v>48</v>
      </c>
      <c r="T604" t="s">
        <v>6</v>
      </c>
      <c r="U604" t="s">
        <v>4311</v>
      </c>
      <c r="V604" s="36">
        <v>1</v>
      </c>
      <c r="W604" s="27">
        <v>0</v>
      </c>
      <c r="X604" s="27">
        <v>0</v>
      </c>
      <c r="Y604" s="27">
        <v>0</v>
      </c>
      <c r="Z604" s="27">
        <v>0</v>
      </c>
      <c r="AA604" s="27">
        <v>0</v>
      </c>
      <c r="AB604" s="27">
        <v>0</v>
      </c>
      <c r="AC604" s="27">
        <v>0</v>
      </c>
      <c r="AD604" s="27">
        <v>0</v>
      </c>
      <c r="AE604" s="27">
        <v>0</v>
      </c>
      <c r="AF604" s="27">
        <v>0</v>
      </c>
      <c r="AG604" s="27">
        <v>0</v>
      </c>
      <c r="AH604" s="27">
        <v>0</v>
      </c>
      <c r="AJ604">
        <f t="shared" si="9"/>
        <v>1</v>
      </c>
    </row>
    <row r="605" spans="1:36">
      <c r="A605" t="s">
        <v>4312</v>
      </c>
      <c r="B605" t="s">
        <v>4313</v>
      </c>
      <c r="C605">
        <v>37091864400</v>
      </c>
      <c r="D605" t="s">
        <v>4314</v>
      </c>
      <c r="E605">
        <v>2012</v>
      </c>
      <c r="F605" t="s">
        <v>4121</v>
      </c>
      <c r="G605">
        <v>18</v>
      </c>
      <c r="H605">
        <v>1</v>
      </c>
      <c r="J605">
        <v>121</v>
      </c>
      <c r="K605">
        <v>138</v>
      </c>
      <c r="L605">
        <v>17</v>
      </c>
      <c r="M605">
        <v>72</v>
      </c>
      <c r="N605" t="s">
        <v>4315</v>
      </c>
      <c r="O605" t="s">
        <v>4316</v>
      </c>
      <c r="P605" s="22" t="str">
        <f>HYPERLINK(O605)</f>
        <v>https://www.scopus.com/inward/record.uri?eid=2-s2.0-84857472039&amp;doi=10.5367%2fte.2012.0100&amp;partnerID=40&amp;md5=2d20b2845a62aed18e546568764f028a</v>
      </c>
      <c r="Q605" t="s">
        <v>156</v>
      </c>
      <c r="R605" t="s">
        <v>48</v>
      </c>
      <c r="S605" t="s">
        <v>164</v>
      </c>
      <c r="T605" t="s">
        <v>6</v>
      </c>
      <c r="U605" t="s">
        <v>4317</v>
      </c>
      <c r="V605" s="36">
        <v>1</v>
      </c>
      <c r="W605" s="27">
        <v>0</v>
      </c>
      <c r="X605" s="27">
        <v>0</v>
      </c>
      <c r="Y605" s="27">
        <v>0</v>
      </c>
      <c r="Z605" s="27">
        <v>0</v>
      </c>
      <c r="AA605" s="27">
        <v>0</v>
      </c>
      <c r="AB605" s="27">
        <v>0</v>
      </c>
      <c r="AC605" s="27">
        <v>0</v>
      </c>
      <c r="AD605" s="27">
        <v>0</v>
      </c>
      <c r="AE605" s="27">
        <v>0</v>
      </c>
      <c r="AF605" s="27">
        <v>0</v>
      </c>
      <c r="AG605" s="27">
        <v>0</v>
      </c>
      <c r="AH605" s="27">
        <v>0</v>
      </c>
      <c r="AJ605">
        <f t="shared" si="9"/>
        <v>1</v>
      </c>
    </row>
    <row r="606" spans="1:36">
      <c r="A606" t="s">
        <v>4318</v>
      </c>
      <c r="B606" t="s">
        <v>4319</v>
      </c>
      <c r="C606" t="s">
        <v>4320</v>
      </c>
      <c r="D606" t="s">
        <v>4321</v>
      </c>
      <c r="E606">
        <v>2019</v>
      </c>
      <c r="F606" t="s">
        <v>4121</v>
      </c>
      <c r="G606">
        <v>25</v>
      </c>
      <c r="H606">
        <v>7</v>
      </c>
      <c r="J606">
        <v>1047</v>
      </c>
      <c r="K606">
        <v>1069</v>
      </c>
      <c r="L606">
        <v>22</v>
      </c>
      <c r="M606">
        <v>54</v>
      </c>
      <c r="N606" t="s">
        <v>4322</v>
      </c>
      <c r="O606" t="s">
        <v>4323</v>
      </c>
      <c r="P606" s="22" t="str">
        <f>HYPERLINK(O606)</f>
        <v>https://www.scopus.com/inward/record.uri?eid=2-s2.0-85059036529&amp;doi=10.1177%2f1354816618816167&amp;partnerID=40&amp;md5=3ae3cd8de1d774a4573a2b819445bc46</v>
      </c>
      <c r="Q606" t="s">
        <v>156</v>
      </c>
      <c r="R606" t="s">
        <v>48</v>
      </c>
      <c r="T606" t="s">
        <v>6</v>
      </c>
      <c r="U606" t="s">
        <v>4324</v>
      </c>
      <c r="V606" s="36">
        <v>1</v>
      </c>
      <c r="W606" s="27">
        <v>0</v>
      </c>
      <c r="X606" s="27">
        <v>0</v>
      </c>
      <c r="Y606" s="27">
        <v>0</v>
      </c>
      <c r="Z606" s="27">
        <v>0</v>
      </c>
      <c r="AA606" s="27">
        <v>0</v>
      </c>
      <c r="AB606" s="27">
        <v>0</v>
      </c>
      <c r="AC606" s="27">
        <v>0</v>
      </c>
      <c r="AD606" s="27">
        <v>0</v>
      </c>
      <c r="AE606" s="27">
        <v>0</v>
      </c>
      <c r="AF606" s="27">
        <v>0</v>
      </c>
      <c r="AG606" s="27">
        <v>0</v>
      </c>
      <c r="AH606" s="27">
        <v>0</v>
      </c>
      <c r="AJ606">
        <f t="shared" si="9"/>
        <v>1</v>
      </c>
    </row>
    <row r="607" spans="1:36">
      <c r="A607" t="s">
        <v>4325</v>
      </c>
      <c r="B607" t="s">
        <v>4326</v>
      </c>
      <c r="C607">
        <v>7403589512</v>
      </c>
      <c r="D607" t="s">
        <v>4327</v>
      </c>
      <c r="E607">
        <v>2022</v>
      </c>
      <c r="F607" t="s">
        <v>4328</v>
      </c>
      <c r="G607">
        <v>24</v>
      </c>
      <c r="H607" s="32">
        <v>45844</v>
      </c>
      <c r="J607">
        <v>1123</v>
      </c>
      <c r="K607">
        <v>1133</v>
      </c>
      <c r="L607">
        <v>10</v>
      </c>
      <c r="M607">
        <v>3</v>
      </c>
      <c r="N607" t="s">
        <v>4329</v>
      </c>
      <c r="O607" t="s">
        <v>4330</v>
      </c>
      <c r="P607" s="22" t="str">
        <f>HYPERLINK(O607)</f>
        <v>https://www.scopus.com/inward/record.uri?eid=2-s2.0-85099719057&amp;doi=10.1080%2f14616688.2020.1868020&amp;partnerID=40&amp;md5=efc9b013618d087a6b0dcce231c4f259</v>
      </c>
      <c r="Q607" t="s">
        <v>156</v>
      </c>
      <c r="R607" t="s">
        <v>48</v>
      </c>
      <c r="T607" t="s">
        <v>6</v>
      </c>
      <c r="U607" t="s">
        <v>4331</v>
      </c>
      <c r="V607" s="36">
        <v>0</v>
      </c>
      <c r="W607" s="27">
        <v>0</v>
      </c>
      <c r="X607" s="27">
        <v>0</v>
      </c>
      <c r="Y607" s="27">
        <v>0</v>
      </c>
      <c r="Z607" s="27">
        <v>0</v>
      </c>
      <c r="AA607" s="27">
        <v>0</v>
      </c>
      <c r="AB607" s="27">
        <v>0</v>
      </c>
      <c r="AC607" s="27">
        <v>0</v>
      </c>
      <c r="AD607" s="27">
        <v>0</v>
      </c>
      <c r="AE607" s="27">
        <v>0</v>
      </c>
      <c r="AF607" s="27">
        <v>0</v>
      </c>
      <c r="AG607" s="27">
        <v>0</v>
      </c>
      <c r="AH607" s="27">
        <v>0</v>
      </c>
      <c r="AJ607">
        <f t="shared" si="9"/>
        <v>0</v>
      </c>
    </row>
    <row r="608" spans="1:36">
      <c r="A608" t="s">
        <v>4332</v>
      </c>
      <c r="B608" t="s">
        <v>4333</v>
      </c>
      <c r="C608" t="s">
        <v>4334</v>
      </c>
      <c r="D608" t="s">
        <v>4335</v>
      </c>
      <c r="E608">
        <v>2023</v>
      </c>
      <c r="F608" t="s">
        <v>4328</v>
      </c>
      <c r="G608">
        <v>25</v>
      </c>
      <c r="H608">
        <v>1</v>
      </c>
      <c r="J608">
        <v>265</v>
      </c>
      <c r="K608">
        <v>286</v>
      </c>
      <c r="L608">
        <v>21</v>
      </c>
      <c r="M608">
        <v>16</v>
      </c>
      <c r="N608" t="s">
        <v>4336</v>
      </c>
      <c r="O608" t="s">
        <v>4337</v>
      </c>
      <c r="P608" s="22" t="str">
        <f>HYPERLINK(O608)</f>
        <v>https://www.scopus.com/inward/record.uri?eid=2-s2.0-85101581862&amp;doi=10.1080%2f14616688.2020.1868019&amp;partnerID=40&amp;md5=edcbae8028c4383b11b58f28d0320857</v>
      </c>
      <c r="Q608" t="s">
        <v>156</v>
      </c>
      <c r="R608" t="s">
        <v>48</v>
      </c>
      <c r="S608" t="s">
        <v>164</v>
      </c>
      <c r="T608" t="s">
        <v>6</v>
      </c>
      <c r="U608" t="s">
        <v>4338</v>
      </c>
      <c r="V608" s="36">
        <v>1</v>
      </c>
      <c r="W608" s="27">
        <v>0</v>
      </c>
      <c r="X608" s="27">
        <v>0</v>
      </c>
      <c r="Y608" s="27">
        <v>0</v>
      </c>
      <c r="Z608" s="27">
        <v>0</v>
      </c>
      <c r="AA608" s="27">
        <v>0</v>
      </c>
      <c r="AB608" s="27">
        <v>0</v>
      </c>
      <c r="AC608" s="27">
        <v>0</v>
      </c>
      <c r="AD608" s="27">
        <v>0</v>
      </c>
      <c r="AE608" s="27">
        <v>0</v>
      </c>
      <c r="AF608" s="27">
        <v>0</v>
      </c>
      <c r="AG608" s="27">
        <v>0</v>
      </c>
      <c r="AH608" s="27">
        <v>1</v>
      </c>
      <c r="AJ608">
        <f t="shared" si="9"/>
        <v>2</v>
      </c>
    </row>
    <row r="609" spans="1:36">
      <c r="A609" t="s">
        <v>4339</v>
      </c>
      <c r="B609" t="s">
        <v>4340</v>
      </c>
      <c r="C609" t="s">
        <v>4341</v>
      </c>
      <c r="D609" t="s">
        <v>4342</v>
      </c>
      <c r="E609">
        <v>2020</v>
      </c>
      <c r="F609" t="s">
        <v>4328</v>
      </c>
      <c r="J609">
        <v>703</v>
      </c>
      <c r="K609">
        <v>712</v>
      </c>
      <c r="L609">
        <v>9</v>
      </c>
      <c r="M609">
        <v>162</v>
      </c>
      <c r="N609" t="s">
        <v>4343</v>
      </c>
      <c r="O609" t="s">
        <v>4344</v>
      </c>
      <c r="P609" s="22" t="str">
        <f>HYPERLINK(O609)</f>
        <v>https://www.scopus.com/inward/record.uri?eid=2-s2.0-85085572424&amp;doi=10.1080%2f14616688.2020.1768432&amp;partnerID=40&amp;md5=26db025ea47e31d537b9b3f6cb63ef8f</v>
      </c>
      <c r="Q609" t="s">
        <v>156</v>
      </c>
      <c r="R609" t="s">
        <v>48</v>
      </c>
      <c r="S609" t="s">
        <v>1171</v>
      </c>
      <c r="T609" t="s">
        <v>6</v>
      </c>
      <c r="U609" t="s">
        <v>4345</v>
      </c>
      <c r="V609" s="36">
        <v>0</v>
      </c>
      <c r="W609" s="27">
        <v>1</v>
      </c>
      <c r="X609" s="27">
        <v>0</v>
      </c>
      <c r="Y609" s="27">
        <v>0</v>
      </c>
      <c r="Z609" s="27">
        <v>0</v>
      </c>
      <c r="AA609" s="27">
        <v>0</v>
      </c>
      <c r="AB609" s="27">
        <v>0</v>
      </c>
      <c r="AC609" s="27">
        <v>0</v>
      </c>
      <c r="AD609" s="27">
        <v>0</v>
      </c>
      <c r="AE609" s="27">
        <v>0</v>
      </c>
      <c r="AF609" s="27">
        <v>0</v>
      </c>
      <c r="AG609" s="27">
        <v>0</v>
      </c>
      <c r="AH609" s="27">
        <v>0</v>
      </c>
      <c r="AJ609">
        <f t="shared" si="9"/>
        <v>1</v>
      </c>
    </row>
    <row r="610" spans="1:36">
      <c r="A610" t="s">
        <v>4346</v>
      </c>
      <c r="B610" t="s">
        <v>4347</v>
      </c>
      <c r="C610" t="s">
        <v>4348</v>
      </c>
      <c r="D610" t="s">
        <v>4349</v>
      </c>
      <c r="E610">
        <v>2013</v>
      </c>
      <c r="F610" t="s">
        <v>4350</v>
      </c>
      <c r="G610">
        <v>37</v>
      </c>
      <c r="J610">
        <v>186</v>
      </c>
      <c r="K610">
        <v>192</v>
      </c>
      <c r="L610">
        <v>6</v>
      </c>
      <c r="M610">
        <v>84</v>
      </c>
      <c r="N610" t="s">
        <v>4351</v>
      </c>
      <c r="O610" t="s">
        <v>4352</v>
      </c>
      <c r="P610" s="22" t="str">
        <f>HYPERLINK(O610)</f>
        <v>https://www.scopus.com/inward/record.uri?eid=2-s2.0-84874726117&amp;doi=10.1016%2fj.tourman.2013.01.013&amp;partnerID=40&amp;md5=484d3a4d827a5801a4b8952480905303</v>
      </c>
      <c r="Q610" t="s">
        <v>156</v>
      </c>
      <c r="R610" t="s">
        <v>48</v>
      </c>
      <c r="T610" t="s">
        <v>6</v>
      </c>
      <c r="U610" t="s">
        <v>4353</v>
      </c>
      <c r="V610" s="36">
        <v>1</v>
      </c>
      <c r="W610" s="27">
        <v>0</v>
      </c>
      <c r="X610" s="27">
        <v>0</v>
      </c>
      <c r="Y610" s="27">
        <v>0</v>
      </c>
      <c r="Z610" s="27">
        <v>0</v>
      </c>
      <c r="AA610" s="27">
        <v>0</v>
      </c>
      <c r="AB610" s="27">
        <v>0</v>
      </c>
      <c r="AC610" s="27">
        <v>0</v>
      </c>
      <c r="AD610" s="27">
        <v>0</v>
      </c>
      <c r="AE610" s="27">
        <v>0</v>
      </c>
      <c r="AF610" s="27">
        <v>0</v>
      </c>
      <c r="AG610" s="27">
        <v>0</v>
      </c>
      <c r="AH610" s="27">
        <v>0</v>
      </c>
      <c r="AJ610">
        <f t="shared" si="9"/>
        <v>1</v>
      </c>
    </row>
    <row r="611" spans="1:36">
      <c r="A611" t="s">
        <v>4354</v>
      </c>
      <c r="B611" t="s">
        <v>4355</v>
      </c>
      <c r="C611" t="s">
        <v>4356</v>
      </c>
      <c r="D611" t="s">
        <v>4357</v>
      </c>
      <c r="E611">
        <v>2016</v>
      </c>
      <c r="F611" t="s">
        <v>4350</v>
      </c>
      <c r="G611">
        <v>52</v>
      </c>
      <c r="J611">
        <v>221</v>
      </c>
      <c r="K611">
        <v>229</v>
      </c>
      <c r="L611">
        <v>8</v>
      </c>
      <c r="M611">
        <v>107</v>
      </c>
      <c r="N611" t="s">
        <v>4358</v>
      </c>
      <c r="O611" t="s">
        <v>4359</v>
      </c>
      <c r="P611" s="22" t="str">
        <f>HYPERLINK(O611)</f>
        <v>https://www.scopus.com/inward/record.uri?eid=2-s2.0-84936870665&amp;doi=10.1016%2fj.tourman.2015.06.021&amp;partnerID=40&amp;md5=e4394b77633a32887afa2afbd968f070</v>
      </c>
      <c r="Q611" t="s">
        <v>156</v>
      </c>
      <c r="R611" t="s">
        <v>48</v>
      </c>
      <c r="T611" t="s">
        <v>6</v>
      </c>
      <c r="U611" t="s">
        <v>4360</v>
      </c>
      <c r="V611" s="36">
        <v>1</v>
      </c>
      <c r="W611" s="27">
        <v>0</v>
      </c>
      <c r="X611" s="27">
        <v>0</v>
      </c>
      <c r="Y611" s="27">
        <v>0</v>
      </c>
      <c r="Z611" s="27">
        <v>0</v>
      </c>
      <c r="AA611" s="27">
        <v>0</v>
      </c>
      <c r="AB611" s="27">
        <v>0</v>
      </c>
      <c r="AC611" s="27">
        <v>0</v>
      </c>
      <c r="AD611" s="27">
        <v>0</v>
      </c>
      <c r="AE611" s="27">
        <v>0</v>
      </c>
      <c r="AF611" s="27">
        <v>0</v>
      </c>
      <c r="AG611" s="27">
        <v>0</v>
      </c>
      <c r="AH611" s="27">
        <v>0</v>
      </c>
      <c r="AJ611">
        <f t="shared" si="9"/>
        <v>1</v>
      </c>
    </row>
    <row r="612" spans="1:36">
      <c r="A612" t="s">
        <v>4361</v>
      </c>
      <c r="B612" t="s">
        <v>4362</v>
      </c>
      <c r="C612">
        <v>56227359000</v>
      </c>
      <c r="D612" t="s">
        <v>4363</v>
      </c>
      <c r="E612">
        <v>2013</v>
      </c>
      <c r="F612" t="s">
        <v>4350</v>
      </c>
      <c r="G612">
        <v>34</v>
      </c>
      <c r="J612">
        <v>1</v>
      </c>
      <c r="K612">
        <v>13</v>
      </c>
      <c r="L612">
        <v>12</v>
      </c>
      <c r="M612">
        <v>448</v>
      </c>
      <c r="N612" t="s">
        <v>4364</v>
      </c>
      <c r="O612" t="s">
        <v>4365</v>
      </c>
      <c r="P612" s="22" t="str">
        <f>HYPERLINK(O612)</f>
        <v>https://www.scopus.com/inward/record.uri?eid=2-s2.0-84867139510&amp;doi=10.1016%2fj.tourman.2012.05.009&amp;partnerID=40&amp;md5=3bb873ce02c0512835e7232450431d9f</v>
      </c>
      <c r="Q612" t="s">
        <v>184</v>
      </c>
      <c r="R612" t="s">
        <v>48</v>
      </c>
      <c r="T612" t="s">
        <v>6</v>
      </c>
      <c r="U612" t="s">
        <v>4366</v>
      </c>
      <c r="V612" s="36">
        <v>0</v>
      </c>
      <c r="W612" s="27">
        <v>1</v>
      </c>
      <c r="X612" s="27">
        <v>0</v>
      </c>
      <c r="Y612" s="27">
        <v>0</v>
      </c>
      <c r="Z612" s="27">
        <v>0</v>
      </c>
      <c r="AA612" s="27">
        <v>0</v>
      </c>
      <c r="AB612" s="27">
        <v>0</v>
      </c>
      <c r="AC612" s="27">
        <v>0</v>
      </c>
      <c r="AD612" s="27">
        <v>0</v>
      </c>
      <c r="AE612" s="27">
        <v>0</v>
      </c>
      <c r="AF612" s="27">
        <v>0</v>
      </c>
      <c r="AG612" s="27">
        <v>0</v>
      </c>
      <c r="AH612" s="27">
        <v>0</v>
      </c>
      <c r="AJ612">
        <f t="shared" si="9"/>
        <v>1</v>
      </c>
    </row>
    <row r="613" spans="1:36">
      <c r="A613" t="s">
        <v>4367</v>
      </c>
      <c r="B613" t="s">
        <v>4368</v>
      </c>
      <c r="C613" t="s">
        <v>4369</v>
      </c>
      <c r="D613" t="s">
        <v>4370</v>
      </c>
      <c r="E613">
        <v>2009</v>
      </c>
      <c r="F613" t="s">
        <v>4350</v>
      </c>
      <c r="G613">
        <v>30</v>
      </c>
      <c r="H613">
        <v>3</v>
      </c>
      <c r="J613">
        <v>441</v>
      </c>
      <c r="K613">
        <v>454</v>
      </c>
      <c r="L613">
        <v>13</v>
      </c>
      <c r="M613">
        <v>92</v>
      </c>
      <c r="N613" t="s">
        <v>4371</v>
      </c>
      <c r="O613" t="s">
        <v>4372</v>
      </c>
      <c r="P613" s="22" t="str">
        <f>HYPERLINK(O613)</f>
        <v>https://www.scopus.com/inward/record.uri?eid=2-s2.0-60949101843&amp;doi=10.1016%2fj.tourman.2008.07.003&amp;partnerID=40&amp;md5=9643051350b97fd16ca10dfbffa3b755</v>
      </c>
      <c r="Q613" t="s">
        <v>156</v>
      </c>
      <c r="R613" t="s">
        <v>48</v>
      </c>
      <c r="T613" t="s">
        <v>6</v>
      </c>
      <c r="U613" t="s">
        <v>4373</v>
      </c>
      <c r="V613" s="36">
        <v>0</v>
      </c>
      <c r="W613" s="27">
        <v>1</v>
      </c>
      <c r="X613" s="27">
        <v>0</v>
      </c>
      <c r="Y613" s="27">
        <v>0</v>
      </c>
      <c r="Z613" s="27">
        <v>0</v>
      </c>
      <c r="AA613" s="27">
        <v>0</v>
      </c>
      <c r="AB613" s="27">
        <v>0</v>
      </c>
      <c r="AC613" s="27">
        <v>0</v>
      </c>
      <c r="AD613" s="27">
        <v>0</v>
      </c>
      <c r="AE613" s="27">
        <v>0</v>
      </c>
      <c r="AF613" s="27">
        <v>0</v>
      </c>
      <c r="AG613" s="27">
        <v>0</v>
      </c>
      <c r="AH613" s="27">
        <v>0</v>
      </c>
      <c r="AJ613">
        <f t="shared" si="9"/>
        <v>1</v>
      </c>
    </row>
    <row r="614" spans="1:36">
      <c r="A614" t="s">
        <v>4374</v>
      </c>
      <c r="B614" t="s">
        <v>4375</v>
      </c>
      <c r="C614" t="s">
        <v>4376</v>
      </c>
      <c r="D614" t="s">
        <v>4377</v>
      </c>
      <c r="E614">
        <v>2020</v>
      </c>
      <c r="F614" t="s">
        <v>4350</v>
      </c>
      <c r="G614">
        <v>78</v>
      </c>
      <c r="I614">
        <v>104033</v>
      </c>
      <c r="M614">
        <v>33</v>
      </c>
      <c r="N614" t="s">
        <v>4378</v>
      </c>
      <c r="O614" t="s">
        <v>4379</v>
      </c>
      <c r="P614" s="22" t="str">
        <f>HYPERLINK(O614)</f>
        <v>https://www.scopus.com/inward/record.uri?eid=2-s2.0-85075012137&amp;doi=10.1016%2fj.tourman.2019.104033&amp;partnerID=40&amp;md5=2a6dd121a3026fc899efb131b43d0b4c</v>
      </c>
      <c r="Q614" t="s">
        <v>156</v>
      </c>
      <c r="R614" t="s">
        <v>48</v>
      </c>
      <c r="S614" t="s">
        <v>172</v>
      </c>
      <c r="T614" t="s">
        <v>6</v>
      </c>
      <c r="U614" t="s">
        <v>4380</v>
      </c>
      <c r="V614" s="36">
        <v>0</v>
      </c>
      <c r="W614" s="27">
        <v>1</v>
      </c>
      <c r="X614" s="27">
        <v>0</v>
      </c>
      <c r="Y614" s="27">
        <v>0</v>
      </c>
      <c r="Z614" s="27">
        <v>0</v>
      </c>
      <c r="AA614" s="27">
        <v>0</v>
      </c>
      <c r="AB614" s="27">
        <v>0</v>
      </c>
      <c r="AC614" s="27">
        <v>0</v>
      </c>
      <c r="AD614" s="27">
        <v>0</v>
      </c>
      <c r="AE614" s="27">
        <v>0</v>
      </c>
      <c r="AF614" s="27">
        <v>0</v>
      </c>
      <c r="AG614" s="27">
        <v>0</v>
      </c>
      <c r="AH614" s="27">
        <v>0</v>
      </c>
      <c r="AJ614">
        <f t="shared" si="9"/>
        <v>1</v>
      </c>
    </row>
    <row r="615" spans="1:36">
      <c r="A615" t="s">
        <v>1004</v>
      </c>
      <c r="B615" t="s">
        <v>1005</v>
      </c>
      <c r="C615" t="s">
        <v>1006</v>
      </c>
      <c r="D615" t="s">
        <v>4381</v>
      </c>
      <c r="E615">
        <v>2011</v>
      </c>
      <c r="F615" t="s">
        <v>4350</v>
      </c>
      <c r="G615">
        <v>32</v>
      </c>
      <c r="H615">
        <v>6</v>
      </c>
      <c r="J615">
        <v>1364</v>
      </c>
      <c r="K615">
        <v>1370</v>
      </c>
      <c r="L615">
        <v>6</v>
      </c>
      <c r="M615">
        <v>343</v>
      </c>
      <c r="N615" t="s">
        <v>4382</v>
      </c>
      <c r="O615" t="s">
        <v>4383</v>
      </c>
      <c r="P615" s="22" t="str">
        <f>HYPERLINK(O615)</f>
        <v>https://www.scopus.com/inward/record.uri?eid=2-s2.0-79960312308&amp;doi=10.1016%2fj.tourman.2011.01.011&amp;partnerID=40&amp;md5=bfb84c2225592e31d83450d262e5f71c</v>
      </c>
      <c r="Q615" t="s">
        <v>156</v>
      </c>
      <c r="R615" t="s">
        <v>48</v>
      </c>
      <c r="S615" t="s">
        <v>164</v>
      </c>
      <c r="T615" t="s">
        <v>6</v>
      </c>
      <c r="U615" t="s">
        <v>4384</v>
      </c>
      <c r="V615" s="36">
        <v>1</v>
      </c>
      <c r="W615" s="27">
        <v>0</v>
      </c>
      <c r="X615" s="27">
        <v>0</v>
      </c>
      <c r="Y615" s="27">
        <v>0</v>
      </c>
      <c r="Z615" s="27">
        <v>0</v>
      </c>
      <c r="AA615" s="27">
        <v>0</v>
      </c>
      <c r="AB615" s="27">
        <v>0</v>
      </c>
      <c r="AC615" s="27">
        <v>0</v>
      </c>
      <c r="AD615" s="27">
        <v>0</v>
      </c>
      <c r="AE615" s="27">
        <v>0</v>
      </c>
      <c r="AF615" s="27">
        <v>0</v>
      </c>
      <c r="AG615" s="27">
        <v>0</v>
      </c>
      <c r="AH615" s="27">
        <v>0</v>
      </c>
      <c r="AJ615">
        <f t="shared" si="9"/>
        <v>1</v>
      </c>
    </row>
    <row r="616" spans="1:36">
      <c r="A616" t="s">
        <v>1004</v>
      </c>
      <c r="B616" t="s">
        <v>1005</v>
      </c>
      <c r="C616" t="s">
        <v>1006</v>
      </c>
      <c r="D616" t="s">
        <v>4385</v>
      </c>
      <c r="E616">
        <v>2013</v>
      </c>
      <c r="F616" t="s">
        <v>4350</v>
      </c>
      <c r="G616">
        <v>36</v>
      </c>
      <c r="J616">
        <v>411</v>
      </c>
      <c r="K616">
        <v>420</v>
      </c>
      <c r="L616">
        <v>9</v>
      </c>
      <c r="M616">
        <v>70</v>
      </c>
      <c r="N616" t="s">
        <v>4386</v>
      </c>
      <c r="O616" t="s">
        <v>4387</v>
      </c>
      <c r="P616" s="22" t="str">
        <f>HYPERLINK(O616)</f>
        <v>https://www.scopus.com/inward/record.uri?eid=2-s2.0-85027949456&amp;doi=10.1016%2fj.tourman.2012.10.002&amp;partnerID=40&amp;md5=be036f0e66f5452552d93cd6c2b76cfd</v>
      </c>
      <c r="Q616" t="s">
        <v>156</v>
      </c>
      <c r="R616" t="s">
        <v>48</v>
      </c>
      <c r="T616" t="s">
        <v>6</v>
      </c>
      <c r="U616" t="s">
        <v>4388</v>
      </c>
      <c r="V616" s="36">
        <v>0</v>
      </c>
      <c r="W616" s="27">
        <v>1</v>
      </c>
      <c r="X616" s="27">
        <v>0</v>
      </c>
      <c r="Y616" s="27">
        <v>0</v>
      </c>
      <c r="Z616" s="27">
        <v>0</v>
      </c>
      <c r="AA616" s="27">
        <v>0</v>
      </c>
      <c r="AB616" s="27">
        <v>0</v>
      </c>
      <c r="AC616" s="27">
        <v>0</v>
      </c>
      <c r="AD616" s="27">
        <v>0</v>
      </c>
      <c r="AE616" s="27">
        <v>0</v>
      </c>
      <c r="AF616" s="27">
        <v>0</v>
      </c>
      <c r="AG616" s="27">
        <v>0</v>
      </c>
      <c r="AH616" s="27">
        <v>0</v>
      </c>
      <c r="AJ616">
        <f t="shared" si="9"/>
        <v>1</v>
      </c>
    </row>
    <row r="617" spans="1:36">
      <c r="A617" t="s">
        <v>4389</v>
      </c>
      <c r="B617" t="s">
        <v>4390</v>
      </c>
      <c r="C617" t="s">
        <v>4391</v>
      </c>
      <c r="D617" t="s">
        <v>4392</v>
      </c>
      <c r="E617">
        <v>2007</v>
      </c>
      <c r="F617" t="s">
        <v>4350</v>
      </c>
      <c r="G617">
        <v>28</v>
      </c>
      <c r="H617">
        <v>2</v>
      </c>
      <c r="J617">
        <v>355</v>
      </c>
      <c r="K617">
        <v>360</v>
      </c>
      <c r="L617">
        <v>5</v>
      </c>
      <c r="M617">
        <v>77</v>
      </c>
      <c r="N617" t="s">
        <v>4393</v>
      </c>
      <c r="O617" t="s">
        <v>4394</v>
      </c>
      <c r="P617" s="22" t="str">
        <f>HYPERLINK(O617)</f>
        <v>https://www.scopus.com/inward/record.uri?eid=2-s2.0-33845548213&amp;doi=10.1016%2fj.tourman.2006.04.016&amp;partnerID=40&amp;md5=56b13f298712c2031280268699bde5c6</v>
      </c>
      <c r="Q617" t="s">
        <v>156</v>
      </c>
      <c r="R617" t="s">
        <v>48</v>
      </c>
      <c r="T617" t="s">
        <v>6</v>
      </c>
      <c r="U617" t="s">
        <v>4395</v>
      </c>
      <c r="V617" s="36">
        <v>1</v>
      </c>
      <c r="W617" s="27">
        <v>0</v>
      </c>
      <c r="X617" s="27">
        <v>0</v>
      </c>
      <c r="Y617" s="27">
        <v>0</v>
      </c>
      <c r="Z617" s="27">
        <v>0</v>
      </c>
      <c r="AA617" s="27">
        <v>0</v>
      </c>
      <c r="AB617" s="27">
        <v>0</v>
      </c>
      <c r="AC617" s="27">
        <v>0</v>
      </c>
      <c r="AD617" s="27">
        <v>0</v>
      </c>
      <c r="AE617" s="27">
        <v>0</v>
      </c>
      <c r="AF617" s="27">
        <v>0</v>
      </c>
      <c r="AG617" s="27">
        <v>0</v>
      </c>
      <c r="AH617" s="27">
        <v>0</v>
      </c>
      <c r="AJ617">
        <f t="shared" si="9"/>
        <v>1</v>
      </c>
    </row>
    <row r="618" spans="1:36">
      <c r="A618" t="s">
        <v>4396</v>
      </c>
      <c r="B618" t="s">
        <v>4397</v>
      </c>
      <c r="C618" t="s">
        <v>4398</v>
      </c>
      <c r="D618" t="s">
        <v>4399</v>
      </c>
      <c r="E618">
        <v>2008</v>
      </c>
      <c r="F618" t="s">
        <v>4350</v>
      </c>
      <c r="G618">
        <v>29</v>
      </c>
      <c r="H618">
        <v>5</v>
      </c>
      <c r="J618">
        <v>831</v>
      </c>
      <c r="K618">
        <v>840</v>
      </c>
      <c r="L618">
        <v>9</v>
      </c>
      <c r="M618">
        <v>493</v>
      </c>
      <c r="N618" t="s">
        <v>4400</v>
      </c>
      <c r="O618" t="s">
        <v>4401</v>
      </c>
      <c r="P618" s="22" t="str">
        <f>HYPERLINK(O618)</f>
        <v>https://www.scopus.com/inward/record.uri?eid=2-s2.0-48849106811&amp;doi=10.1016%2fj.tourman.2007.09.005&amp;partnerID=40&amp;md5=15d9e47c4243ac945fb5d727a0991e54</v>
      </c>
      <c r="Q618" t="s">
        <v>156</v>
      </c>
      <c r="R618" t="s">
        <v>48</v>
      </c>
      <c r="T618" t="s">
        <v>6</v>
      </c>
      <c r="U618" t="s">
        <v>4402</v>
      </c>
      <c r="V618" s="36">
        <v>0</v>
      </c>
      <c r="W618" s="27">
        <v>0</v>
      </c>
      <c r="X618" s="27">
        <v>0</v>
      </c>
      <c r="Y618" s="27">
        <v>0</v>
      </c>
      <c r="Z618" s="27">
        <v>0</v>
      </c>
      <c r="AA618" s="27">
        <v>0</v>
      </c>
      <c r="AB618" s="27">
        <v>0</v>
      </c>
      <c r="AC618" s="27">
        <v>0</v>
      </c>
      <c r="AD618" s="27">
        <v>0</v>
      </c>
      <c r="AE618" s="27">
        <v>0</v>
      </c>
      <c r="AF618" s="27">
        <v>0</v>
      </c>
      <c r="AG618" s="27">
        <v>1</v>
      </c>
      <c r="AH618" s="27">
        <v>0</v>
      </c>
      <c r="AJ618">
        <f t="shared" si="9"/>
        <v>1</v>
      </c>
    </row>
    <row r="619" spans="1:36">
      <c r="A619" t="s">
        <v>4403</v>
      </c>
      <c r="B619" t="s">
        <v>4404</v>
      </c>
      <c r="C619" t="s">
        <v>4405</v>
      </c>
      <c r="D619" t="s">
        <v>4406</v>
      </c>
      <c r="E619">
        <v>2000</v>
      </c>
      <c r="F619" t="s">
        <v>4350</v>
      </c>
      <c r="G619">
        <v>21</v>
      </c>
      <c r="H619">
        <v>3</v>
      </c>
      <c r="J619">
        <v>241</v>
      </c>
      <c r="K619">
        <v>249</v>
      </c>
      <c r="L619">
        <v>8</v>
      </c>
      <c r="M619">
        <v>130</v>
      </c>
      <c r="N619" t="s">
        <v>4407</v>
      </c>
      <c r="O619" t="s">
        <v>4408</v>
      </c>
      <c r="P619" s="22" t="str">
        <f>HYPERLINK(O619)</f>
        <v>https://www.scopus.com/inward/record.uri?eid=2-s2.0-0034128320&amp;doi=10.1016%2fS0261-5177%2899%2900056-4&amp;partnerID=40&amp;md5=2a10b7940f452e250b98d23a42ac6b2b</v>
      </c>
      <c r="Q619" t="s">
        <v>156</v>
      </c>
      <c r="R619" t="s">
        <v>48</v>
      </c>
      <c r="T619" t="s">
        <v>6</v>
      </c>
      <c r="U619" t="s">
        <v>4409</v>
      </c>
      <c r="V619" s="36">
        <v>0</v>
      </c>
      <c r="W619" s="27">
        <v>1</v>
      </c>
      <c r="X619" s="27">
        <v>0</v>
      </c>
      <c r="Y619" s="27">
        <v>0</v>
      </c>
      <c r="Z619" s="27">
        <v>0</v>
      </c>
      <c r="AA619" s="27">
        <v>0</v>
      </c>
      <c r="AB619" s="27">
        <v>0</v>
      </c>
      <c r="AC619" s="27">
        <v>0</v>
      </c>
      <c r="AD619" s="27">
        <v>0</v>
      </c>
      <c r="AE619" s="27">
        <v>0</v>
      </c>
      <c r="AF619" s="27">
        <v>0</v>
      </c>
      <c r="AG619" s="27">
        <v>0</v>
      </c>
      <c r="AH619" s="27">
        <v>0</v>
      </c>
      <c r="AJ619">
        <f t="shared" si="9"/>
        <v>1</v>
      </c>
    </row>
    <row r="620" spans="1:36">
      <c r="A620" t="s">
        <v>4410</v>
      </c>
      <c r="B620" t="s">
        <v>4411</v>
      </c>
      <c r="C620" t="s">
        <v>4412</v>
      </c>
      <c r="D620" t="s">
        <v>4413</v>
      </c>
      <c r="E620">
        <v>2020</v>
      </c>
      <c r="F620" t="s">
        <v>4350</v>
      </c>
      <c r="G620">
        <v>78</v>
      </c>
      <c r="I620">
        <v>104055</v>
      </c>
      <c r="M620">
        <v>10</v>
      </c>
      <c r="N620" t="s">
        <v>4414</v>
      </c>
      <c r="O620" t="s">
        <v>4415</v>
      </c>
      <c r="P620" s="22" t="str">
        <f>HYPERLINK(O620)</f>
        <v>https://www.scopus.com/inward/record.uri?eid=2-s2.0-85075867583&amp;doi=10.1016%2fj.tourman.2019.104055&amp;partnerID=40&amp;md5=4edfacceeac149b32a03b3490a46d59b</v>
      </c>
      <c r="Q620" t="s">
        <v>156</v>
      </c>
      <c r="R620" t="s">
        <v>48</v>
      </c>
      <c r="S620" t="s">
        <v>164</v>
      </c>
      <c r="T620" t="s">
        <v>6</v>
      </c>
      <c r="U620" t="s">
        <v>4416</v>
      </c>
      <c r="V620" s="36">
        <v>1</v>
      </c>
      <c r="W620" s="27">
        <v>0</v>
      </c>
      <c r="X620" s="27">
        <v>0</v>
      </c>
      <c r="Y620" s="27">
        <v>0</v>
      </c>
      <c r="Z620" s="27">
        <v>0</v>
      </c>
      <c r="AA620" s="27">
        <v>0</v>
      </c>
      <c r="AB620" s="27">
        <v>0</v>
      </c>
      <c r="AC620" s="27">
        <v>0</v>
      </c>
      <c r="AD620" s="27">
        <v>0</v>
      </c>
      <c r="AE620" s="27">
        <v>0</v>
      </c>
      <c r="AF620" s="27">
        <v>0</v>
      </c>
      <c r="AG620" s="27">
        <v>0</v>
      </c>
      <c r="AH620" s="27">
        <v>0</v>
      </c>
      <c r="AJ620">
        <f t="shared" si="9"/>
        <v>1</v>
      </c>
    </row>
    <row r="621" spans="1:36">
      <c r="A621" t="s">
        <v>4417</v>
      </c>
      <c r="B621" t="s">
        <v>4418</v>
      </c>
      <c r="C621" t="s">
        <v>4419</v>
      </c>
      <c r="D621" t="s">
        <v>4420</v>
      </c>
      <c r="E621">
        <v>2013</v>
      </c>
      <c r="F621" t="s">
        <v>4350</v>
      </c>
      <c r="G621">
        <v>39</v>
      </c>
      <c r="J621">
        <v>71</v>
      </c>
      <c r="K621">
        <v>83</v>
      </c>
      <c r="L621">
        <v>12</v>
      </c>
      <c r="M621">
        <v>200</v>
      </c>
      <c r="N621" t="s">
        <v>4421</v>
      </c>
      <c r="O621" t="s">
        <v>4422</v>
      </c>
      <c r="P621" s="22" t="str">
        <f>HYPERLINK(O621)</f>
        <v>https://www.scopus.com/inward/record.uri?eid=2-s2.0-84879793222&amp;doi=10.1016%2fj.tourman.2012.10.009&amp;partnerID=40&amp;md5=248197ef07b53726a0027cf22e9ac690</v>
      </c>
      <c r="Q621" t="s">
        <v>156</v>
      </c>
      <c r="R621" t="s">
        <v>48</v>
      </c>
      <c r="S621" t="s">
        <v>164</v>
      </c>
      <c r="T621" t="s">
        <v>6</v>
      </c>
      <c r="U621" t="s">
        <v>4423</v>
      </c>
      <c r="V621" s="36">
        <v>1</v>
      </c>
      <c r="W621" s="27">
        <v>0</v>
      </c>
      <c r="X621" s="27">
        <v>0</v>
      </c>
      <c r="Y621" s="27">
        <v>0</v>
      </c>
      <c r="Z621" s="27">
        <v>0</v>
      </c>
      <c r="AA621" s="27">
        <v>0</v>
      </c>
      <c r="AB621" s="27">
        <v>0</v>
      </c>
      <c r="AC621" s="27">
        <v>0</v>
      </c>
      <c r="AD621" s="27">
        <v>0</v>
      </c>
      <c r="AE621" s="27">
        <v>0</v>
      </c>
      <c r="AF621" s="27">
        <v>0</v>
      </c>
      <c r="AG621" s="27">
        <v>0</v>
      </c>
      <c r="AH621" s="27">
        <v>0</v>
      </c>
      <c r="AJ621">
        <f t="shared" si="9"/>
        <v>1</v>
      </c>
    </row>
    <row r="622" spans="1:36">
      <c r="A622" t="s">
        <v>4424</v>
      </c>
      <c r="B622" t="s">
        <v>4425</v>
      </c>
      <c r="C622" t="s">
        <v>4426</v>
      </c>
      <c r="D622" t="s">
        <v>4427</v>
      </c>
      <c r="E622">
        <v>2012</v>
      </c>
      <c r="F622" t="s">
        <v>4350</v>
      </c>
      <c r="G622">
        <v>33</v>
      </c>
      <c r="H622">
        <v>3</v>
      </c>
      <c r="J622">
        <v>603</v>
      </c>
      <c r="K622">
        <v>610</v>
      </c>
      <c r="L622">
        <v>7</v>
      </c>
      <c r="M622">
        <v>213</v>
      </c>
      <c r="N622" t="s">
        <v>4428</v>
      </c>
      <c r="O622" t="s">
        <v>4429</v>
      </c>
      <c r="P622" s="22" t="str">
        <f>HYPERLINK(O622)</f>
        <v>https://www.scopus.com/inward/record.uri?eid=2-s2.0-84455189004&amp;doi=10.1016%2fj.tourman.2011.06.017&amp;partnerID=40&amp;md5=1f88ab3759a52ec529bd0fbd503c6f0f</v>
      </c>
      <c r="Q622" t="s">
        <v>156</v>
      </c>
      <c r="R622" t="s">
        <v>48</v>
      </c>
      <c r="T622" t="s">
        <v>6</v>
      </c>
      <c r="U622" t="s">
        <v>4430</v>
      </c>
      <c r="V622" s="36">
        <v>0</v>
      </c>
      <c r="W622" s="27">
        <v>0</v>
      </c>
      <c r="X622" s="27">
        <v>0</v>
      </c>
      <c r="Y622" s="27">
        <v>0</v>
      </c>
      <c r="Z622" s="27">
        <v>0</v>
      </c>
      <c r="AA622" s="27">
        <v>0</v>
      </c>
      <c r="AB622" s="27">
        <v>0</v>
      </c>
      <c r="AC622" s="27">
        <v>0</v>
      </c>
      <c r="AD622" s="27">
        <v>0</v>
      </c>
      <c r="AE622" s="27">
        <v>0</v>
      </c>
      <c r="AF622" s="27">
        <v>0</v>
      </c>
      <c r="AG622" s="27">
        <v>1</v>
      </c>
      <c r="AH622" s="27">
        <v>0</v>
      </c>
      <c r="AJ622">
        <f t="shared" si="9"/>
        <v>1</v>
      </c>
    </row>
    <row r="623" spans="1:36">
      <c r="A623" t="s">
        <v>4431</v>
      </c>
      <c r="B623" t="s">
        <v>4432</v>
      </c>
      <c r="C623" t="s">
        <v>4433</v>
      </c>
      <c r="D623" t="s">
        <v>4434</v>
      </c>
      <c r="E623">
        <v>2018</v>
      </c>
      <c r="F623" t="s">
        <v>4350</v>
      </c>
      <c r="G623">
        <v>67</v>
      </c>
      <c r="J623">
        <v>127</v>
      </c>
      <c r="K623">
        <v>138</v>
      </c>
      <c r="L623">
        <v>11</v>
      </c>
      <c r="M623">
        <v>53</v>
      </c>
      <c r="N623" t="s">
        <v>4435</v>
      </c>
      <c r="O623" t="s">
        <v>4436</v>
      </c>
      <c r="P623" s="22" t="str">
        <f>HYPERLINK(O623)</f>
        <v>https://www.scopus.com/inward/record.uri?eid=2-s2.0-85044361709&amp;doi=10.1016%2fj.tourman.2018.01.008&amp;partnerID=40&amp;md5=8fbef8fe1732c61a35ffcaaf1e0a048e</v>
      </c>
      <c r="Q623" t="s">
        <v>156</v>
      </c>
      <c r="R623" t="s">
        <v>48</v>
      </c>
      <c r="T623" t="s">
        <v>6</v>
      </c>
      <c r="U623" t="s">
        <v>4437</v>
      </c>
      <c r="V623" s="36">
        <v>1</v>
      </c>
      <c r="W623" s="27">
        <v>0</v>
      </c>
      <c r="X623" s="27">
        <v>0</v>
      </c>
      <c r="Y623" s="27">
        <v>0</v>
      </c>
      <c r="Z623" s="27">
        <v>0</v>
      </c>
      <c r="AA623" s="27">
        <v>0</v>
      </c>
      <c r="AB623" s="27">
        <v>0</v>
      </c>
      <c r="AC623" s="27">
        <v>0</v>
      </c>
      <c r="AD623" s="27">
        <v>0</v>
      </c>
      <c r="AE623" s="27">
        <v>0</v>
      </c>
      <c r="AF623" s="27">
        <v>0</v>
      </c>
      <c r="AG623" s="27">
        <v>0</v>
      </c>
      <c r="AH623" s="27">
        <v>0</v>
      </c>
      <c r="AJ623">
        <f t="shared" si="9"/>
        <v>1</v>
      </c>
    </row>
    <row r="624" spans="1:36">
      <c r="A624" t="s">
        <v>4438</v>
      </c>
      <c r="B624" t="s">
        <v>4439</v>
      </c>
      <c r="C624" t="s">
        <v>4440</v>
      </c>
      <c r="D624" t="s">
        <v>4441</v>
      </c>
      <c r="E624">
        <v>2018</v>
      </c>
      <c r="F624" t="s">
        <v>4350</v>
      </c>
      <c r="G624">
        <v>66</v>
      </c>
      <c r="J624">
        <v>411</v>
      </c>
      <c r="K624">
        <v>421</v>
      </c>
      <c r="L624">
        <v>10</v>
      </c>
      <c r="M624">
        <v>20</v>
      </c>
      <c r="N624" t="s">
        <v>4442</v>
      </c>
      <c r="O624" t="s">
        <v>4443</v>
      </c>
      <c r="P624" s="22" t="str">
        <f>HYPERLINK(O624)</f>
        <v>https://www.scopus.com/inward/record.uri?eid=2-s2.0-85044386130&amp;doi=10.1016%2fj.tourman.2017.12.008&amp;partnerID=40&amp;md5=cd370243ed3092b583f95799926c9416</v>
      </c>
      <c r="Q624" t="s">
        <v>156</v>
      </c>
      <c r="R624" t="s">
        <v>48</v>
      </c>
      <c r="T624" t="s">
        <v>6</v>
      </c>
      <c r="U624" t="s">
        <v>4444</v>
      </c>
      <c r="V624" s="36">
        <v>0</v>
      </c>
      <c r="W624" s="27">
        <v>1</v>
      </c>
      <c r="X624" s="27">
        <v>0</v>
      </c>
      <c r="Y624" s="27">
        <v>0</v>
      </c>
      <c r="Z624" s="27">
        <v>0</v>
      </c>
      <c r="AA624" s="27">
        <v>0</v>
      </c>
      <c r="AB624" s="27">
        <v>0</v>
      </c>
      <c r="AC624" s="27">
        <v>0</v>
      </c>
      <c r="AD624" s="27">
        <v>0</v>
      </c>
      <c r="AE624" s="27">
        <v>0</v>
      </c>
      <c r="AF624" s="27">
        <v>0</v>
      </c>
      <c r="AG624" s="27">
        <v>0</v>
      </c>
      <c r="AH624" s="27">
        <v>0</v>
      </c>
      <c r="AJ624">
        <f t="shared" si="9"/>
        <v>1</v>
      </c>
    </row>
    <row r="625" spans="1:36">
      <c r="A625" t="s">
        <v>4445</v>
      </c>
      <c r="B625" t="s">
        <v>4446</v>
      </c>
      <c r="C625" t="s">
        <v>4447</v>
      </c>
      <c r="D625" t="s">
        <v>4448</v>
      </c>
      <c r="E625">
        <v>2020</v>
      </c>
      <c r="F625" t="s">
        <v>4350</v>
      </c>
      <c r="G625">
        <v>79</v>
      </c>
      <c r="I625">
        <v>104080</v>
      </c>
      <c r="M625">
        <v>302</v>
      </c>
      <c r="N625" t="s">
        <v>4449</v>
      </c>
      <c r="O625" t="s">
        <v>4450</v>
      </c>
      <c r="P625" s="22" t="str">
        <f>HYPERLINK(O625)</f>
        <v>https://www.scopus.com/inward/record.uri?eid=2-s2.0-85078654306&amp;doi=10.1016%2fj.tourman.2020.104080&amp;partnerID=40&amp;md5=baf84077417c6a974922fbb170bbd383</v>
      </c>
      <c r="Q625" t="s">
        <v>156</v>
      </c>
      <c r="R625" t="s">
        <v>48</v>
      </c>
      <c r="S625" t="s">
        <v>164</v>
      </c>
      <c r="T625" t="s">
        <v>6</v>
      </c>
      <c r="U625" t="s">
        <v>4451</v>
      </c>
      <c r="V625" s="36">
        <v>0</v>
      </c>
      <c r="W625" s="27">
        <v>0</v>
      </c>
      <c r="X625" s="27">
        <v>0</v>
      </c>
      <c r="Y625" s="27">
        <v>0</v>
      </c>
      <c r="Z625" s="27">
        <v>1</v>
      </c>
      <c r="AA625" s="27">
        <v>0</v>
      </c>
      <c r="AB625" s="27">
        <v>0</v>
      </c>
      <c r="AC625" s="27">
        <v>0</v>
      </c>
      <c r="AD625" s="27">
        <v>0</v>
      </c>
      <c r="AE625" s="27">
        <v>0</v>
      </c>
      <c r="AF625" s="27">
        <v>0</v>
      </c>
      <c r="AG625" s="27">
        <v>0</v>
      </c>
      <c r="AH625" s="27">
        <v>0</v>
      </c>
      <c r="AJ625">
        <f t="shared" si="9"/>
        <v>1</v>
      </c>
    </row>
    <row r="626" spans="1:36">
      <c r="A626" t="s">
        <v>4452</v>
      </c>
      <c r="B626" t="s">
        <v>4453</v>
      </c>
      <c r="C626">
        <v>55917272700</v>
      </c>
      <c r="D626" t="s">
        <v>4454</v>
      </c>
      <c r="E626">
        <v>2013</v>
      </c>
      <c r="F626" t="s">
        <v>4455</v>
      </c>
      <c r="G626">
        <v>6</v>
      </c>
      <c r="J626">
        <v>53</v>
      </c>
      <c r="K626">
        <v>62</v>
      </c>
      <c r="L626">
        <v>9</v>
      </c>
      <c r="M626">
        <v>167</v>
      </c>
      <c r="N626" t="s">
        <v>4456</v>
      </c>
      <c r="O626" t="s">
        <v>4457</v>
      </c>
      <c r="P626" s="22" t="str">
        <f>HYPERLINK(O626)</f>
        <v>https://www.scopus.com/inward/record.uri?eid=2-s2.0-84872402639&amp;doi=10.1016%2fj.tmp.2012.11.006&amp;partnerID=40&amp;md5=1765cb42c75a7110f3a4f2d8c3942fee</v>
      </c>
      <c r="Q626" t="s">
        <v>156</v>
      </c>
      <c r="R626" t="s">
        <v>48</v>
      </c>
      <c r="T626" t="s">
        <v>6</v>
      </c>
      <c r="U626" t="s">
        <v>4458</v>
      </c>
      <c r="V626" s="36">
        <v>0</v>
      </c>
      <c r="W626" s="27">
        <v>1</v>
      </c>
      <c r="X626" s="27">
        <v>0</v>
      </c>
      <c r="Y626" s="27">
        <v>0</v>
      </c>
      <c r="Z626" s="27">
        <v>0</v>
      </c>
      <c r="AA626" s="27">
        <v>0</v>
      </c>
      <c r="AB626" s="27">
        <v>0</v>
      </c>
      <c r="AC626" s="27">
        <v>0</v>
      </c>
      <c r="AD626" s="27">
        <v>0</v>
      </c>
      <c r="AE626" s="27">
        <v>0</v>
      </c>
      <c r="AF626" s="27">
        <v>0</v>
      </c>
      <c r="AG626" s="27">
        <v>0</v>
      </c>
      <c r="AH626" s="27">
        <v>0</v>
      </c>
      <c r="AJ626">
        <f t="shared" si="9"/>
        <v>1</v>
      </c>
    </row>
    <row r="627" spans="1:36">
      <c r="A627" t="s">
        <v>4459</v>
      </c>
      <c r="B627" t="s">
        <v>4460</v>
      </c>
      <c r="C627" t="s">
        <v>4461</v>
      </c>
      <c r="D627" t="s">
        <v>4462</v>
      </c>
      <c r="E627">
        <v>2020</v>
      </c>
      <c r="F627" t="s">
        <v>4455</v>
      </c>
      <c r="G627">
        <v>33</v>
      </c>
      <c r="I627">
        <v>100614</v>
      </c>
      <c r="M627">
        <v>22</v>
      </c>
      <c r="N627" t="s">
        <v>4463</v>
      </c>
      <c r="O627" t="s">
        <v>4464</v>
      </c>
      <c r="P627" s="22" t="str">
        <f>HYPERLINK(O627)</f>
        <v>https://www.scopus.com/inward/record.uri?eid=2-s2.0-85075129842&amp;doi=10.1016%2fj.tmp.2019.100614&amp;partnerID=40&amp;md5=beb3fce0c2d65915f936f3f30594d663</v>
      </c>
      <c r="Q627" t="s">
        <v>156</v>
      </c>
      <c r="R627" t="s">
        <v>48</v>
      </c>
      <c r="T627" t="s">
        <v>6</v>
      </c>
      <c r="U627" t="s">
        <v>4465</v>
      </c>
      <c r="V627" s="36">
        <v>0</v>
      </c>
      <c r="W627" s="27">
        <v>0</v>
      </c>
      <c r="X627" s="27">
        <v>0</v>
      </c>
      <c r="Y627" s="27">
        <v>0</v>
      </c>
      <c r="Z627" s="27">
        <v>0</v>
      </c>
      <c r="AA627" s="27">
        <v>0</v>
      </c>
      <c r="AB627" s="27">
        <v>0</v>
      </c>
      <c r="AC627" s="27">
        <v>0</v>
      </c>
      <c r="AD627" s="27">
        <v>0</v>
      </c>
      <c r="AE627" s="27">
        <v>0</v>
      </c>
      <c r="AF627" s="27">
        <v>0</v>
      </c>
      <c r="AG627" s="27">
        <v>0</v>
      </c>
      <c r="AH627" s="27">
        <v>0</v>
      </c>
      <c r="AJ627">
        <f t="shared" si="9"/>
        <v>0</v>
      </c>
    </row>
    <row r="628" spans="1:36">
      <c r="A628" t="s">
        <v>1004</v>
      </c>
      <c r="B628" t="s">
        <v>1005</v>
      </c>
      <c r="C628" t="s">
        <v>1006</v>
      </c>
      <c r="D628" t="s">
        <v>4466</v>
      </c>
      <c r="E628">
        <v>2022</v>
      </c>
      <c r="F628" t="s">
        <v>4455</v>
      </c>
      <c r="G628">
        <v>43</v>
      </c>
      <c r="I628">
        <v>101002</v>
      </c>
      <c r="M628">
        <v>9</v>
      </c>
      <c r="N628" t="s">
        <v>4467</v>
      </c>
      <c r="O628" t="s">
        <v>4468</v>
      </c>
      <c r="P628" s="22" t="str">
        <f>HYPERLINK(O628)</f>
        <v>https://www.scopus.com/inward/record.uri?eid=2-s2.0-85136561606&amp;doi=10.1016%2fj.tmp.2022.101002&amp;partnerID=40&amp;md5=29cd2413f88f787548fdfa78d6047ac0</v>
      </c>
      <c r="Q628" t="s">
        <v>156</v>
      </c>
      <c r="R628" t="s">
        <v>48</v>
      </c>
      <c r="T628" t="s">
        <v>6</v>
      </c>
      <c r="U628" t="s">
        <v>4469</v>
      </c>
      <c r="V628" s="36">
        <v>1</v>
      </c>
      <c r="W628" s="27">
        <v>0</v>
      </c>
      <c r="X628" s="27">
        <v>0</v>
      </c>
      <c r="Y628" s="27">
        <v>0</v>
      </c>
      <c r="Z628" s="27">
        <v>0</v>
      </c>
      <c r="AA628" s="27">
        <v>0</v>
      </c>
      <c r="AB628" s="27">
        <v>0</v>
      </c>
      <c r="AC628" s="27">
        <v>0</v>
      </c>
      <c r="AD628" s="27">
        <v>0</v>
      </c>
      <c r="AE628" s="27">
        <v>0</v>
      </c>
      <c r="AF628" s="27">
        <v>0</v>
      </c>
      <c r="AG628" s="27">
        <v>0</v>
      </c>
      <c r="AH628" s="27">
        <v>0</v>
      </c>
      <c r="AJ628">
        <f t="shared" si="9"/>
        <v>1</v>
      </c>
    </row>
    <row r="629" spans="1:36">
      <c r="A629" t="s">
        <v>4470</v>
      </c>
      <c r="B629" t="s">
        <v>4471</v>
      </c>
      <c r="C629" t="s">
        <v>4472</v>
      </c>
      <c r="D629" t="s">
        <v>4473</v>
      </c>
      <c r="E629">
        <v>2019</v>
      </c>
      <c r="F629" t="s">
        <v>4455</v>
      </c>
      <c r="G629">
        <v>32</v>
      </c>
      <c r="I629">
        <v>100576</v>
      </c>
      <c r="M629">
        <v>117</v>
      </c>
      <c r="N629" t="s">
        <v>4474</v>
      </c>
      <c r="O629" t="s">
        <v>4475</v>
      </c>
      <c r="P629" s="22" t="str">
        <f>HYPERLINK(O629)</f>
        <v>https://www.scopus.com/inward/record.uri?eid=2-s2.0-85072220570&amp;doi=10.1016%2fj.tmp.2019.100576&amp;partnerID=40&amp;md5=603a8328ddc57196fd87ac26f0bc653a</v>
      </c>
      <c r="Q629" t="s">
        <v>156</v>
      </c>
      <c r="R629" t="s">
        <v>48</v>
      </c>
      <c r="S629" t="s">
        <v>164</v>
      </c>
      <c r="T629" t="s">
        <v>6</v>
      </c>
      <c r="U629" t="s">
        <v>4476</v>
      </c>
      <c r="V629" s="36">
        <v>1</v>
      </c>
      <c r="W629" s="27">
        <v>0</v>
      </c>
      <c r="X629" s="27">
        <v>0</v>
      </c>
      <c r="Y629" s="27">
        <v>0</v>
      </c>
      <c r="Z629" s="27">
        <v>0</v>
      </c>
      <c r="AA629" s="27">
        <v>0</v>
      </c>
      <c r="AB629" s="27">
        <v>0</v>
      </c>
      <c r="AC629" s="27">
        <v>0</v>
      </c>
      <c r="AD629" s="27">
        <v>0</v>
      </c>
      <c r="AE629" s="27">
        <v>0</v>
      </c>
      <c r="AF629" s="27">
        <v>0</v>
      </c>
      <c r="AG629" s="27">
        <v>0</v>
      </c>
      <c r="AH629" s="27">
        <v>1</v>
      </c>
      <c r="AJ629">
        <f t="shared" si="9"/>
        <v>2</v>
      </c>
    </row>
    <row r="630" spans="1:36">
      <c r="A630" t="s">
        <v>2197</v>
      </c>
      <c r="B630" t="s">
        <v>2198</v>
      </c>
      <c r="C630">
        <v>57205703173</v>
      </c>
      <c r="D630" t="s">
        <v>4477</v>
      </c>
      <c r="E630">
        <v>2016</v>
      </c>
      <c r="F630" t="s">
        <v>4455</v>
      </c>
      <c r="G630">
        <v>20</v>
      </c>
      <c r="J630">
        <v>1</v>
      </c>
      <c r="K630">
        <v>9</v>
      </c>
      <c r="L630">
        <v>8</v>
      </c>
      <c r="M630">
        <v>36</v>
      </c>
      <c r="N630" t="s">
        <v>4478</v>
      </c>
      <c r="O630" t="s">
        <v>4479</v>
      </c>
      <c r="P630" s="22" t="str">
        <f>HYPERLINK(O630)</f>
        <v>https://www.scopus.com/inward/record.uri?eid=2-s2.0-84977559249&amp;doi=10.1016%2fj.tmp.2016.06.003&amp;partnerID=40&amp;md5=a2de216c7b44f896bc73203817f63fe4</v>
      </c>
      <c r="Q630" t="s">
        <v>156</v>
      </c>
      <c r="R630" t="s">
        <v>48</v>
      </c>
      <c r="T630" t="s">
        <v>6</v>
      </c>
      <c r="U630" t="s">
        <v>4480</v>
      </c>
      <c r="V630" s="36">
        <v>1</v>
      </c>
      <c r="W630" s="27">
        <v>0</v>
      </c>
      <c r="X630" s="27">
        <v>0</v>
      </c>
      <c r="Y630" s="27">
        <v>0</v>
      </c>
      <c r="Z630" s="27">
        <v>0</v>
      </c>
      <c r="AA630" s="27">
        <v>0</v>
      </c>
      <c r="AB630" s="27">
        <v>0</v>
      </c>
      <c r="AC630" s="27">
        <v>0</v>
      </c>
      <c r="AD630" s="27">
        <v>0</v>
      </c>
      <c r="AE630" s="27">
        <v>0</v>
      </c>
      <c r="AF630" s="27">
        <v>0</v>
      </c>
      <c r="AG630" s="27">
        <v>0</v>
      </c>
      <c r="AH630" s="27">
        <v>0</v>
      </c>
      <c r="AJ630">
        <f t="shared" si="9"/>
        <v>1</v>
      </c>
    </row>
    <row r="631" spans="1:36">
      <c r="A631" t="s">
        <v>4481</v>
      </c>
      <c r="B631" t="s">
        <v>4482</v>
      </c>
      <c r="C631">
        <v>57195060645</v>
      </c>
      <c r="D631" t="s">
        <v>4483</v>
      </c>
      <c r="E631">
        <v>2021</v>
      </c>
      <c r="F631" t="s">
        <v>4484</v>
      </c>
      <c r="G631">
        <v>18</v>
      </c>
      <c r="H631">
        <v>6</v>
      </c>
      <c r="J631">
        <v>699</v>
      </c>
      <c r="K631">
        <v>708</v>
      </c>
      <c r="L631">
        <v>9</v>
      </c>
      <c r="M631">
        <v>13</v>
      </c>
      <c r="N631" t="s">
        <v>4485</v>
      </c>
      <c r="O631" t="s">
        <v>4486</v>
      </c>
      <c r="P631" s="22" t="str">
        <f>HYPERLINK(O631)</f>
        <v>https://www.scopus.com/inward/record.uri?eid=2-s2.0-85101902977&amp;doi=10.1080%2f21568316.2021.1887346&amp;partnerID=40&amp;md5=b4a1c87a48a2bd2cd8338ab2dd957634</v>
      </c>
      <c r="Q631" t="s">
        <v>425</v>
      </c>
      <c r="R631" t="s">
        <v>48</v>
      </c>
      <c r="T631" t="s">
        <v>6</v>
      </c>
      <c r="U631" t="s">
        <v>4487</v>
      </c>
      <c r="V631" s="36">
        <v>1</v>
      </c>
      <c r="W631" s="27">
        <v>0</v>
      </c>
      <c r="X631" s="27">
        <v>0</v>
      </c>
      <c r="Y631" s="27">
        <v>0</v>
      </c>
      <c r="Z631" s="27">
        <v>0</v>
      </c>
      <c r="AA631" s="27">
        <v>0</v>
      </c>
      <c r="AB631" s="27">
        <v>0</v>
      </c>
      <c r="AC631" s="27">
        <v>0</v>
      </c>
      <c r="AD631" s="27">
        <v>0</v>
      </c>
      <c r="AE631" s="27">
        <v>0</v>
      </c>
      <c r="AF631" s="27">
        <v>0</v>
      </c>
      <c r="AG631" s="27">
        <v>0</v>
      </c>
      <c r="AH631" s="27">
        <v>0</v>
      </c>
      <c r="AJ631">
        <f t="shared" si="9"/>
        <v>1</v>
      </c>
    </row>
    <row r="632" spans="1:36">
      <c r="A632" t="s">
        <v>1110</v>
      </c>
      <c r="B632" t="s">
        <v>1111</v>
      </c>
      <c r="C632" t="s">
        <v>1112</v>
      </c>
      <c r="D632" t="s">
        <v>4488</v>
      </c>
      <c r="E632">
        <v>2023</v>
      </c>
      <c r="F632" t="s">
        <v>4489</v>
      </c>
      <c r="G632">
        <v>48</v>
      </c>
      <c r="H632">
        <v>1</v>
      </c>
      <c r="J632">
        <v>60</v>
      </c>
      <c r="K632">
        <v>78</v>
      </c>
      <c r="L632">
        <v>18</v>
      </c>
      <c r="M632">
        <v>11</v>
      </c>
      <c r="N632" t="s">
        <v>4490</v>
      </c>
      <c r="O632" t="s">
        <v>4491</v>
      </c>
      <c r="P632" s="22" t="str">
        <f>HYPERLINK(O632)</f>
        <v>https://www.scopus.com/inward/record.uri?eid=2-s2.0-85102196990&amp;doi=10.1080%2f02508281.2021.1891740&amp;partnerID=40&amp;md5=cdb44873a11a65b4510e87e52da1cd18</v>
      </c>
      <c r="Q632" t="s">
        <v>156</v>
      </c>
      <c r="R632" t="s">
        <v>48</v>
      </c>
      <c r="T632" t="s">
        <v>6</v>
      </c>
      <c r="U632" t="s">
        <v>4492</v>
      </c>
      <c r="V632" s="36">
        <v>1</v>
      </c>
      <c r="W632" s="27">
        <v>0</v>
      </c>
      <c r="X632" s="27">
        <v>0</v>
      </c>
      <c r="Y632" s="27">
        <v>0</v>
      </c>
      <c r="Z632" s="27">
        <v>0</v>
      </c>
      <c r="AA632" s="27">
        <v>0</v>
      </c>
      <c r="AB632" s="27">
        <v>0</v>
      </c>
      <c r="AC632" s="27">
        <v>0</v>
      </c>
      <c r="AD632" s="27">
        <v>0</v>
      </c>
      <c r="AE632" s="27">
        <v>0</v>
      </c>
      <c r="AF632" s="27">
        <v>0</v>
      </c>
      <c r="AG632" s="27">
        <v>0</v>
      </c>
      <c r="AH632" s="27">
        <v>0</v>
      </c>
      <c r="AJ632">
        <f t="shared" si="9"/>
        <v>1</v>
      </c>
    </row>
    <row r="633" spans="1:36">
      <c r="A633" t="s">
        <v>4493</v>
      </c>
      <c r="B633" t="s">
        <v>4494</v>
      </c>
      <c r="C633" t="s">
        <v>4495</v>
      </c>
      <c r="D633" t="s">
        <v>4496</v>
      </c>
      <c r="E633">
        <v>2020</v>
      </c>
      <c r="F633" t="s">
        <v>4497</v>
      </c>
      <c r="G633">
        <v>75</v>
      </c>
      <c r="H633">
        <v>2</v>
      </c>
      <c r="J633">
        <v>433</v>
      </c>
      <c r="K633">
        <v>447</v>
      </c>
      <c r="L633">
        <v>14</v>
      </c>
      <c r="M633">
        <v>27</v>
      </c>
      <c r="N633" t="s">
        <v>4498</v>
      </c>
      <c r="O633" t="s">
        <v>4499</v>
      </c>
      <c r="P633" s="22" t="str">
        <f>HYPERLINK(O633)</f>
        <v>https://www.scopus.com/inward/record.uri?eid=2-s2.0-85076183592&amp;doi=10.1108%2fTR-05-2019-0147&amp;partnerID=40&amp;md5=2a7970bc37821a5f79a680c8a80544fe</v>
      </c>
      <c r="Q633" t="s">
        <v>156</v>
      </c>
      <c r="R633" t="s">
        <v>48</v>
      </c>
      <c r="T633" t="s">
        <v>6</v>
      </c>
      <c r="U633" t="s">
        <v>4500</v>
      </c>
      <c r="V633" s="36">
        <v>0</v>
      </c>
      <c r="W633" s="27">
        <v>0</v>
      </c>
      <c r="X633" s="27">
        <v>0</v>
      </c>
      <c r="Y633" s="27">
        <v>0</v>
      </c>
      <c r="Z633" s="27">
        <v>0</v>
      </c>
      <c r="AA633" s="27">
        <v>0</v>
      </c>
      <c r="AB633" s="27">
        <v>0</v>
      </c>
      <c r="AC633" s="27">
        <v>0</v>
      </c>
      <c r="AD633" s="27">
        <v>0</v>
      </c>
      <c r="AE633" s="27">
        <v>0</v>
      </c>
      <c r="AF633" s="27">
        <v>1</v>
      </c>
      <c r="AG633" s="27">
        <v>0</v>
      </c>
      <c r="AH633" s="27">
        <v>0</v>
      </c>
      <c r="AJ633">
        <f t="shared" si="9"/>
        <v>1</v>
      </c>
    </row>
    <row r="634" spans="1:36">
      <c r="A634" t="s">
        <v>4501</v>
      </c>
      <c r="B634" t="s">
        <v>4502</v>
      </c>
      <c r="C634" t="s">
        <v>4503</v>
      </c>
      <c r="D634" t="s">
        <v>4504</v>
      </c>
      <c r="E634">
        <v>2020</v>
      </c>
      <c r="F634" t="s">
        <v>4505</v>
      </c>
      <c r="G634">
        <v>24</v>
      </c>
      <c r="H634">
        <v>4</v>
      </c>
      <c r="J634">
        <v>251</v>
      </c>
      <c r="K634">
        <v>255</v>
      </c>
      <c r="L634">
        <v>4</v>
      </c>
      <c r="M634">
        <v>3</v>
      </c>
      <c r="O634" t="s">
        <v>4506</v>
      </c>
      <c r="P634" s="22" t="str">
        <f>HYPERLINK(O634)</f>
        <v>https://www.scopus.com/inward/record.uri?eid=2-s2.0-85101114116&amp;partnerID=40&amp;md5=4eb81e76742e4df37705519c2ed7c3b9</v>
      </c>
      <c r="Q634" t="s">
        <v>156</v>
      </c>
      <c r="R634" t="s">
        <v>48</v>
      </c>
      <c r="T634" t="s">
        <v>6</v>
      </c>
      <c r="U634" t="s">
        <v>4507</v>
      </c>
      <c r="V634" s="36">
        <v>1</v>
      </c>
      <c r="W634" s="27">
        <v>0</v>
      </c>
      <c r="X634" s="27">
        <v>0</v>
      </c>
      <c r="Y634" s="27">
        <v>0</v>
      </c>
      <c r="Z634" s="27">
        <v>0</v>
      </c>
      <c r="AA634" s="27">
        <v>0</v>
      </c>
      <c r="AB634" s="27">
        <v>0</v>
      </c>
      <c r="AC634" s="27">
        <v>0</v>
      </c>
      <c r="AD634" s="27">
        <v>0</v>
      </c>
      <c r="AE634" s="27">
        <v>0</v>
      </c>
      <c r="AF634" s="27">
        <v>0</v>
      </c>
      <c r="AG634" s="27">
        <v>0</v>
      </c>
      <c r="AH634" s="27">
        <v>0</v>
      </c>
      <c r="AJ634">
        <f t="shared" si="9"/>
        <v>1</v>
      </c>
    </row>
    <row r="635" spans="1:36">
      <c r="A635" t="s">
        <v>2197</v>
      </c>
      <c r="B635" t="s">
        <v>2198</v>
      </c>
      <c r="C635">
        <v>57205703173</v>
      </c>
      <c r="D635" t="s">
        <v>4508</v>
      </c>
      <c r="E635">
        <v>2019</v>
      </c>
      <c r="F635" t="s">
        <v>4509</v>
      </c>
      <c r="G635">
        <v>19</v>
      </c>
      <c r="H635">
        <v>3</v>
      </c>
      <c r="J635">
        <v>209</v>
      </c>
      <c r="K635">
        <v>214</v>
      </c>
      <c r="L635">
        <v>5</v>
      </c>
      <c r="M635">
        <v>5</v>
      </c>
      <c r="N635" t="s">
        <v>4510</v>
      </c>
      <c r="O635" t="s">
        <v>4511</v>
      </c>
      <c r="P635" s="22" t="str">
        <f>HYPERLINK(O635)</f>
        <v>https://www.scopus.com/inward/record.uri?eid=2-s2.0-85072755981&amp;doi=10.3727%2f194341419X15554157596128&amp;partnerID=40&amp;md5=ef0b034cbfaf6690709283533cfdd7fe</v>
      </c>
      <c r="Q635" t="s">
        <v>156</v>
      </c>
      <c r="R635" t="s">
        <v>48</v>
      </c>
      <c r="S635" t="s">
        <v>164</v>
      </c>
      <c r="T635" t="s">
        <v>6</v>
      </c>
      <c r="U635" t="s">
        <v>4512</v>
      </c>
      <c r="V635" s="36">
        <v>0</v>
      </c>
      <c r="W635" s="27">
        <v>0</v>
      </c>
      <c r="X635" s="27">
        <v>0</v>
      </c>
      <c r="Y635" s="27">
        <v>0</v>
      </c>
      <c r="Z635" s="27">
        <v>0</v>
      </c>
      <c r="AA635" s="27">
        <v>0</v>
      </c>
      <c r="AB635" s="27">
        <v>0</v>
      </c>
      <c r="AC635" s="27">
        <v>0</v>
      </c>
      <c r="AD635" s="27">
        <v>0</v>
      </c>
      <c r="AE635" s="27">
        <v>0</v>
      </c>
      <c r="AF635" s="27">
        <v>1</v>
      </c>
      <c r="AG635" s="27">
        <v>0</v>
      </c>
      <c r="AH635" s="27">
        <v>0</v>
      </c>
      <c r="AJ635">
        <f t="shared" si="9"/>
        <v>1</v>
      </c>
    </row>
    <row r="636" spans="1:36">
      <c r="A636" t="s">
        <v>4513</v>
      </c>
      <c r="B636" t="s">
        <v>4514</v>
      </c>
      <c r="C636" t="s">
        <v>4515</v>
      </c>
      <c r="D636" t="s">
        <v>4516</v>
      </c>
      <c r="E636">
        <v>2021</v>
      </c>
      <c r="F636" t="s">
        <v>4517</v>
      </c>
      <c r="J636">
        <v>245</v>
      </c>
      <c r="K636">
        <v>262</v>
      </c>
      <c r="L636">
        <v>17</v>
      </c>
      <c r="M636">
        <v>11</v>
      </c>
      <c r="N636" t="s">
        <v>4518</v>
      </c>
      <c r="O636" t="s">
        <v>4519</v>
      </c>
      <c r="P636" s="22" t="str">
        <f>HYPERLINK(O636)</f>
        <v>https://www.scopus.com/inward/record.uri?eid=2-s2.0-85105717432&amp;doi=10.1007%2f978-3-030-70171-0_15&amp;partnerID=40&amp;md5=8ea139cf32ba97c264630208823c243a</v>
      </c>
      <c r="Q636" t="s">
        <v>216</v>
      </c>
      <c r="R636" t="s">
        <v>48</v>
      </c>
      <c r="T636" t="s">
        <v>6</v>
      </c>
      <c r="U636" t="s">
        <v>4520</v>
      </c>
      <c r="V636" s="36">
        <v>1</v>
      </c>
      <c r="W636" s="27">
        <v>0</v>
      </c>
      <c r="X636" s="27">
        <v>0</v>
      </c>
      <c r="Y636" s="27">
        <v>0</v>
      </c>
      <c r="Z636" s="27">
        <v>0</v>
      </c>
      <c r="AA636" s="27">
        <v>0</v>
      </c>
      <c r="AB636" s="27">
        <v>0</v>
      </c>
      <c r="AC636" s="27">
        <v>0</v>
      </c>
      <c r="AD636" s="27">
        <v>0</v>
      </c>
      <c r="AE636" s="27">
        <v>0</v>
      </c>
      <c r="AF636" s="27">
        <v>0</v>
      </c>
      <c r="AG636" s="27">
        <v>0</v>
      </c>
      <c r="AH636" s="27">
        <v>0</v>
      </c>
      <c r="AJ636">
        <f t="shared" si="9"/>
        <v>1</v>
      </c>
    </row>
    <row r="637" spans="1:36">
      <c r="A637" t="s">
        <v>4521</v>
      </c>
      <c r="B637" t="s">
        <v>4522</v>
      </c>
      <c r="C637" t="s">
        <v>4523</v>
      </c>
      <c r="D637" t="s">
        <v>4524</v>
      </c>
      <c r="E637">
        <v>2009</v>
      </c>
      <c r="F637" t="s">
        <v>4525</v>
      </c>
      <c r="G637">
        <v>4</v>
      </c>
      <c r="H637">
        <v>4</v>
      </c>
      <c r="J637">
        <v>215</v>
      </c>
      <c r="K637">
        <v>240</v>
      </c>
      <c r="L637">
        <v>25</v>
      </c>
      <c r="M637">
        <v>79</v>
      </c>
      <c r="O637" t="s">
        <v>4526</v>
      </c>
      <c r="P637" s="22" t="str">
        <f>HYPERLINK(O637)</f>
        <v>https://www.scopus.com/inward/record.uri?eid=2-s2.0-78651517545&amp;partnerID=40&amp;md5=01b50466432fab1beb517d94497c8dc8</v>
      </c>
      <c r="Q637" t="s">
        <v>156</v>
      </c>
      <c r="R637" t="s">
        <v>48</v>
      </c>
      <c r="T637" t="s">
        <v>6</v>
      </c>
      <c r="U637" t="s">
        <v>4527</v>
      </c>
      <c r="V637" s="36">
        <v>0</v>
      </c>
      <c r="W637" s="27">
        <v>1</v>
      </c>
      <c r="X637" s="27">
        <v>0</v>
      </c>
      <c r="Y637" s="27">
        <v>0</v>
      </c>
      <c r="Z637" s="27">
        <v>0</v>
      </c>
      <c r="AA637" s="27">
        <v>0</v>
      </c>
      <c r="AB637" s="27">
        <v>0</v>
      </c>
      <c r="AC637" s="27">
        <v>0</v>
      </c>
      <c r="AD637" s="27">
        <v>0</v>
      </c>
      <c r="AE637" s="27">
        <v>0</v>
      </c>
      <c r="AF637" s="27">
        <v>0</v>
      </c>
      <c r="AG637" s="27">
        <v>0</v>
      </c>
      <c r="AH637" s="27">
        <v>0</v>
      </c>
      <c r="AJ637">
        <f t="shared" si="9"/>
        <v>1</v>
      </c>
    </row>
    <row r="638" spans="1:36">
      <c r="A638" t="s">
        <v>4528</v>
      </c>
      <c r="B638" t="s">
        <v>4529</v>
      </c>
      <c r="C638" t="s">
        <v>4530</v>
      </c>
      <c r="D638" t="s">
        <v>4531</v>
      </c>
      <c r="E638">
        <v>2016</v>
      </c>
      <c r="F638" t="s">
        <v>4525</v>
      </c>
      <c r="G638">
        <v>11</v>
      </c>
      <c r="H638">
        <v>2</v>
      </c>
      <c r="J638">
        <v>202</v>
      </c>
      <c r="K638">
        <v>224</v>
      </c>
      <c r="L638">
        <v>22</v>
      </c>
      <c r="M638">
        <v>3</v>
      </c>
      <c r="O638" t="s">
        <v>4532</v>
      </c>
      <c r="P638" s="22" t="str">
        <f>HYPERLINK(O638)</f>
        <v>https://www.scopus.com/inward/record.uri?eid=2-s2.0-85026490671&amp;partnerID=40&amp;md5=65e64a3463fff747d0cef88b681d62e1</v>
      </c>
      <c r="Q638" t="s">
        <v>156</v>
      </c>
      <c r="R638" t="s">
        <v>48</v>
      </c>
      <c r="T638" t="s">
        <v>6</v>
      </c>
      <c r="U638" t="s">
        <v>4533</v>
      </c>
      <c r="V638" s="36">
        <v>1</v>
      </c>
      <c r="W638" s="27">
        <v>0</v>
      </c>
      <c r="X638" s="27">
        <v>0</v>
      </c>
      <c r="Y638" s="27">
        <v>0</v>
      </c>
      <c r="Z638" s="27">
        <v>0</v>
      </c>
      <c r="AA638" s="27">
        <v>0</v>
      </c>
      <c r="AB638" s="27">
        <v>0</v>
      </c>
      <c r="AC638" s="27">
        <v>0</v>
      </c>
      <c r="AD638" s="27">
        <v>0</v>
      </c>
      <c r="AE638" s="27">
        <v>0</v>
      </c>
      <c r="AF638" s="27">
        <v>0</v>
      </c>
      <c r="AG638" s="27">
        <v>0</v>
      </c>
      <c r="AH638" s="27">
        <v>0</v>
      </c>
      <c r="AJ638">
        <f t="shared" si="9"/>
        <v>1</v>
      </c>
    </row>
    <row r="639" spans="1:36">
      <c r="A639" t="s">
        <v>4534</v>
      </c>
      <c r="B639" t="s">
        <v>4535</v>
      </c>
      <c r="C639" t="s">
        <v>4536</v>
      </c>
      <c r="D639" t="s">
        <v>4537</v>
      </c>
      <c r="E639">
        <v>2005</v>
      </c>
      <c r="F639" t="s">
        <v>4538</v>
      </c>
      <c r="G639">
        <v>45</v>
      </c>
      <c r="H639">
        <v>4</v>
      </c>
      <c r="J639">
        <v>449</v>
      </c>
      <c r="K639">
        <v>458</v>
      </c>
      <c r="L639">
        <v>9</v>
      </c>
      <c r="M639">
        <v>20</v>
      </c>
      <c r="N639" t="s">
        <v>4539</v>
      </c>
      <c r="O639" t="s">
        <v>4540</v>
      </c>
      <c r="P639" s="22" t="str">
        <f>HYPERLINK(O639)</f>
        <v>https://www.scopus.com/inward/record.uri?eid=2-s2.0-14044259257&amp;doi=10.1016%2fj.toxicon.2004.12.002&amp;partnerID=40&amp;md5=b75be6041c650389ee3377d7d584d201</v>
      </c>
      <c r="Q639" t="s">
        <v>156</v>
      </c>
      <c r="R639" t="s">
        <v>48</v>
      </c>
      <c r="T639" t="s">
        <v>6</v>
      </c>
      <c r="U639" t="s">
        <v>4541</v>
      </c>
      <c r="V639" s="36">
        <v>0</v>
      </c>
      <c r="W639" s="27">
        <v>0</v>
      </c>
      <c r="X639" s="27">
        <v>0</v>
      </c>
      <c r="Y639" s="27">
        <v>0</v>
      </c>
      <c r="Z639" s="27">
        <v>0</v>
      </c>
      <c r="AA639" s="27">
        <v>0</v>
      </c>
      <c r="AB639" s="27">
        <v>0</v>
      </c>
      <c r="AC639" s="27">
        <v>0</v>
      </c>
      <c r="AD639" s="27">
        <v>0</v>
      </c>
      <c r="AE639" s="27">
        <v>0</v>
      </c>
      <c r="AF639" s="27">
        <v>0</v>
      </c>
      <c r="AG639" s="27">
        <v>0</v>
      </c>
      <c r="AH639" s="27">
        <v>1</v>
      </c>
      <c r="AJ639">
        <f t="shared" si="9"/>
        <v>1</v>
      </c>
    </row>
    <row r="640" spans="1:36">
      <c r="A640" t="s">
        <v>4542</v>
      </c>
      <c r="B640" t="s">
        <v>4543</v>
      </c>
      <c r="C640" t="s">
        <v>4544</v>
      </c>
      <c r="D640" t="s">
        <v>4545</v>
      </c>
      <c r="E640">
        <v>2022</v>
      </c>
      <c r="F640" t="s">
        <v>4546</v>
      </c>
      <c r="G640">
        <v>26</v>
      </c>
      <c r="H640">
        <v>7</v>
      </c>
      <c r="J640">
        <v>2914</v>
      </c>
      <c r="K640">
        <v>2931</v>
      </c>
      <c r="L640">
        <v>17</v>
      </c>
      <c r="M640">
        <v>3</v>
      </c>
      <c r="N640" t="s">
        <v>4547</v>
      </c>
      <c r="O640" t="s">
        <v>4548</v>
      </c>
      <c r="P640" s="22" t="str">
        <f>HYPERLINK(O640)</f>
        <v>https://www.scopus.com/inward/record.uri?eid=2-s2.0-85140397969&amp;doi=10.1111%2ftgis.12989&amp;partnerID=40&amp;md5=a148e6dd26fb44a637775cb81f0e9592</v>
      </c>
      <c r="Q640" t="s">
        <v>156</v>
      </c>
      <c r="R640" t="s">
        <v>48</v>
      </c>
      <c r="S640" t="s">
        <v>467</v>
      </c>
      <c r="T640" t="s">
        <v>6</v>
      </c>
      <c r="U640" t="s">
        <v>4549</v>
      </c>
      <c r="V640" s="36">
        <v>0</v>
      </c>
      <c r="W640" s="27">
        <v>1</v>
      </c>
      <c r="X640" s="27">
        <v>0</v>
      </c>
      <c r="Y640" s="27">
        <v>0</v>
      </c>
      <c r="Z640" s="27">
        <v>0</v>
      </c>
      <c r="AA640" s="27">
        <v>0</v>
      </c>
      <c r="AB640" s="27">
        <v>0</v>
      </c>
      <c r="AC640" s="27">
        <v>0</v>
      </c>
      <c r="AD640" s="27">
        <v>0</v>
      </c>
      <c r="AE640" s="27">
        <v>0</v>
      </c>
      <c r="AF640" s="27">
        <v>0</v>
      </c>
      <c r="AG640" s="27">
        <v>0</v>
      </c>
      <c r="AH640" s="27">
        <v>0</v>
      </c>
      <c r="AJ640">
        <f t="shared" si="9"/>
        <v>1</v>
      </c>
    </row>
    <row r="641" spans="1:36">
      <c r="A641" t="s">
        <v>4550</v>
      </c>
      <c r="B641" t="s">
        <v>4551</v>
      </c>
      <c r="C641" t="s">
        <v>4552</v>
      </c>
      <c r="D641" t="s">
        <v>4553</v>
      </c>
      <c r="E641">
        <v>2024</v>
      </c>
      <c r="F641" t="s">
        <v>4554</v>
      </c>
      <c r="G641">
        <v>23</v>
      </c>
      <c r="H641">
        <v>2</v>
      </c>
      <c r="J641">
        <v>319</v>
      </c>
      <c r="K641">
        <v>342</v>
      </c>
      <c r="L641">
        <v>23</v>
      </c>
      <c r="M641">
        <v>1</v>
      </c>
      <c r="O641" t="s">
        <v>4555</v>
      </c>
      <c r="P641" s="22" t="str">
        <f>HYPERLINK(O641)</f>
        <v>https://www.scopus.com/inward/record.uri?eid=2-s2.0-85200744802&amp;partnerID=40&amp;md5=61dc9015f70d314987e71bf762baad1e</v>
      </c>
      <c r="Q641" t="s">
        <v>156</v>
      </c>
      <c r="R641" t="s">
        <v>48</v>
      </c>
      <c r="T641" t="s">
        <v>6</v>
      </c>
      <c r="U641" t="s">
        <v>4556</v>
      </c>
      <c r="V641" s="36">
        <v>0</v>
      </c>
      <c r="W641" s="27">
        <v>1</v>
      </c>
      <c r="X641" s="27">
        <v>0</v>
      </c>
      <c r="Y641" s="27">
        <v>0</v>
      </c>
      <c r="Z641" s="27">
        <v>0</v>
      </c>
      <c r="AA641" s="27">
        <v>0</v>
      </c>
      <c r="AB641" s="27">
        <v>0</v>
      </c>
      <c r="AC641" s="27">
        <v>0</v>
      </c>
      <c r="AD641" s="27">
        <v>0</v>
      </c>
      <c r="AE641" s="27">
        <v>0</v>
      </c>
      <c r="AF641" s="27">
        <v>0</v>
      </c>
      <c r="AG641" s="27">
        <v>0</v>
      </c>
      <c r="AH641" s="27">
        <v>0</v>
      </c>
      <c r="AJ641">
        <f t="shared" si="9"/>
        <v>1</v>
      </c>
    </row>
    <row r="642" spans="1:36">
      <c r="A642" t="s">
        <v>4557</v>
      </c>
      <c r="B642" t="s">
        <v>4558</v>
      </c>
      <c r="C642" t="s">
        <v>4559</v>
      </c>
      <c r="D642" t="s">
        <v>4560</v>
      </c>
      <c r="E642">
        <v>2020</v>
      </c>
      <c r="F642" t="s">
        <v>4554</v>
      </c>
      <c r="G642">
        <v>19</v>
      </c>
      <c r="H642">
        <v>2</v>
      </c>
      <c r="J642">
        <v>783</v>
      </c>
      <c r="K642">
        <v>807</v>
      </c>
      <c r="L642">
        <v>24</v>
      </c>
      <c r="M642">
        <v>4</v>
      </c>
      <c r="O642" t="s">
        <v>4561</v>
      </c>
      <c r="P642" s="22" t="str">
        <f>HYPERLINK(O642)</f>
        <v>https://www.scopus.com/inward/record.uri?eid=2-s2.0-85096917500&amp;partnerID=40&amp;md5=e5198b6e4f4f236b7c4290fa82480762</v>
      </c>
      <c r="Q642" t="s">
        <v>156</v>
      </c>
      <c r="R642" t="s">
        <v>48</v>
      </c>
      <c r="T642" t="s">
        <v>6</v>
      </c>
      <c r="U642" t="s">
        <v>4562</v>
      </c>
      <c r="V642" s="36">
        <v>0</v>
      </c>
      <c r="W642" s="27">
        <v>1</v>
      </c>
      <c r="X642" s="27">
        <v>0</v>
      </c>
      <c r="Y642" s="27">
        <v>0</v>
      </c>
      <c r="Z642" s="27">
        <v>0</v>
      </c>
      <c r="AA642" s="27">
        <v>0</v>
      </c>
      <c r="AB642" s="27">
        <v>0</v>
      </c>
      <c r="AC642" s="27">
        <v>0</v>
      </c>
      <c r="AD642" s="27">
        <v>0</v>
      </c>
      <c r="AE642" s="27">
        <v>0</v>
      </c>
      <c r="AF642" s="27">
        <v>0</v>
      </c>
      <c r="AG642" s="27">
        <v>0</v>
      </c>
      <c r="AH642" s="27">
        <v>0</v>
      </c>
      <c r="AJ642">
        <f t="shared" ref="AJ642:AJ671" si="10">SUM(V642:AH642)</f>
        <v>1</v>
      </c>
    </row>
    <row r="643" spans="1:36">
      <c r="A643" t="s">
        <v>4563</v>
      </c>
      <c r="B643" t="s">
        <v>4564</v>
      </c>
      <c r="C643">
        <v>57200631503</v>
      </c>
      <c r="D643" t="s">
        <v>4565</v>
      </c>
      <c r="E643">
        <v>2014</v>
      </c>
      <c r="F643" t="s">
        <v>4566</v>
      </c>
      <c r="G643">
        <v>21</v>
      </c>
      <c r="H643">
        <v>1</v>
      </c>
      <c r="J643">
        <v>161</v>
      </c>
      <c r="K643">
        <v>171</v>
      </c>
      <c r="L643">
        <v>10</v>
      </c>
      <c r="M643">
        <v>0</v>
      </c>
      <c r="N643" t="s">
        <v>4567</v>
      </c>
      <c r="O643" t="s">
        <v>4568</v>
      </c>
      <c r="P643" s="22" t="str">
        <f>HYPERLINK(O643)</f>
        <v>https://www.scopus.com/inward/record.uri?eid=2-s2.0-85042012554&amp;doi=10.14665%2f1614-4007-21-1-010&amp;partnerID=40&amp;md5=9e374e97f45458a3fa8407f2303d5150</v>
      </c>
      <c r="Q643" t="s">
        <v>156</v>
      </c>
      <c r="R643" t="s">
        <v>48</v>
      </c>
      <c r="T643" t="s">
        <v>6</v>
      </c>
      <c r="U643" t="s">
        <v>4569</v>
      </c>
      <c r="V643" s="36">
        <v>1</v>
      </c>
      <c r="W643" s="27">
        <v>0</v>
      </c>
      <c r="X643" s="27">
        <v>0</v>
      </c>
      <c r="Y643" s="27">
        <v>0</v>
      </c>
      <c r="Z643" s="27">
        <v>0</v>
      </c>
      <c r="AA643" s="27">
        <v>0</v>
      </c>
      <c r="AB643" s="27">
        <v>0</v>
      </c>
      <c r="AC643" s="27">
        <v>0</v>
      </c>
      <c r="AD643" s="27">
        <v>0</v>
      </c>
      <c r="AE643" s="27">
        <v>0</v>
      </c>
      <c r="AF643" s="27">
        <v>0</v>
      </c>
      <c r="AG643" s="27">
        <v>0</v>
      </c>
      <c r="AH643" s="27">
        <v>0</v>
      </c>
      <c r="AJ643">
        <f t="shared" si="10"/>
        <v>1</v>
      </c>
    </row>
    <row r="644" spans="1:36">
      <c r="A644" t="s">
        <v>4570</v>
      </c>
      <c r="B644" t="s">
        <v>4571</v>
      </c>
      <c r="C644">
        <v>7202880183</v>
      </c>
      <c r="D644" t="s">
        <v>4572</v>
      </c>
      <c r="E644">
        <v>1994</v>
      </c>
      <c r="F644" t="s">
        <v>4573</v>
      </c>
      <c r="G644">
        <v>1</v>
      </c>
      <c r="H644">
        <v>2</v>
      </c>
      <c r="J644">
        <v>85</v>
      </c>
      <c r="K644">
        <v>94</v>
      </c>
      <c r="L644">
        <v>9</v>
      </c>
      <c r="M644">
        <v>0</v>
      </c>
      <c r="N644" t="s">
        <v>4574</v>
      </c>
      <c r="O644" t="s">
        <v>4575</v>
      </c>
      <c r="P644" s="22" t="str">
        <f>HYPERLINK(O644)</f>
        <v>https://www.scopus.com/inward/record.uri?eid=2-s2.0-0028595753&amp;doi=10.1016%2f0967-070X%2894%2990017-5&amp;partnerID=40&amp;md5=95f022133dd2343800958e6aceaada8f</v>
      </c>
      <c r="Q644" t="s">
        <v>156</v>
      </c>
      <c r="R644" t="s">
        <v>48</v>
      </c>
      <c r="T644" t="s">
        <v>6</v>
      </c>
      <c r="U644" t="s">
        <v>4576</v>
      </c>
      <c r="V644" s="36">
        <v>0</v>
      </c>
      <c r="W644" s="27">
        <v>1</v>
      </c>
      <c r="X644" s="27">
        <v>0</v>
      </c>
      <c r="Y644" s="27">
        <v>0</v>
      </c>
      <c r="Z644" s="27">
        <v>0</v>
      </c>
      <c r="AA644" s="27">
        <v>0</v>
      </c>
      <c r="AB644" s="27">
        <v>0</v>
      </c>
      <c r="AC644" s="27">
        <v>0</v>
      </c>
      <c r="AD644" s="27">
        <v>0</v>
      </c>
      <c r="AE644" s="27">
        <v>0</v>
      </c>
      <c r="AF644" s="27">
        <v>0</v>
      </c>
      <c r="AG644" s="27">
        <v>0</v>
      </c>
      <c r="AH644" s="27">
        <v>0</v>
      </c>
      <c r="AJ644">
        <f t="shared" si="10"/>
        <v>1</v>
      </c>
    </row>
    <row r="645" spans="1:36">
      <c r="A645" t="s">
        <v>4577</v>
      </c>
      <c r="B645" t="s">
        <v>4578</v>
      </c>
      <c r="C645" t="s">
        <v>4579</v>
      </c>
      <c r="D645" t="s">
        <v>4580</v>
      </c>
      <c r="E645">
        <v>2018</v>
      </c>
      <c r="F645" t="s">
        <v>4581</v>
      </c>
      <c r="G645">
        <v>112</v>
      </c>
      <c r="J645">
        <v>18</v>
      </c>
      <c r="K645">
        <v>28</v>
      </c>
      <c r="L645">
        <v>10</v>
      </c>
      <c r="M645">
        <v>53</v>
      </c>
      <c r="N645" t="s">
        <v>4582</v>
      </c>
      <c r="O645" t="s">
        <v>4583</v>
      </c>
      <c r="P645" s="22" t="str">
        <f>HYPERLINK(O645)</f>
        <v>https://www.scopus.com/inward/record.uri?eid=2-s2.0-85042457213&amp;doi=10.1016%2fj.tra.2018.01.004&amp;partnerID=40&amp;md5=cf67d2d27b1178750497c640c95ded14</v>
      </c>
      <c r="Q645" t="s">
        <v>156</v>
      </c>
      <c r="R645" t="s">
        <v>48</v>
      </c>
      <c r="T645" t="s">
        <v>6</v>
      </c>
      <c r="U645" t="s">
        <v>4584</v>
      </c>
      <c r="V645" s="36">
        <v>0</v>
      </c>
      <c r="W645" s="27">
        <v>0</v>
      </c>
      <c r="X645" s="27">
        <v>0</v>
      </c>
      <c r="Y645" s="27">
        <v>0</v>
      </c>
      <c r="Z645" s="27">
        <v>0</v>
      </c>
      <c r="AA645" s="27">
        <v>0</v>
      </c>
      <c r="AB645" s="27">
        <v>0</v>
      </c>
      <c r="AC645" s="27">
        <v>0</v>
      </c>
      <c r="AD645" s="27">
        <v>0</v>
      </c>
      <c r="AE645" s="27">
        <v>0</v>
      </c>
      <c r="AF645" s="27">
        <v>0</v>
      </c>
      <c r="AG645" s="27">
        <v>0</v>
      </c>
      <c r="AH645" s="27">
        <v>1</v>
      </c>
      <c r="AJ645">
        <f t="shared" si="10"/>
        <v>1</v>
      </c>
    </row>
    <row r="646" spans="1:36">
      <c r="A646" t="s">
        <v>4585</v>
      </c>
      <c r="B646" t="s">
        <v>4586</v>
      </c>
      <c r="C646" t="s">
        <v>4587</v>
      </c>
      <c r="D646" t="s">
        <v>4588</v>
      </c>
      <c r="E646">
        <v>2022</v>
      </c>
      <c r="F646" t="s">
        <v>4589</v>
      </c>
      <c r="G646">
        <v>60</v>
      </c>
      <c r="J646">
        <v>92</v>
      </c>
      <c r="K646">
        <v>99</v>
      </c>
      <c r="L646">
        <v>7</v>
      </c>
      <c r="M646">
        <v>7</v>
      </c>
      <c r="N646" t="s">
        <v>4590</v>
      </c>
      <c r="O646" t="s">
        <v>4591</v>
      </c>
      <c r="P646" s="22" t="str">
        <f>HYPERLINK(O646)</f>
        <v>https://www.scopus.com/inward/record.uri?eid=2-s2.0-85123632283&amp;doi=10.1016%2fj.trpro.2021.12.013&amp;partnerID=40&amp;md5=1a40e1026d8feab50cafb84f084a256f</v>
      </c>
      <c r="Q646" t="s">
        <v>62</v>
      </c>
      <c r="R646" t="s">
        <v>48</v>
      </c>
      <c r="S646" t="s">
        <v>185</v>
      </c>
      <c r="T646" t="s">
        <v>6</v>
      </c>
      <c r="U646" t="s">
        <v>4592</v>
      </c>
      <c r="V646" s="36">
        <v>0</v>
      </c>
      <c r="W646" s="27">
        <v>0</v>
      </c>
      <c r="X646" s="27">
        <v>0</v>
      </c>
      <c r="Y646" s="27">
        <v>0</v>
      </c>
      <c r="Z646" s="27">
        <v>0</v>
      </c>
      <c r="AA646" s="27">
        <v>0</v>
      </c>
      <c r="AB646" s="27">
        <v>0</v>
      </c>
      <c r="AC646" s="27">
        <v>0</v>
      </c>
      <c r="AD646" s="27">
        <v>0</v>
      </c>
      <c r="AE646" s="27">
        <v>0</v>
      </c>
      <c r="AF646" s="27">
        <v>0</v>
      </c>
      <c r="AG646" s="27">
        <v>0</v>
      </c>
      <c r="AH646" s="27">
        <v>1</v>
      </c>
      <c r="AJ646">
        <f t="shared" si="10"/>
        <v>1</v>
      </c>
    </row>
    <row r="647" spans="1:36">
      <c r="A647" t="s">
        <v>4593</v>
      </c>
      <c r="B647" t="s">
        <v>4594</v>
      </c>
      <c r="C647" t="s">
        <v>4595</v>
      </c>
      <c r="D647" t="s">
        <v>4596</v>
      </c>
      <c r="E647">
        <v>2021</v>
      </c>
      <c r="F647" t="s">
        <v>4589</v>
      </c>
      <c r="G647">
        <v>58</v>
      </c>
      <c r="J647">
        <v>225</v>
      </c>
      <c r="K647">
        <v>229</v>
      </c>
      <c r="L647">
        <v>4</v>
      </c>
      <c r="M647">
        <v>0</v>
      </c>
      <c r="N647" t="s">
        <v>4597</v>
      </c>
      <c r="O647" t="s">
        <v>4598</v>
      </c>
      <c r="P647" s="22" t="str">
        <f>HYPERLINK(O647)</f>
        <v>https://www.scopus.com/inward/record.uri?eid=2-s2.0-85121804102&amp;doi=10.1016%2fj.trpro.2021.11.031&amp;partnerID=40&amp;md5=9a6cffcddbf65a5b14997aab54b8902c</v>
      </c>
      <c r="Q647" t="s">
        <v>62</v>
      </c>
      <c r="R647" t="s">
        <v>48</v>
      </c>
      <c r="S647" t="s">
        <v>185</v>
      </c>
      <c r="T647" t="s">
        <v>6</v>
      </c>
      <c r="U647" t="s">
        <v>4599</v>
      </c>
      <c r="V647" s="36">
        <v>0</v>
      </c>
      <c r="W647" s="27">
        <v>0</v>
      </c>
      <c r="X647" s="27">
        <v>0</v>
      </c>
      <c r="Y647" s="27">
        <v>0</v>
      </c>
      <c r="Z647" s="27">
        <v>0</v>
      </c>
      <c r="AA647" s="27">
        <v>0</v>
      </c>
      <c r="AB647" s="27">
        <v>0</v>
      </c>
      <c r="AC647" s="27">
        <v>0</v>
      </c>
      <c r="AD647" s="27">
        <v>0</v>
      </c>
      <c r="AE647" s="27">
        <v>0</v>
      </c>
      <c r="AF647" s="27">
        <v>0</v>
      </c>
      <c r="AG647" s="27">
        <v>0</v>
      </c>
      <c r="AH647" s="27">
        <v>1</v>
      </c>
      <c r="AJ647">
        <f t="shared" si="10"/>
        <v>1</v>
      </c>
    </row>
    <row r="648" spans="1:36">
      <c r="A648" t="s">
        <v>4600</v>
      </c>
      <c r="B648" t="s">
        <v>4601</v>
      </c>
      <c r="C648" t="s">
        <v>4602</v>
      </c>
      <c r="D648" t="s">
        <v>4603</v>
      </c>
      <c r="E648">
        <v>2003</v>
      </c>
      <c r="F648" t="s">
        <v>4604</v>
      </c>
      <c r="H648">
        <v>1859</v>
      </c>
      <c r="J648">
        <v>29</v>
      </c>
      <c r="K648">
        <v>37</v>
      </c>
      <c r="L648">
        <v>8</v>
      </c>
      <c r="M648">
        <v>0</v>
      </c>
      <c r="N648" t="s">
        <v>4605</v>
      </c>
      <c r="O648" t="s">
        <v>4606</v>
      </c>
      <c r="P648" s="22" t="str">
        <f>HYPERLINK(O648)</f>
        <v>https://www.scopus.com/inward/record.uri?eid=2-s2.0-2142809559&amp;doi=10.3141%2f1859-04&amp;partnerID=40&amp;md5=d43dcfbb069e619cdeaac741466e41df</v>
      </c>
      <c r="Q648" t="s">
        <v>62</v>
      </c>
      <c r="R648" t="s">
        <v>48</v>
      </c>
      <c r="T648" t="s">
        <v>6</v>
      </c>
      <c r="U648" t="s">
        <v>4607</v>
      </c>
      <c r="V648" s="36">
        <v>0</v>
      </c>
      <c r="W648" s="27">
        <v>0</v>
      </c>
      <c r="X648" s="27">
        <v>1</v>
      </c>
      <c r="Y648" s="27">
        <v>0</v>
      </c>
      <c r="Z648" s="27">
        <v>0</v>
      </c>
      <c r="AA648" s="27">
        <v>0</v>
      </c>
      <c r="AB648" s="27">
        <v>0</v>
      </c>
      <c r="AC648" s="27">
        <v>0</v>
      </c>
      <c r="AD648" s="27">
        <v>0</v>
      </c>
      <c r="AE648" s="27">
        <v>0</v>
      </c>
      <c r="AF648" s="27">
        <v>0</v>
      </c>
      <c r="AG648" s="27">
        <v>0</v>
      </c>
      <c r="AH648" s="27">
        <v>0</v>
      </c>
      <c r="AJ648">
        <f t="shared" si="10"/>
        <v>1</v>
      </c>
    </row>
    <row r="649" spans="1:36">
      <c r="A649" t="s">
        <v>4608</v>
      </c>
      <c r="B649" t="s">
        <v>4609</v>
      </c>
      <c r="C649" t="s">
        <v>4610</v>
      </c>
      <c r="D649" t="s">
        <v>4611</v>
      </c>
      <c r="E649">
        <v>2022</v>
      </c>
      <c r="F649" t="s">
        <v>4612</v>
      </c>
      <c r="J649">
        <v>201</v>
      </c>
      <c r="K649">
        <v>210</v>
      </c>
      <c r="L649">
        <v>9</v>
      </c>
      <c r="M649">
        <v>0</v>
      </c>
      <c r="N649" t="s">
        <v>4613</v>
      </c>
      <c r="O649" t="s">
        <v>4614</v>
      </c>
      <c r="P649" s="22" t="str">
        <f>HYPERLINK(O649)</f>
        <v>https://www.scopus.com/inward/record.uri?eid=2-s2.0-85153818745&amp;doi=10.1007%2f978-3-030-29643-8_11&amp;partnerID=40&amp;md5=fbaca4cc8bb99096df5fab930717f166</v>
      </c>
      <c r="Q649" t="s">
        <v>216</v>
      </c>
      <c r="R649" t="s">
        <v>48</v>
      </c>
      <c r="T649" t="s">
        <v>6</v>
      </c>
      <c r="U649" t="s">
        <v>4615</v>
      </c>
      <c r="V649" s="36">
        <v>0</v>
      </c>
      <c r="W649" s="27">
        <v>0</v>
      </c>
      <c r="X649" s="27">
        <v>0</v>
      </c>
      <c r="Y649" s="27">
        <v>0</v>
      </c>
      <c r="Z649" s="27">
        <v>0</v>
      </c>
      <c r="AA649" s="27">
        <v>0</v>
      </c>
      <c r="AB649" s="27">
        <v>0</v>
      </c>
      <c r="AC649" s="27">
        <v>0</v>
      </c>
      <c r="AD649" s="27">
        <v>0</v>
      </c>
      <c r="AE649" s="27">
        <v>0</v>
      </c>
      <c r="AF649" s="27">
        <v>0</v>
      </c>
      <c r="AG649" s="27">
        <v>0</v>
      </c>
      <c r="AH649" s="27">
        <v>1</v>
      </c>
      <c r="AJ649">
        <f t="shared" si="10"/>
        <v>1</v>
      </c>
    </row>
    <row r="650" spans="1:36">
      <c r="A650" t="s">
        <v>4616</v>
      </c>
      <c r="B650" t="s">
        <v>4617</v>
      </c>
      <c r="C650">
        <v>36924563400</v>
      </c>
      <c r="D650" t="s">
        <v>4618</v>
      </c>
      <c r="E650">
        <v>2022</v>
      </c>
      <c r="F650" t="s">
        <v>4619</v>
      </c>
      <c r="J650">
        <v>263</v>
      </c>
      <c r="K650">
        <v>280</v>
      </c>
      <c r="L650">
        <v>17</v>
      </c>
      <c r="M650">
        <v>1</v>
      </c>
      <c r="N650" t="s">
        <v>4620</v>
      </c>
      <c r="O650" t="s">
        <v>4621</v>
      </c>
      <c r="P650" s="22" t="str">
        <f>HYPERLINK(O650)</f>
        <v>https://www.scopus.com/inward/record.uri?eid=2-s2.0-85163452053&amp;doi=10.1007%2f978-3-030-93515-3_12&amp;partnerID=40&amp;md5=797bcc98f57eda9c908b8fe29158035f</v>
      </c>
      <c r="Q650" t="s">
        <v>216</v>
      </c>
      <c r="R650" t="s">
        <v>48</v>
      </c>
      <c r="T650" t="s">
        <v>6</v>
      </c>
      <c r="U650" t="s">
        <v>4622</v>
      </c>
      <c r="V650" s="36">
        <v>0</v>
      </c>
      <c r="W650" s="27">
        <v>0</v>
      </c>
      <c r="X650" s="27">
        <v>0</v>
      </c>
      <c r="Y650" s="27">
        <v>0</v>
      </c>
      <c r="Z650" s="27">
        <v>0</v>
      </c>
      <c r="AA650" s="27">
        <v>0</v>
      </c>
      <c r="AB650" s="27">
        <v>0</v>
      </c>
      <c r="AC650" s="27">
        <v>0</v>
      </c>
      <c r="AD650" s="27">
        <v>0</v>
      </c>
      <c r="AE650" s="27">
        <v>0</v>
      </c>
      <c r="AF650" s="27">
        <v>0</v>
      </c>
      <c r="AG650" s="27">
        <v>0</v>
      </c>
      <c r="AH650" s="27">
        <v>1</v>
      </c>
      <c r="AJ650">
        <f t="shared" si="10"/>
        <v>1</v>
      </c>
    </row>
    <row r="651" spans="1:36">
      <c r="A651" t="s">
        <v>4623</v>
      </c>
      <c r="B651" t="s">
        <v>4624</v>
      </c>
      <c r="C651">
        <v>36850344100</v>
      </c>
      <c r="D651" t="s">
        <v>4625</v>
      </c>
      <c r="E651">
        <v>2016</v>
      </c>
      <c r="F651" t="s">
        <v>4626</v>
      </c>
      <c r="G651">
        <v>17</v>
      </c>
      <c r="H651">
        <v>3</v>
      </c>
      <c r="J651">
        <v>502</v>
      </c>
      <c r="K651">
        <v>524</v>
      </c>
      <c r="L651">
        <v>22</v>
      </c>
      <c r="M651">
        <v>14</v>
      </c>
      <c r="N651" t="s">
        <v>4627</v>
      </c>
      <c r="O651" t="s">
        <v>4628</v>
      </c>
      <c r="P651" s="22" t="str">
        <f>HYPERLINK(O651)</f>
        <v>https://www.scopus.com/inward/record.uri?eid=2-s2.0-84963574923&amp;doi=10.1080%2f14683849.2016.1170602&amp;partnerID=40&amp;md5=c7b5e56b934b8c45f1ab7c54915fec86</v>
      </c>
      <c r="Q651" t="s">
        <v>156</v>
      </c>
      <c r="R651" t="s">
        <v>48</v>
      </c>
      <c r="T651" t="s">
        <v>6</v>
      </c>
      <c r="U651" t="s">
        <v>4629</v>
      </c>
      <c r="V651" s="36">
        <v>1</v>
      </c>
      <c r="W651" s="27">
        <v>0</v>
      </c>
      <c r="X651" s="27">
        <v>0</v>
      </c>
      <c r="Y651" s="27">
        <v>0</v>
      </c>
      <c r="Z651" s="27">
        <v>0</v>
      </c>
      <c r="AA651" s="27">
        <v>0</v>
      </c>
      <c r="AB651" s="27">
        <v>0</v>
      </c>
      <c r="AC651" s="27">
        <v>0</v>
      </c>
      <c r="AD651" s="27">
        <v>0</v>
      </c>
      <c r="AE651" s="27">
        <v>0</v>
      </c>
      <c r="AF651" s="27">
        <v>0</v>
      </c>
      <c r="AG651" s="27">
        <v>0</v>
      </c>
      <c r="AH651" s="27">
        <v>0</v>
      </c>
      <c r="AJ651">
        <f t="shared" si="10"/>
        <v>1</v>
      </c>
    </row>
    <row r="652" spans="1:36">
      <c r="A652" t="s">
        <v>4630</v>
      </c>
      <c r="B652" t="s">
        <v>4631</v>
      </c>
      <c r="C652" t="s">
        <v>4632</v>
      </c>
      <c r="D652" t="s">
        <v>4633</v>
      </c>
      <c r="E652">
        <v>2024</v>
      </c>
      <c r="F652" t="s">
        <v>4634</v>
      </c>
      <c r="G652">
        <v>34</v>
      </c>
      <c r="H652">
        <v>1</v>
      </c>
      <c r="J652">
        <v>97</v>
      </c>
      <c r="K652">
        <v>108</v>
      </c>
      <c r="L652">
        <v>11</v>
      </c>
      <c r="M652">
        <v>0</v>
      </c>
      <c r="N652" t="s">
        <v>4635</v>
      </c>
      <c r="O652" t="s">
        <v>4636</v>
      </c>
      <c r="P652" s="22" t="str">
        <f>HYPERLINK(O652)</f>
        <v>https://www.scopus.com/inward/record.uri?eid=2-s2.0-85197749603&amp;doi=10.18778%2f0867-5856.34.1.09&amp;partnerID=40&amp;md5=a356d5ed21312dbe43f4aa19c3710236</v>
      </c>
      <c r="Q652" t="s">
        <v>156</v>
      </c>
      <c r="R652" t="s">
        <v>48</v>
      </c>
      <c r="S652" t="s">
        <v>225</v>
      </c>
      <c r="T652" t="s">
        <v>6</v>
      </c>
      <c r="U652" t="s">
        <v>4637</v>
      </c>
      <c r="V652" s="36">
        <v>0</v>
      </c>
      <c r="W652" s="27">
        <v>0</v>
      </c>
      <c r="X652" s="27">
        <v>0</v>
      </c>
      <c r="Y652" s="27">
        <v>0</v>
      </c>
      <c r="Z652" s="27">
        <v>1</v>
      </c>
      <c r="AA652" s="27">
        <v>0</v>
      </c>
      <c r="AB652" s="27">
        <v>0</v>
      </c>
      <c r="AC652" s="27">
        <v>0</v>
      </c>
      <c r="AD652" s="27">
        <v>0</v>
      </c>
      <c r="AE652" s="27">
        <v>0</v>
      </c>
      <c r="AF652" s="27">
        <v>0</v>
      </c>
      <c r="AG652" s="27">
        <v>0</v>
      </c>
      <c r="AH652" s="27">
        <v>0</v>
      </c>
      <c r="AJ652">
        <f t="shared" si="10"/>
        <v>1</v>
      </c>
    </row>
    <row r="653" spans="1:36">
      <c r="A653" t="s">
        <v>2007</v>
      </c>
      <c r="B653" t="s">
        <v>2008</v>
      </c>
      <c r="C653" t="s">
        <v>2009</v>
      </c>
      <c r="D653" t="s">
        <v>4638</v>
      </c>
      <c r="E653">
        <v>2017</v>
      </c>
      <c r="F653" t="s">
        <v>4639</v>
      </c>
      <c r="J653">
        <v>331</v>
      </c>
      <c r="K653">
        <v>337</v>
      </c>
      <c r="L653">
        <v>6</v>
      </c>
      <c r="M653">
        <v>0</v>
      </c>
      <c r="O653" t="s">
        <v>4640</v>
      </c>
      <c r="P653" s="22" t="str">
        <f>HYPERLINK(O653)</f>
        <v>https://www.scopus.com/inward/record.uri?eid=2-s2.0-85127946239&amp;partnerID=40&amp;md5=1396cf309b737de83401ad5142f48ca1</v>
      </c>
      <c r="Q653" t="s">
        <v>216</v>
      </c>
      <c r="R653" t="s">
        <v>48</v>
      </c>
      <c r="T653" t="s">
        <v>6</v>
      </c>
      <c r="U653" t="s">
        <v>4641</v>
      </c>
      <c r="V653" s="36">
        <v>0</v>
      </c>
      <c r="W653" s="27">
        <v>0</v>
      </c>
      <c r="X653" s="27">
        <v>0</v>
      </c>
      <c r="Y653" s="27">
        <v>0</v>
      </c>
      <c r="Z653" s="27">
        <v>0</v>
      </c>
      <c r="AA653" s="27">
        <v>0</v>
      </c>
      <c r="AB653" s="27">
        <v>0</v>
      </c>
      <c r="AC653" s="27">
        <v>0</v>
      </c>
      <c r="AD653" s="27">
        <v>0</v>
      </c>
      <c r="AE653" s="27">
        <v>0</v>
      </c>
      <c r="AF653" s="27">
        <v>0</v>
      </c>
      <c r="AG653" s="27">
        <v>0</v>
      </c>
      <c r="AH653" s="27">
        <v>1</v>
      </c>
      <c r="AJ653">
        <f t="shared" si="10"/>
        <v>1</v>
      </c>
    </row>
    <row r="654" spans="1:36">
      <c r="A654" t="s">
        <v>4642</v>
      </c>
      <c r="B654" t="s">
        <v>4643</v>
      </c>
      <c r="C654" t="s">
        <v>4644</v>
      </c>
      <c r="D654" t="s">
        <v>4645</v>
      </c>
      <c r="E654">
        <v>2019</v>
      </c>
      <c r="F654" t="s">
        <v>4646</v>
      </c>
      <c r="G654">
        <v>11</v>
      </c>
      <c r="H654">
        <v>3</v>
      </c>
      <c r="I654">
        <v>473</v>
      </c>
      <c r="M654">
        <v>13</v>
      </c>
      <c r="N654" t="s">
        <v>4647</v>
      </c>
      <c r="O654" t="s">
        <v>4648</v>
      </c>
      <c r="P654" s="22" t="str">
        <f>HYPERLINK(O654)</f>
        <v>https://www.scopus.com/inward/record.uri?eid=2-s2.0-85064947007&amp;doi=10.3390%2fw11030473&amp;partnerID=40&amp;md5=c36cbd95c161f98059dcb562e96dd1bb</v>
      </c>
      <c r="Q654" t="s">
        <v>156</v>
      </c>
      <c r="R654" t="s">
        <v>48</v>
      </c>
      <c r="S654" t="s">
        <v>185</v>
      </c>
      <c r="T654" t="s">
        <v>6</v>
      </c>
      <c r="U654" t="s">
        <v>4649</v>
      </c>
      <c r="V654" s="36">
        <v>0</v>
      </c>
      <c r="W654" s="27">
        <v>0</v>
      </c>
      <c r="X654" s="27">
        <v>0</v>
      </c>
      <c r="Y654" s="27">
        <v>0</v>
      </c>
      <c r="Z654" s="27">
        <v>0</v>
      </c>
      <c r="AA654" s="27">
        <v>0</v>
      </c>
      <c r="AB654" s="27">
        <v>0</v>
      </c>
      <c r="AC654" s="27">
        <v>0</v>
      </c>
      <c r="AD654" s="27">
        <v>0</v>
      </c>
      <c r="AE654" s="27">
        <v>0</v>
      </c>
      <c r="AF654" s="27">
        <v>0</v>
      </c>
      <c r="AG654" s="27">
        <v>0</v>
      </c>
      <c r="AH654" s="27">
        <v>1</v>
      </c>
      <c r="AJ654">
        <f t="shared" si="10"/>
        <v>1</v>
      </c>
    </row>
    <row r="655" spans="1:36">
      <c r="A655" t="s">
        <v>4650</v>
      </c>
      <c r="B655" t="s">
        <v>4651</v>
      </c>
      <c r="C655" t="s">
        <v>4652</v>
      </c>
      <c r="D655" t="s">
        <v>4653</v>
      </c>
      <c r="E655">
        <v>2020</v>
      </c>
      <c r="F655" t="s">
        <v>4646</v>
      </c>
      <c r="G655">
        <v>12</v>
      </c>
      <c r="H655">
        <v>5</v>
      </c>
      <c r="I655">
        <v>1405</v>
      </c>
      <c r="M655">
        <v>44</v>
      </c>
      <c r="N655" t="s">
        <v>4654</v>
      </c>
      <c r="O655" t="s">
        <v>4655</v>
      </c>
      <c r="P655" s="22" t="str">
        <f>HYPERLINK(O655)</f>
        <v>https://www.scopus.com/inward/record.uri?eid=2-s2.0-85085931987&amp;doi=10.3390%2fw12051405&amp;partnerID=40&amp;md5=4ce8f6f0684eee254677c159d659360c</v>
      </c>
      <c r="Q655" t="s">
        <v>156</v>
      </c>
      <c r="R655" t="s">
        <v>48</v>
      </c>
      <c r="S655" t="s">
        <v>225</v>
      </c>
      <c r="T655" t="s">
        <v>6</v>
      </c>
      <c r="U655" t="s">
        <v>4656</v>
      </c>
      <c r="V655" s="36">
        <v>0</v>
      </c>
      <c r="W655" s="27">
        <v>0</v>
      </c>
      <c r="X655" s="27">
        <v>0</v>
      </c>
      <c r="Y655" s="27">
        <v>0</v>
      </c>
      <c r="Z655" s="27">
        <v>0</v>
      </c>
      <c r="AA655" s="27">
        <v>0</v>
      </c>
      <c r="AB655" s="27">
        <v>0</v>
      </c>
      <c r="AC655" s="27">
        <v>0</v>
      </c>
      <c r="AD655" s="27">
        <v>0</v>
      </c>
      <c r="AE655" s="27">
        <v>0</v>
      </c>
      <c r="AF655" s="27">
        <v>0</v>
      </c>
      <c r="AG655" s="27">
        <v>0</v>
      </c>
      <c r="AH655" s="27">
        <v>1</v>
      </c>
      <c r="AJ655">
        <f t="shared" si="10"/>
        <v>1</v>
      </c>
    </row>
    <row r="656" spans="1:36">
      <c r="A656" t="s">
        <v>4657</v>
      </c>
      <c r="B656" t="s">
        <v>4658</v>
      </c>
      <c r="C656" t="s">
        <v>4659</v>
      </c>
      <c r="D656" t="s">
        <v>4660</v>
      </c>
      <c r="E656">
        <v>2005</v>
      </c>
      <c r="F656" t="s">
        <v>4661</v>
      </c>
      <c r="G656">
        <v>62</v>
      </c>
      <c r="H656">
        <v>4</v>
      </c>
      <c r="J656">
        <v>96</v>
      </c>
      <c r="K656">
        <v>109</v>
      </c>
      <c r="L656">
        <v>13</v>
      </c>
      <c r="M656">
        <v>0</v>
      </c>
      <c r="O656" t="s">
        <v>4662</v>
      </c>
      <c r="P656" s="22" t="str">
        <f>HYPERLINK(O656)</f>
        <v>https://www.scopus.com/inward/record.uri?eid=2-s2.0-33748688257&amp;partnerID=40&amp;md5=e11641f4ee325287fd6f3af0c485c36b</v>
      </c>
      <c r="Q656" t="s">
        <v>156</v>
      </c>
      <c r="R656" t="s">
        <v>48</v>
      </c>
      <c r="T656" t="s">
        <v>6</v>
      </c>
      <c r="U656" t="s">
        <v>4663</v>
      </c>
      <c r="V656" s="36">
        <v>0</v>
      </c>
      <c r="W656" s="27">
        <v>0</v>
      </c>
      <c r="X656" s="27">
        <v>0</v>
      </c>
      <c r="Y656" s="27">
        <v>0</v>
      </c>
      <c r="Z656" s="27">
        <v>0</v>
      </c>
      <c r="AA656" s="27">
        <v>0</v>
      </c>
      <c r="AB656" s="27">
        <v>0</v>
      </c>
      <c r="AC656" s="27">
        <v>0</v>
      </c>
      <c r="AD656" s="27">
        <v>0</v>
      </c>
      <c r="AE656" s="27">
        <v>0</v>
      </c>
      <c r="AF656" s="27">
        <v>0</v>
      </c>
      <c r="AG656" s="27">
        <v>0</v>
      </c>
      <c r="AH656" s="27">
        <v>1</v>
      </c>
      <c r="AJ656">
        <f t="shared" si="10"/>
        <v>1</v>
      </c>
    </row>
    <row r="657" spans="1:36">
      <c r="A657" t="s">
        <v>4664</v>
      </c>
      <c r="B657" t="s">
        <v>4665</v>
      </c>
      <c r="C657" t="s">
        <v>4666</v>
      </c>
      <c r="D657" t="s">
        <v>4667</v>
      </c>
      <c r="E657">
        <v>2021</v>
      </c>
      <c r="F657" t="s">
        <v>4661</v>
      </c>
      <c r="G657">
        <v>64</v>
      </c>
      <c r="H657">
        <v>5</v>
      </c>
      <c r="J657">
        <v>6</v>
      </c>
      <c r="K657">
        <v>15</v>
      </c>
      <c r="L657">
        <v>9</v>
      </c>
      <c r="M657">
        <v>1</v>
      </c>
      <c r="O657" t="s">
        <v>4668</v>
      </c>
      <c r="P657" s="22" t="str">
        <f>HYPERLINK(O657)</f>
        <v>https://www.scopus.com/inward/record.uri?eid=2-s2.0-85118509379&amp;partnerID=40&amp;md5=62157de54b2c9ef15b4f4762b96d383e</v>
      </c>
      <c r="Q657" t="s">
        <v>156</v>
      </c>
      <c r="R657" t="s">
        <v>48</v>
      </c>
      <c r="T657" t="s">
        <v>6</v>
      </c>
      <c r="U657" t="s">
        <v>4669</v>
      </c>
      <c r="V657" s="36">
        <v>0</v>
      </c>
      <c r="W657" s="27">
        <v>0</v>
      </c>
      <c r="X657" s="27">
        <v>0</v>
      </c>
      <c r="Y657" s="27">
        <v>0</v>
      </c>
      <c r="Z657" s="27">
        <v>0</v>
      </c>
      <c r="AA657" s="27">
        <v>0</v>
      </c>
      <c r="AB657" s="27">
        <v>0</v>
      </c>
      <c r="AC657" s="27">
        <v>0</v>
      </c>
      <c r="AD657" s="27">
        <v>0</v>
      </c>
      <c r="AE657" s="27">
        <v>0</v>
      </c>
      <c r="AF657" s="27">
        <v>0</v>
      </c>
      <c r="AG657" s="27">
        <v>0</v>
      </c>
      <c r="AH657" s="27">
        <v>1</v>
      </c>
      <c r="AJ657">
        <f t="shared" si="10"/>
        <v>1</v>
      </c>
    </row>
    <row r="658" spans="1:36">
      <c r="A658" t="s">
        <v>4670</v>
      </c>
      <c r="B658" t="s">
        <v>4671</v>
      </c>
      <c r="C658">
        <v>6603700292</v>
      </c>
      <c r="D658" t="s">
        <v>4672</v>
      </c>
      <c r="E658">
        <v>2012</v>
      </c>
      <c r="F658" t="s">
        <v>4673</v>
      </c>
      <c r="G658">
        <v>52</v>
      </c>
      <c r="H658">
        <v>10</v>
      </c>
      <c r="J658">
        <v>32</v>
      </c>
      <c r="K658">
        <v>34</v>
      </c>
      <c r="L658">
        <v>2</v>
      </c>
      <c r="M658">
        <v>0</v>
      </c>
      <c r="O658" t="s">
        <v>4674</v>
      </c>
      <c r="P658" s="22" t="str">
        <f>HYPERLINK(O658)</f>
        <v>https://www.scopus.com/inward/record.uri?eid=2-s2.0-84868517900&amp;partnerID=40&amp;md5=1962c0c248e74ab9fae84c04e2bc6d4e</v>
      </c>
      <c r="Q658" t="s">
        <v>156</v>
      </c>
      <c r="R658" t="s">
        <v>48</v>
      </c>
      <c r="T658" t="s">
        <v>6</v>
      </c>
      <c r="U658" t="s">
        <v>4675</v>
      </c>
      <c r="V658" s="36">
        <v>0</v>
      </c>
      <c r="W658" s="27">
        <v>0</v>
      </c>
      <c r="X658" s="27">
        <v>0</v>
      </c>
      <c r="Y658" s="27">
        <v>0</v>
      </c>
      <c r="Z658" s="27">
        <v>0</v>
      </c>
      <c r="AA658" s="27">
        <v>0</v>
      </c>
      <c r="AB658" s="27">
        <v>0</v>
      </c>
      <c r="AC658" s="27">
        <v>0</v>
      </c>
      <c r="AD658" s="27">
        <v>0</v>
      </c>
      <c r="AE658" s="27">
        <v>0</v>
      </c>
      <c r="AF658" s="27">
        <v>0</v>
      </c>
      <c r="AG658" s="27">
        <v>0</v>
      </c>
      <c r="AH658" s="27">
        <v>1</v>
      </c>
      <c r="AJ658">
        <f t="shared" si="10"/>
        <v>1</v>
      </c>
    </row>
    <row r="659" spans="1:36">
      <c r="A659" t="s">
        <v>4676</v>
      </c>
      <c r="B659" t="s">
        <v>4677</v>
      </c>
      <c r="C659" t="s">
        <v>4678</v>
      </c>
      <c r="D659" t="s">
        <v>4679</v>
      </c>
      <c r="E659">
        <v>1993</v>
      </c>
      <c r="F659" t="s">
        <v>4680</v>
      </c>
      <c r="G659">
        <v>18</v>
      </c>
      <c r="H659">
        <v>3</v>
      </c>
      <c r="J659">
        <v>166</v>
      </c>
      <c r="K659">
        <v>178</v>
      </c>
      <c r="L659">
        <v>12</v>
      </c>
      <c r="M659">
        <v>6</v>
      </c>
      <c r="N659" t="s">
        <v>4681</v>
      </c>
      <c r="O659" t="s">
        <v>4682</v>
      </c>
      <c r="P659" s="22" t="str">
        <f>HYPERLINK(O659)</f>
        <v>https://www.scopus.com/inward/record.uri?eid=2-s2.0-0027787261&amp;doi=10.1080%2f02508069308686173&amp;partnerID=40&amp;md5=cc01f78d2f57c3d7b1190ea077daded1</v>
      </c>
      <c r="Q659" t="s">
        <v>156</v>
      </c>
      <c r="R659" t="s">
        <v>48</v>
      </c>
      <c r="T659" t="s">
        <v>6</v>
      </c>
      <c r="U659" t="s">
        <v>4683</v>
      </c>
      <c r="V659" s="36">
        <v>0</v>
      </c>
      <c r="W659" s="27">
        <v>0</v>
      </c>
      <c r="X659" s="27">
        <v>0</v>
      </c>
      <c r="Y659" s="27">
        <v>0</v>
      </c>
      <c r="Z659" s="27">
        <v>0</v>
      </c>
      <c r="AA659" s="27">
        <v>0</v>
      </c>
      <c r="AB659" s="27">
        <v>0</v>
      </c>
      <c r="AC659" s="27">
        <v>0</v>
      </c>
      <c r="AD659" s="27">
        <v>0</v>
      </c>
      <c r="AE659" s="27">
        <v>0</v>
      </c>
      <c r="AF659" s="27">
        <v>0</v>
      </c>
      <c r="AG659" s="27">
        <v>0</v>
      </c>
      <c r="AH659" s="27">
        <v>1</v>
      </c>
      <c r="AJ659">
        <f t="shared" si="10"/>
        <v>1</v>
      </c>
    </row>
    <row r="660" spans="1:36">
      <c r="A660" t="s">
        <v>4684</v>
      </c>
      <c r="B660" t="s">
        <v>4685</v>
      </c>
      <c r="C660" t="s">
        <v>4686</v>
      </c>
      <c r="D660" t="s">
        <v>4687</v>
      </c>
      <c r="E660">
        <v>1995</v>
      </c>
      <c r="F660" t="s">
        <v>4688</v>
      </c>
      <c r="G660">
        <v>31</v>
      </c>
      <c r="H660">
        <v>7</v>
      </c>
      <c r="J660">
        <v>255</v>
      </c>
      <c r="K660">
        <v>261</v>
      </c>
      <c r="L660">
        <v>6</v>
      </c>
      <c r="M660">
        <v>31</v>
      </c>
      <c r="N660" t="s">
        <v>4689</v>
      </c>
      <c r="O660" t="s">
        <v>4690</v>
      </c>
      <c r="P660" s="22" t="str">
        <f>HYPERLINK(O660)</f>
        <v>https://www.scopus.com/inward/record.uri?eid=2-s2.0-0029050014&amp;doi=10.1016%2f0273-1223%2895%2900342-K&amp;partnerID=40&amp;md5=7abf42b637056aa0d6f7293df0951fd1</v>
      </c>
      <c r="Q660" t="s">
        <v>156</v>
      </c>
      <c r="R660" t="s">
        <v>48</v>
      </c>
      <c r="T660" t="s">
        <v>6</v>
      </c>
      <c r="U660" t="s">
        <v>4691</v>
      </c>
      <c r="V660" s="36">
        <v>0</v>
      </c>
      <c r="W660" s="27">
        <v>0</v>
      </c>
      <c r="X660" s="27">
        <v>0</v>
      </c>
      <c r="Y660" s="27">
        <v>0</v>
      </c>
      <c r="Z660" s="27">
        <v>0</v>
      </c>
      <c r="AA660" s="27">
        <v>0</v>
      </c>
      <c r="AB660" s="27">
        <v>0</v>
      </c>
      <c r="AC660" s="27">
        <v>0</v>
      </c>
      <c r="AD660" s="27">
        <v>0</v>
      </c>
      <c r="AE660" s="27">
        <v>0</v>
      </c>
      <c r="AF660" s="27">
        <v>0</v>
      </c>
      <c r="AG660" s="27">
        <v>0</v>
      </c>
      <c r="AH660" s="27">
        <v>1</v>
      </c>
      <c r="AJ660">
        <f t="shared" si="10"/>
        <v>1</v>
      </c>
    </row>
    <row r="661" spans="1:36">
      <c r="A661" t="s">
        <v>4692</v>
      </c>
      <c r="B661" t="s">
        <v>4693</v>
      </c>
      <c r="C661" t="s">
        <v>4694</v>
      </c>
      <c r="D661" t="s">
        <v>4695</v>
      </c>
      <c r="E661">
        <v>2013</v>
      </c>
      <c r="F661" t="s">
        <v>4696</v>
      </c>
      <c r="G661">
        <v>13</v>
      </c>
      <c r="H661">
        <v>3</v>
      </c>
      <c r="J661">
        <v>743</v>
      </c>
      <c r="K661">
        <v>752</v>
      </c>
      <c r="L661">
        <v>9</v>
      </c>
      <c r="M661">
        <v>3</v>
      </c>
      <c r="N661" t="s">
        <v>4697</v>
      </c>
      <c r="O661" t="s">
        <v>4698</v>
      </c>
      <c r="P661" s="22" t="str">
        <f>HYPERLINK(O661)</f>
        <v>https://www.scopus.com/inward/record.uri?eid=2-s2.0-84995480453&amp;doi=10.2166%2fws.2013.107&amp;partnerID=40&amp;md5=e2e917aa44b8d7359a8b45a28f643c34</v>
      </c>
      <c r="Q661" t="s">
        <v>156</v>
      </c>
      <c r="R661" t="s">
        <v>48</v>
      </c>
      <c r="T661" t="s">
        <v>6</v>
      </c>
      <c r="U661" t="s">
        <v>4699</v>
      </c>
      <c r="V661" s="36">
        <v>0</v>
      </c>
      <c r="W661" s="27">
        <v>0</v>
      </c>
      <c r="X661" s="27">
        <v>0</v>
      </c>
      <c r="Y661" s="27">
        <v>0</v>
      </c>
      <c r="Z661" s="27">
        <v>0</v>
      </c>
      <c r="AA661" s="27">
        <v>0</v>
      </c>
      <c r="AB661" s="27">
        <v>0</v>
      </c>
      <c r="AC661" s="27">
        <v>0</v>
      </c>
      <c r="AD661" s="27">
        <v>0</v>
      </c>
      <c r="AE661" s="27">
        <v>0</v>
      </c>
      <c r="AF661" s="27">
        <v>0</v>
      </c>
      <c r="AG661" s="27">
        <v>0</v>
      </c>
      <c r="AH661" s="27">
        <v>1</v>
      </c>
      <c r="AJ661">
        <f t="shared" si="10"/>
        <v>1</v>
      </c>
    </row>
    <row r="662" spans="1:36">
      <c r="A662" t="s">
        <v>4700</v>
      </c>
      <c r="B662" t="s">
        <v>4701</v>
      </c>
      <c r="C662" t="s">
        <v>4702</v>
      </c>
      <c r="D662" t="s">
        <v>4703</v>
      </c>
      <c r="E662">
        <v>2017</v>
      </c>
      <c r="F662" t="s">
        <v>4704</v>
      </c>
      <c r="G662">
        <v>6</v>
      </c>
      <c r="H662">
        <v>1</v>
      </c>
      <c r="J662">
        <v>71</v>
      </c>
      <c r="K662">
        <v>74</v>
      </c>
      <c r="L662">
        <v>3</v>
      </c>
      <c r="M662">
        <v>24</v>
      </c>
      <c r="N662" t="s">
        <v>4705</v>
      </c>
      <c r="O662" t="s">
        <v>4706</v>
      </c>
      <c r="P662" s="22" t="str">
        <f>HYPERLINK(O662)</f>
        <v>https://www.scopus.com/inward/record.uri?eid=2-s2.0-85017114311&amp;doi=10.1016%2fj.wep.2016.11.004&amp;partnerID=40&amp;md5=a017dcdd61cde0a3635dc5fd0f1809e2</v>
      </c>
      <c r="Q662" t="s">
        <v>425</v>
      </c>
      <c r="R662" t="s">
        <v>48</v>
      </c>
      <c r="S662" t="s">
        <v>225</v>
      </c>
      <c r="T662" t="s">
        <v>6</v>
      </c>
      <c r="U662" t="s">
        <v>4707</v>
      </c>
      <c r="V662" s="36">
        <v>1</v>
      </c>
      <c r="W662" s="27">
        <v>0</v>
      </c>
      <c r="X662" s="27">
        <v>0</v>
      </c>
      <c r="Y662" s="27">
        <v>0</v>
      </c>
      <c r="Z662" s="27">
        <v>0</v>
      </c>
      <c r="AA662" s="27">
        <v>0</v>
      </c>
      <c r="AB662" s="27">
        <v>0</v>
      </c>
      <c r="AC662" s="27">
        <v>0</v>
      </c>
      <c r="AD662" s="27">
        <v>0</v>
      </c>
      <c r="AE662" s="27">
        <v>0</v>
      </c>
      <c r="AF662" s="27">
        <v>0</v>
      </c>
      <c r="AG662" s="27">
        <v>0</v>
      </c>
      <c r="AH662" s="27">
        <v>0</v>
      </c>
      <c r="AJ662">
        <f t="shared" si="10"/>
        <v>1</v>
      </c>
    </row>
    <row r="663" spans="1:36">
      <c r="D663" t="s">
        <v>4708</v>
      </c>
      <c r="E663">
        <v>2014</v>
      </c>
      <c r="F663" t="s">
        <v>4709</v>
      </c>
      <c r="G663">
        <v>189</v>
      </c>
      <c r="M663">
        <v>0</v>
      </c>
      <c r="O663" t="s">
        <v>4710</v>
      </c>
      <c r="P663" s="22" t="str">
        <f>HYPERLINK(O663)</f>
        <v>https://www.scopus.com/inward/record.uri?eid=2-s2.0-84903288818&amp;partnerID=40&amp;md5=ef4f9c7cec4985f577c791b79a063567</v>
      </c>
      <c r="Q663" t="s">
        <v>156</v>
      </c>
      <c r="R663" t="s">
        <v>48</v>
      </c>
      <c r="T663" t="s">
        <v>6</v>
      </c>
      <c r="U663" t="s">
        <v>4711</v>
      </c>
      <c r="V663" s="36">
        <v>0</v>
      </c>
      <c r="W663" s="27">
        <v>0</v>
      </c>
      <c r="X663" s="27">
        <v>0</v>
      </c>
      <c r="Y663" s="27">
        <v>0</v>
      </c>
      <c r="Z663" s="27">
        <v>0</v>
      </c>
      <c r="AA663" s="27">
        <v>0</v>
      </c>
      <c r="AB663" s="27">
        <v>0</v>
      </c>
      <c r="AC663" s="27">
        <v>0</v>
      </c>
      <c r="AD663" s="27">
        <v>0</v>
      </c>
      <c r="AE663" s="27">
        <v>0</v>
      </c>
      <c r="AF663" s="27">
        <v>0</v>
      </c>
      <c r="AG663" s="27">
        <v>0</v>
      </c>
      <c r="AH663" s="27">
        <v>1</v>
      </c>
      <c r="AJ663">
        <f t="shared" si="10"/>
        <v>1</v>
      </c>
    </row>
    <row r="664" spans="1:36">
      <c r="A664" t="s">
        <v>4712</v>
      </c>
      <c r="B664" t="s">
        <v>4713</v>
      </c>
      <c r="C664" t="s">
        <v>4714</v>
      </c>
      <c r="D664" t="s">
        <v>4715</v>
      </c>
      <c r="E664">
        <v>2014</v>
      </c>
      <c r="F664" t="s">
        <v>4716</v>
      </c>
      <c r="G664">
        <v>30</v>
      </c>
      <c r="H664">
        <v>30</v>
      </c>
      <c r="J664">
        <v>104</v>
      </c>
      <c r="K664">
        <v>106</v>
      </c>
      <c r="L664">
        <v>2</v>
      </c>
      <c r="M664">
        <v>4</v>
      </c>
      <c r="N664" t="s">
        <v>4717</v>
      </c>
      <c r="O664" t="s">
        <v>4718</v>
      </c>
      <c r="P664" s="22" t="str">
        <f>HYPERLINK(O664)</f>
        <v>https://www.scopus.com/inward/record.uri?eid=2-s2.0-84896464845&amp;doi=10.5829%2fidosi.wasj.2014.30.mett.51&amp;partnerID=40&amp;md5=4b174f0c60e0d67cc9a59cfdda65ddfb</v>
      </c>
      <c r="Q664" t="s">
        <v>156</v>
      </c>
      <c r="R664" t="s">
        <v>48</v>
      </c>
      <c r="T664" t="s">
        <v>6</v>
      </c>
      <c r="U664" t="s">
        <v>4719</v>
      </c>
      <c r="V664" s="36">
        <v>0</v>
      </c>
      <c r="W664" s="27">
        <v>0</v>
      </c>
      <c r="X664" s="27">
        <v>0</v>
      </c>
      <c r="Y664" s="27">
        <v>0</v>
      </c>
      <c r="Z664" s="27">
        <v>0</v>
      </c>
      <c r="AA664" s="27">
        <v>0</v>
      </c>
      <c r="AB664" s="27">
        <v>0</v>
      </c>
      <c r="AC664" s="27">
        <v>0</v>
      </c>
      <c r="AD664" s="27">
        <v>0</v>
      </c>
      <c r="AE664" s="27">
        <v>0</v>
      </c>
      <c r="AF664" s="27">
        <v>1</v>
      </c>
      <c r="AG664" s="27">
        <v>0</v>
      </c>
      <c r="AH664" s="27">
        <v>0</v>
      </c>
      <c r="AJ664">
        <f t="shared" si="10"/>
        <v>1</v>
      </c>
    </row>
    <row r="665" spans="1:36">
      <c r="A665" t="s">
        <v>4720</v>
      </c>
      <c r="B665" t="s">
        <v>4721</v>
      </c>
      <c r="C665">
        <v>56938867300</v>
      </c>
      <c r="D665" t="s">
        <v>4722</v>
      </c>
      <c r="E665">
        <v>2018</v>
      </c>
      <c r="F665" t="s">
        <v>4723</v>
      </c>
      <c r="G665">
        <v>41</v>
      </c>
      <c r="H665">
        <v>5</v>
      </c>
      <c r="J665">
        <v>1457</v>
      </c>
      <c r="K665">
        <v>1475</v>
      </c>
      <c r="L665">
        <v>18</v>
      </c>
      <c r="M665">
        <v>4</v>
      </c>
      <c r="N665" t="s">
        <v>4724</v>
      </c>
      <c r="O665" t="s">
        <v>4725</v>
      </c>
      <c r="P665" s="22" t="str">
        <f>HYPERLINK(O665)</f>
        <v>https://www.scopus.com/inward/record.uri?eid=2-s2.0-85039148298&amp;doi=10.1111%2ftwec.12597&amp;partnerID=40&amp;md5=cb329a0c60b8a86afd86824ae997d827</v>
      </c>
      <c r="Q665" t="s">
        <v>156</v>
      </c>
      <c r="R665" t="s">
        <v>48</v>
      </c>
      <c r="S665" t="s">
        <v>164</v>
      </c>
      <c r="T665" t="s">
        <v>6</v>
      </c>
      <c r="U665" t="s">
        <v>4726</v>
      </c>
      <c r="V665" s="36">
        <v>0</v>
      </c>
      <c r="W665" s="27">
        <v>0</v>
      </c>
      <c r="X665" s="27">
        <v>0</v>
      </c>
      <c r="Y665" s="27">
        <v>0</v>
      </c>
      <c r="Z665" s="27">
        <v>0</v>
      </c>
      <c r="AA665" s="27">
        <v>0</v>
      </c>
      <c r="AB665" s="27">
        <v>0</v>
      </c>
      <c r="AC665" s="27">
        <v>0</v>
      </c>
      <c r="AD665" s="27">
        <v>0</v>
      </c>
      <c r="AE665" s="27">
        <v>0</v>
      </c>
      <c r="AF665" s="27">
        <v>0</v>
      </c>
      <c r="AG665" s="27">
        <v>0</v>
      </c>
      <c r="AH665" s="27">
        <v>1</v>
      </c>
      <c r="AJ665">
        <f t="shared" si="10"/>
        <v>1</v>
      </c>
    </row>
    <row r="666" spans="1:36">
      <c r="A666" t="s">
        <v>4727</v>
      </c>
      <c r="B666" t="s">
        <v>4728</v>
      </c>
      <c r="C666" t="s">
        <v>4729</v>
      </c>
      <c r="D666" t="s">
        <v>4730</v>
      </c>
      <c r="E666">
        <v>2013</v>
      </c>
      <c r="F666" t="s">
        <v>4723</v>
      </c>
      <c r="G666">
        <v>36</v>
      </c>
      <c r="H666">
        <v>5</v>
      </c>
      <c r="J666">
        <v>582</v>
      </c>
      <c r="K666">
        <v>606</v>
      </c>
      <c r="L666">
        <v>24</v>
      </c>
      <c r="M666">
        <v>27</v>
      </c>
      <c r="N666" t="s">
        <v>4731</v>
      </c>
      <c r="O666" t="s">
        <v>4732</v>
      </c>
      <c r="P666" s="22" t="str">
        <f>HYPERLINK(O666)</f>
        <v>https://www.scopus.com/inward/record.uri?eid=2-s2.0-84877618262&amp;doi=10.1111%2ftwec.12035&amp;partnerID=40&amp;md5=eca00cef8f3e9eaf61c423deb325d0f5</v>
      </c>
      <c r="Q666" t="s">
        <v>156</v>
      </c>
      <c r="R666" t="s">
        <v>48</v>
      </c>
      <c r="T666" t="s">
        <v>6</v>
      </c>
      <c r="U666" t="s">
        <v>4733</v>
      </c>
      <c r="V666" s="36">
        <v>0</v>
      </c>
      <c r="W666" s="27">
        <v>0</v>
      </c>
      <c r="X666" s="27">
        <v>0</v>
      </c>
      <c r="Y666" s="27">
        <v>0</v>
      </c>
      <c r="Z666" s="27">
        <v>0</v>
      </c>
      <c r="AA666" s="27">
        <v>0</v>
      </c>
      <c r="AB666" s="27">
        <v>0</v>
      </c>
      <c r="AC666" s="27">
        <v>0</v>
      </c>
      <c r="AD666" s="27">
        <v>0</v>
      </c>
      <c r="AE666" s="27">
        <v>0</v>
      </c>
      <c r="AF666" s="27">
        <v>0</v>
      </c>
      <c r="AG666" s="27">
        <v>0</v>
      </c>
      <c r="AH666" s="27">
        <v>1</v>
      </c>
      <c r="AJ666">
        <f t="shared" si="10"/>
        <v>1</v>
      </c>
    </row>
    <row r="667" spans="1:36">
      <c r="A667" t="s">
        <v>4734</v>
      </c>
      <c r="B667" t="s">
        <v>4735</v>
      </c>
      <c r="C667" t="s">
        <v>4736</v>
      </c>
      <c r="D667" t="s">
        <v>4737</v>
      </c>
      <c r="E667">
        <v>2018</v>
      </c>
      <c r="F667" t="s">
        <v>4723</v>
      </c>
      <c r="G667">
        <v>41</v>
      </c>
      <c r="H667">
        <v>11</v>
      </c>
      <c r="J667">
        <v>2852</v>
      </c>
      <c r="K667">
        <v>2882</v>
      </c>
      <c r="L667">
        <v>30</v>
      </c>
      <c r="M667">
        <v>22</v>
      </c>
      <c r="N667" t="s">
        <v>4738</v>
      </c>
      <c r="O667" t="s">
        <v>4739</v>
      </c>
      <c r="P667" s="22" t="str">
        <f>HYPERLINK(O667)</f>
        <v>https://www.scopus.com/inward/record.uri?eid=2-s2.0-85050502070&amp;doi=10.1111%2ftwec.12680&amp;partnerID=40&amp;md5=e6fc9e1a20ae06e0698ad8874b07310b</v>
      </c>
      <c r="Q667" t="s">
        <v>156</v>
      </c>
      <c r="R667" t="s">
        <v>48</v>
      </c>
      <c r="T667" t="s">
        <v>6</v>
      </c>
      <c r="U667" t="s">
        <v>4740</v>
      </c>
      <c r="V667" s="36">
        <v>0</v>
      </c>
      <c r="W667" s="27">
        <v>0</v>
      </c>
      <c r="X667" s="27">
        <v>0</v>
      </c>
      <c r="Y667" s="27">
        <v>0</v>
      </c>
      <c r="Z667" s="27">
        <v>0</v>
      </c>
      <c r="AA667" s="27">
        <v>0</v>
      </c>
      <c r="AB667" s="27">
        <v>0</v>
      </c>
      <c r="AC667" s="27">
        <v>0</v>
      </c>
      <c r="AD667" s="27">
        <v>0</v>
      </c>
      <c r="AE667" s="27">
        <v>0</v>
      </c>
      <c r="AF667" s="27">
        <v>0</v>
      </c>
      <c r="AG667" s="27">
        <v>0</v>
      </c>
      <c r="AH667" s="27">
        <v>1</v>
      </c>
      <c r="AJ667">
        <f t="shared" si="10"/>
        <v>1</v>
      </c>
    </row>
    <row r="668" spans="1:36">
      <c r="A668" t="s">
        <v>4741</v>
      </c>
      <c r="B668" t="s">
        <v>4742</v>
      </c>
      <c r="C668" t="s">
        <v>4743</v>
      </c>
      <c r="D668" t="s">
        <v>4744</v>
      </c>
      <c r="E668">
        <v>2024</v>
      </c>
      <c r="F668" t="s">
        <v>4723</v>
      </c>
      <c r="G668">
        <v>47</v>
      </c>
      <c r="H668">
        <v>10</v>
      </c>
      <c r="J668">
        <v>4198</v>
      </c>
      <c r="K668">
        <v>4224</v>
      </c>
      <c r="L668">
        <v>26</v>
      </c>
      <c r="M668">
        <v>0</v>
      </c>
      <c r="N668" t="s">
        <v>4745</v>
      </c>
      <c r="O668" t="s">
        <v>4746</v>
      </c>
      <c r="P668" s="22" t="str">
        <f>HYPERLINK(O668)</f>
        <v>https://www.scopus.com/inward/record.uri?eid=2-s2.0-85200683558&amp;doi=10.1111%2ftwec.13623&amp;partnerID=40&amp;md5=dc2fb3345b2972388dd0ecf4cbaca792</v>
      </c>
      <c r="Q668" t="s">
        <v>156</v>
      </c>
      <c r="R668" t="s">
        <v>48</v>
      </c>
      <c r="T668" t="s">
        <v>6</v>
      </c>
      <c r="U668" t="s">
        <v>4747</v>
      </c>
      <c r="V668" s="36">
        <v>0</v>
      </c>
      <c r="W668" s="27">
        <v>0</v>
      </c>
      <c r="X668" s="27">
        <v>0</v>
      </c>
      <c r="Y668" s="27">
        <v>0</v>
      </c>
      <c r="Z668" s="27">
        <v>0</v>
      </c>
      <c r="AA668" s="27">
        <v>0</v>
      </c>
      <c r="AB668" s="27">
        <v>0</v>
      </c>
      <c r="AC668" s="27">
        <v>0</v>
      </c>
      <c r="AD668" s="27">
        <v>0</v>
      </c>
      <c r="AE668" s="27">
        <v>0</v>
      </c>
      <c r="AF668" s="27">
        <v>0</v>
      </c>
      <c r="AG668" s="27">
        <v>0</v>
      </c>
      <c r="AH668" s="27">
        <v>1</v>
      </c>
      <c r="AJ668">
        <f t="shared" si="10"/>
        <v>1</v>
      </c>
    </row>
    <row r="669" spans="1:36">
      <c r="A669" t="s">
        <v>4748</v>
      </c>
      <c r="B669" t="s">
        <v>4749</v>
      </c>
      <c r="C669">
        <v>57194908822</v>
      </c>
      <c r="D669" t="s">
        <v>4750</v>
      </c>
      <c r="E669">
        <v>2011</v>
      </c>
      <c r="F669" t="s">
        <v>4751</v>
      </c>
      <c r="G669">
        <v>53</v>
      </c>
      <c r="H669">
        <v>4</v>
      </c>
      <c r="J669">
        <v>269</v>
      </c>
      <c r="K669">
        <v>283</v>
      </c>
      <c r="L669">
        <v>14</v>
      </c>
      <c r="M669">
        <v>0</v>
      </c>
      <c r="N669" t="s">
        <v>4752</v>
      </c>
      <c r="O669" t="s">
        <v>4753</v>
      </c>
      <c r="P669" s="22" t="str">
        <f>HYPERLINK(O669)</f>
        <v>https://www.scopus.com/inward/record.uri?eid=2-s2.0-85024169359&amp;doi=10.1080%2f04419057.2011.630785&amp;partnerID=40&amp;md5=9ba886a2964b9827bf0fd8289cba585e</v>
      </c>
      <c r="Q669" t="s">
        <v>156</v>
      </c>
      <c r="R669" t="s">
        <v>48</v>
      </c>
      <c r="T669" t="s">
        <v>6</v>
      </c>
      <c r="U669" t="s">
        <v>4754</v>
      </c>
      <c r="V669" s="36">
        <v>0</v>
      </c>
      <c r="W669" s="27">
        <v>0</v>
      </c>
      <c r="X669" s="27">
        <v>0</v>
      </c>
      <c r="Y669" s="27">
        <v>0</v>
      </c>
      <c r="Z669" s="27">
        <v>0</v>
      </c>
      <c r="AA669" s="27">
        <v>0</v>
      </c>
      <c r="AB669" s="27">
        <v>0</v>
      </c>
      <c r="AC669" s="27">
        <v>0</v>
      </c>
      <c r="AD669" s="27">
        <v>0</v>
      </c>
      <c r="AE669" s="27">
        <v>0</v>
      </c>
      <c r="AF669" s="27">
        <v>0</v>
      </c>
      <c r="AG669" s="27">
        <v>0</v>
      </c>
      <c r="AH669" s="27">
        <v>1</v>
      </c>
      <c r="AJ669">
        <f t="shared" si="10"/>
        <v>1</v>
      </c>
    </row>
    <row r="670" spans="1:36">
      <c r="A670" t="s">
        <v>4755</v>
      </c>
      <c r="B670" t="s">
        <v>4756</v>
      </c>
      <c r="C670" t="s">
        <v>4757</v>
      </c>
      <c r="D670" t="s">
        <v>4758</v>
      </c>
      <c r="E670">
        <v>2022</v>
      </c>
      <c r="F670" t="s">
        <v>4759</v>
      </c>
      <c r="G670">
        <v>18</v>
      </c>
      <c r="J670">
        <v>825</v>
      </c>
      <c r="K670">
        <v>835</v>
      </c>
      <c r="L670">
        <v>10</v>
      </c>
      <c r="M670">
        <v>0</v>
      </c>
      <c r="N670" t="s">
        <v>4760</v>
      </c>
      <c r="O670" t="s">
        <v>4761</v>
      </c>
      <c r="P670" s="22" t="str">
        <f>HYPERLINK(O670)</f>
        <v>https://www.scopus.com/inward/record.uri?eid=2-s2.0-85133507028&amp;doi=10.37394%2f232015.2022.18.77&amp;partnerID=40&amp;md5=c6473af753764263df18f803bd8da65c</v>
      </c>
      <c r="Q670" t="s">
        <v>156</v>
      </c>
      <c r="R670" t="s">
        <v>48</v>
      </c>
      <c r="T670" t="s">
        <v>6</v>
      </c>
      <c r="U670" t="s">
        <v>4762</v>
      </c>
      <c r="V670" s="36">
        <v>0</v>
      </c>
      <c r="W670" s="27">
        <v>0</v>
      </c>
      <c r="X670" s="27">
        <v>0</v>
      </c>
      <c r="Y670" s="27">
        <v>0</v>
      </c>
      <c r="Z670" s="27">
        <v>0</v>
      </c>
      <c r="AA670" s="27">
        <v>0</v>
      </c>
      <c r="AB670" s="27">
        <v>0</v>
      </c>
      <c r="AC670" s="27">
        <v>0</v>
      </c>
      <c r="AD670" s="27">
        <v>0</v>
      </c>
      <c r="AE670" s="27">
        <v>0</v>
      </c>
      <c r="AF670" s="27">
        <v>0</v>
      </c>
      <c r="AG670" s="27">
        <v>0</v>
      </c>
      <c r="AH670" s="27">
        <v>1</v>
      </c>
      <c r="AJ670">
        <f t="shared" si="10"/>
        <v>1</v>
      </c>
    </row>
    <row r="671" spans="1:36">
      <c r="A671" t="s">
        <v>4763</v>
      </c>
      <c r="B671" t="s">
        <v>4764</v>
      </c>
      <c r="C671" t="s">
        <v>4765</v>
      </c>
      <c r="D671" t="s">
        <v>4766</v>
      </c>
      <c r="E671">
        <v>1998</v>
      </c>
      <c r="F671" t="s">
        <v>4767</v>
      </c>
      <c r="G671">
        <v>109</v>
      </c>
      <c r="J671">
        <v>1</v>
      </c>
      <c r="K671">
        <v>21</v>
      </c>
      <c r="L671">
        <v>20</v>
      </c>
      <c r="M671">
        <v>9</v>
      </c>
      <c r="O671" t="s">
        <v>4768</v>
      </c>
      <c r="P671" s="22" t="str">
        <f>HYPERLINK(O671)</f>
        <v>https://www.scopus.com/inward/record.uri?eid=2-s2.0-0344026205&amp;partnerID=40&amp;md5=1120f52928af3858783790d17c75faaa</v>
      </c>
      <c r="Q671" t="s">
        <v>156</v>
      </c>
      <c r="R671" t="s">
        <v>48</v>
      </c>
      <c r="T671" t="s">
        <v>6</v>
      </c>
      <c r="U671" t="s">
        <v>4769</v>
      </c>
      <c r="V671" s="36">
        <v>0</v>
      </c>
      <c r="W671" s="27">
        <v>0</v>
      </c>
      <c r="X671" s="27">
        <v>0</v>
      </c>
      <c r="Y671" s="27">
        <v>0</v>
      </c>
      <c r="Z671" s="27">
        <v>0</v>
      </c>
      <c r="AA671" s="27">
        <v>0</v>
      </c>
      <c r="AB671" s="27">
        <v>0</v>
      </c>
      <c r="AC671" s="27">
        <v>0</v>
      </c>
      <c r="AD671" s="27">
        <v>0</v>
      </c>
      <c r="AE671" s="27">
        <v>0</v>
      </c>
      <c r="AF671" s="27">
        <v>0</v>
      </c>
      <c r="AG671" s="27">
        <v>0</v>
      </c>
      <c r="AH671" s="27">
        <v>1</v>
      </c>
      <c r="AJ671">
        <f t="shared" si="10"/>
        <v>1</v>
      </c>
    </row>
    <row r="673" spans="21:36">
      <c r="U673" t="s">
        <v>4770</v>
      </c>
      <c r="V673" s="37">
        <f>SUM(V2:V671)</f>
        <v>106</v>
      </c>
      <c r="W673" s="37">
        <f t="shared" ref="W673:AJ673" si="11">SUM(W2:W671)</f>
        <v>222</v>
      </c>
      <c r="X673" s="37">
        <f t="shared" si="11"/>
        <v>8</v>
      </c>
      <c r="Y673" s="37">
        <f t="shared" si="11"/>
        <v>0</v>
      </c>
      <c r="Z673" s="37">
        <f t="shared" si="11"/>
        <v>31</v>
      </c>
      <c r="AA673" s="37">
        <f t="shared" si="11"/>
        <v>1</v>
      </c>
      <c r="AB673" s="37">
        <f t="shared" si="11"/>
        <v>13</v>
      </c>
      <c r="AC673" s="37">
        <f t="shared" si="11"/>
        <v>0</v>
      </c>
      <c r="AD673" s="37">
        <f t="shared" si="11"/>
        <v>0</v>
      </c>
      <c r="AE673" s="37">
        <f t="shared" si="11"/>
        <v>3</v>
      </c>
      <c r="AF673" s="37">
        <f t="shared" si="11"/>
        <v>36</v>
      </c>
      <c r="AG673" s="37">
        <f t="shared" si="11"/>
        <v>13</v>
      </c>
      <c r="AH673" s="37">
        <f t="shared" si="11"/>
        <v>237</v>
      </c>
      <c r="AI673" s="37"/>
      <c r="AJ673" s="37">
        <f t="shared" si="11"/>
        <v>670</v>
      </c>
    </row>
    <row r="675" spans="21:36">
      <c r="U675" t="s">
        <v>4771</v>
      </c>
      <c r="V675" s="38">
        <f xml:space="preserve"> SUM(V673:AH673)</f>
        <v>670</v>
      </c>
    </row>
  </sheetData>
  <autoFilter ref="A1:AG671" xr:uid="{2A799F83-AA45-1444-9464-09194094E9C6}">
    <sortState xmlns:xlrd2="http://schemas.microsoft.com/office/spreadsheetml/2017/richdata2" ref="A2:AG671">
      <sortCondition ref="F1:F671"/>
    </sortState>
  </autoFilter>
  <conditionalFormatting sqref="AJ2:AJ671">
    <cfRule type="cellIs" dxfId="16" priority="1" operator="equal">
      <formula>2</formula>
    </cfRule>
    <cfRule type="colorScale" priority="2">
      <colorScale>
        <cfvo type="min"/>
        <cfvo type="max"/>
        <color rgb="FFFF7128"/>
        <color rgb="FFFFEF9C"/>
      </colorScale>
    </cfRule>
    <cfRule type="cellIs" dxfId="15" priority="4" operator="equal">
      <formula>0</formula>
    </cfRule>
  </conditionalFormatting>
  <conditionalFormatting sqref="AJ25">
    <cfRule type="colorScale" priority="3">
      <colorScale>
        <cfvo type="min"/>
        <cfvo type="max"/>
        <color rgb="FFFF7128"/>
        <color rgb="FFFFEF9C"/>
      </colorScale>
    </cfRule>
  </conditionalFormatting>
  <hyperlinks>
    <hyperlink ref="O110" r:id="rId1" xr:uid="{4E179DF6-C0D3-FE41-ADC0-5F81C03D7F6A}"/>
    <hyperlink ref="O569" r:id="rId2" xr:uid="{C0883F0F-BD99-2247-A5D0-0EE738C9639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580D9-6774-40B3-A36C-F7FC7F9A618E}">
  <dimension ref="A1:K141"/>
  <sheetViews>
    <sheetView workbookViewId="0">
      <pane xSplit="1" ySplit="1" topLeftCell="C27" activePane="bottomRight" state="frozen"/>
      <selection pane="bottomRight" activeCell="D35" sqref="D35"/>
      <selection pane="bottomLeft" activeCell="A2" sqref="A2"/>
      <selection pane="topRight" activeCell="B1" sqref="B1"/>
    </sheetView>
  </sheetViews>
  <sheetFormatPr defaultColWidth="8.85546875" defaultRowHeight="15"/>
  <cols>
    <col min="1" max="1" width="15.140625" customWidth="1"/>
    <col min="2" max="2" width="10.42578125" customWidth="1"/>
    <col min="3" max="3" width="32.42578125" customWidth="1"/>
    <col min="4" max="4" width="71.85546875" customWidth="1"/>
    <col min="5" max="5" width="31" customWidth="1"/>
    <col min="6" max="6" width="8.28515625" customWidth="1"/>
    <col min="7" max="7" width="42" customWidth="1"/>
    <col min="8" max="8" width="11" customWidth="1"/>
    <col min="9" max="9" width="12.7109375" customWidth="1"/>
  </cols>
  <sheetData>
    <row r="1" spans="1:11" ht="15.95" thickBot="1">
      <c r="A1" s="9" t="s">
        <v>4772</v>
      </c>
      <c r="B1" s="5" t="s">
        <v>4773</v>
      </c>
      <c r="C1" s="5" t="s">
        <v>4774</v>
      </c>
      <c r="D1" s="5" t="s">
        <v>4775</v>
      </c>
      <c r="E1" s="6" t="s">
        <v>4776</v>
      </c>
      <c r="F1" s="7" t="s">
        <v>4777</v>
      </c>
      <c r="G1" s="4" t="s">
        <v>4778</v>
      </c>
      <c r="H1" s="8" t="s">
        <v>4779</v>
      </c>
      <c r="I1" s="10" t="s">
        <v>4780</v>
      </c>
      <c r="J1" s="30" t="s">
        <v>6</v>
      </c>
      <c r="K1" s="39" t="s">
        <v>4781</v>
      </c>
    </row>
    <row r="2" spans="1:11">
      <c r="A2" s="1" t="s">
        <v>4782</v>
      </c>
      <c r="B2" s="1">
        <v>130</v>
      </c>
      <c r="C2" s="1" t="s">
        <v>4783</v>
      </c>
      <c r="D2" t="s">
        <v>4077</v>
      </c>
      <c r="E2" s="1" t="s">
        <v>4078</v>
      </c>
      <c r="F2" s="1">
        <v>2023</v>
      </c>
      <c r="G2" s="22" t="s">
        <v>4079</v>
      </c>
      <c r="H2" s="1" t="s">
        <v>4784</v>
      </c>
      <c r="I2" s="1"/>
      <c r="J2" s="1" t="s">
        <v>4784</v>
      </c>
      <c r="K2" s="1">
        <v>1</v>
      </c>
    </row>
    <row r="3" spans="1:11">
      <c r="A3" s="1" t="s">
        <v>4785</v>
      </c>
      <c r="B3" s="1">
        <v>2</v>
      </c>
      <c r="C3" s="1" t="s">
        <v>4786</v>
      </c>
      <c r="D3" s="1" t="s">
        <v>4787</v>
      </c>
      <c r="E3" s="1" t="s">
        <v>457</v>
      </c>
      <c r="F3" s="1">
        <v>2019</v>
      </c>
      <c r="G3" s="19" t="s">
        <v>4788</v>
      </c>
      <c r="H3" s="1" t="s">
        <v>4784</v>
      </c>
      <c r="I3" s="1"/>
      <c r="J3" s="1"/>
      <c r="K3" s="1">
        <v>1</v>
      </c>
    </row>
    <row r="4" spans="1:11">
      <c r="A4" s="1" t="s">
        <v>4789</v>
      </c>
      <c r="B4" s="1">
        <v>63</v>
      </c>
      <c r="C4" s="1" t="s">
        <v>4790</v>
      </c>
      <c r="D4" s="1" t="s">
        <v>4483</v>
      </c>
      <c r="E4" s="24" t="s">
        <v>4791</v>
      </c>
      <c r="F4" s="1">
        <v>2021</v>
      </c>
      <c r="G4" s="1" t="s">
        <v>4485</v>
      </c>
      <c r="H4" s="1" t="s">
        <v>4784</v>
      </c>
      <c r="I4" s="1"/>
      <c r="J4" s="1" t="s">
        <v>4784</v>
      </c>
      <c r="K4" s="1">
        <v>1</v>
      </c>
    </row>
    <row r="5" spans="1:11">
      <c r="A5" s="1" t="s">
        <v>4792</v>
      </c>
      <c r="B5" s="1">
        <v>99</v>
      </c>
      <c r="C5" s="1" t="s">
        <v>4793</v>
      </c>
      <c r="D5" s="1" t="s">
        <v>1809</v>
      </c>
      <c r="E5" s="1" t="s">
        <v>1810</v>
      </c>
      <c r="F5" s="1">
        <v>2020</v>
      </c>
      <c r="G5" s="1" t="s">
        <v>4794</v>
      </c>
      <c r="H5" s="1" t="s">
        <v>4784</v>
      </c>
      <c r="I5" s="1"/>
      <c r="J5" s="1" t="s">
        <v>4784</v>
      </c>
      <c r="K5" s="1">
        <v>1</v>
      </c>
    </row>
    <row r="6" spans="1:11">
      <c r="A6" s="1" t="s">
        <v>4795</v>
      </c>
      <c r="B6" s="1">
        <v>64</v>
      </c>
      <c r="C6" s="1" t="s">
        <v>4796</v>
      </c>
      <c r="D6" s="1" t="s">
        <v>4797</v>
      </c>
      <c r="E6" s="24" t="s">
        <v>4798</v>
      </c>
      <c r="F6" s="1">
        <v>2016</v>
      </c>
      <c r="G6" s="22" t="s">
        <v>4799</v>
      </c>
      <c r="H6" s="1" t="s">
        <v>4784</v>
      </c>
      <c r="I6" s="1"/>
      <c r="J6" s="1" t="s">
        <v>4784</v>
      </c>
      <c r="K6" s="1">
        <v>1</v>
      </c>
    </row>
    <row r="7" spans="1:11">
      <c r="A7" s="1" t="s">
        <v>4800</v>
      </c>
      <c r="B7" s="1">
        <v>47</v>
      </c>
      <c r="C7" s="1" t="s">
        <v>4801</v>
      </c>
      <c r="D7" s="1" t="s">
        <v>4349</v>
      </c>
      <c r="E7" s="1" t="s">
        <v>4350</v>
      </c>
      <c r="F7" s="1">
        <v>2013</v>
      </c>
      <c r="G7" s="19" t="s">
        <v>4802</v>
      </c>
      <c r="H7" s="1" t="s">
        <v>4784</v>
      </c>
      <c r="I7" s="1"/>
      <c r="J7" s="1" t="s">
        <v>4784</v>
      </c>
      <c r="K7" s="1">
        <v>1</v>
      </c>
    </row>
    <row r="8" spans="1:11">
      <c r="A8" s="1" t="s">
        <v>4803</v>
      </c>
      <c r="B8" s="1">
        <v>65</v>
      </c>
      <c r="C8" s="1" t="s">
        <v>4804</v>
      </c>
      <c r="D8" s="1" t="s">
        <v>4805</v>
      </c>
      <c r="E8" s="24" t="s">
        <v>4091</v>
      </c>
      <c r="F8" s="1">
        <v>2018</v>
      </c>
      <c r="G8" s="1" t="s">
        <v>4806</v>
      </c>
      <c r="H8" s="1" t="s">
        <v>4784</v>
      </c>
      <c r="I8" s="1"/>
      <c r="J8" s="1" t="s">
        <v>4784</v>
      </c>
      <c r="K8" s="1">
        <v>1</v>
      </c>
    </row>
    <row r="9" spans="1:11">
      <c r="A9" s="1" t="s">
        <v>4807</v>
      </c>
      <c r="B9" s="1">
        <v>51</v>
      </c>
      <c r="C9" s="1" t="s">
        <v>4808</v>
      </c>
      <c r="D9" s="1" t="s">
        <v>4357</v>
      </c>
      <c r="E9" s="24" t="s">
        <v>4350</v>
      </c>
      <c r="F9" s="1">
        <v>2016</v>
      </c>
      <c r="G9" s="22" t="s">
        <v>4809</v>
      </c>
      <c r="H9" s="1" t="s">
        <v>4784</v>
      </c>
      <c r="I9" s="1" t="s">
        <v>4810</v>
      </c>
      <c r="J9" s="1" t="s">
        <v>4784</v>
      </c>
      <c r="K9" s="1">
        <v>1</v>
      </c>
    </row>
    <row r="10" spans="1:11">
      <c r="A10" s="1" t="s">
        <v>4811</v>
      </c>
      <c r="B10" s="1">
        <v>116</v>
      </c>
      <c r="C10" s="1" t="s">
        <v>4812</v>
      </c>
      <c r="D10" s="1" t="s">
        <v>4813</v>
      </c>
      <c r="E10" s="1" t="s">
        <v>2117</v>
      </c>
      <c r="F10" s="1">
        <v>2019</v>
      </c>
      <c r="G10" s="1" t="s">
        <v>2118</v>
      </c>
      <c r="H10" s="1" t="s">
        <v>4784</v>
      </c>
      <c r="I10" s="1" t="s">
        <v>4814</v>
      </c>
      <c r="J10" s="1" t="s">
        <v>4784</v>
      </c>
      <c r="K10" s="1">
        <v>1</v>
      </c>
    </row>
    <row r="11" spans="1:11">
      <c r="A11" s="1" t="s">
        <v>4815</v>
      </c>
      <c r="B11" s="1">
        <v>25</v>
      </c>
      <c r="C11" s="1" t="s">
        <v>4816</v>
      </c>
      <c r="D11" s="1" t="s">
        <v>4817</v>
      </c>
      <c r="E11" s="1" t="s">
        <v>4121</v>
      </c>
      <c r="F11" s="1">
        <v>2021</v>
      </c>
      <c r="G11" s="1" t="s">
        <v>4818</v>
      </c>
      <c r="H11" s="1" t="s">
        <v>4784</v>
      </c>
      <c r="I11" s="1"/>
      <c r="J11" s="1"/>
      <c r="K11" s="1">
        <v>1</v>
      </c>
    </row>
    <row r="12" spans="1:11">
      <c r="A12" s="1" t="s">
        <v>4819</v>
      </c>
      <c r="B12" s="1">
        <v>16</v>
      </c>
      <c r="C12" s="1" t="s">
        <v>4820</v>
      </c>
      <c r="D12" s="1" t="s">
        <v>4821</v>
      </c>
      <c r="E12" s="1" t="s">
        <v>1810</v>
      </c>
      <c r="F12" s="1">
        <v>2018</v>
      </c>
      <c r="G12" s="22" t="s">
        <v>4822</v>
      </c>
      <c r="H12" s="1" t="s">
        <v>4784</v>
      </c>
      <c r="I12" s="1"/>
      <c r="J12" s="1"/>
      <c r="K12" s="1">
        <v>1</v>
      </c>
    </row>
    <row r="13" spans="1:11">
      <c r="A13" s="1" t="s">
        <v>4823</v>
      </c>
      <c r="B13" s="1">
        <v>98</v>
      </c>
      <c r="C13" s="1" t="s">
        <v>4824</v>
      </c>
      <c r="D13" s="1" t="s">
        <v>2956</v>
      </c>
      <c r="E13" s="1" t="s">
        <v>2957</v>
      </c>
      <c r="F13" s="1">
        <v>2018</v>
      </c>
      <c r="G13" s="1" t="s">
        <v>2958</v>
      </c>
      <c r="H13" s="1" t="s">
        <v>4784</v>
      </c>
      <c r="I13" s="1"/>
      <c r="J13" s="1" t="s">
        <v>4784</v>
      </c>
      <c r="K13" s="1">
        <v>1</v>
      </c>
    </row>
    <row r="14" spans="1:11">
      <c r="A14" s="1" t="s">
        <v>4825</v>
      </c>
      <c r="B14" s="1">
        <v>131</v>
      </c>
      <c r="C14" s="1" t="s">
        <v>4826</v>
      </c>
      <c r="D14" t="s">
        <v>4128</v>
      </c>
      <c r="E14" s="1" t="s">
        <v>4121</v>
      </c>
      <c r="F14" s="1">
        <v>2024</v>
      </c>
      <c r="G14" s="1" t="s">
        <v>4129</v>
      </c>
      <c r="H14" s="1" t="s">
        <v>4784</v>
      </c>
      <c r="I14" s="1"/>
      <c r="J14" s="1" t="s">
        <v>4784</v>
      </c>
      <c r="K14" s="1">
        <v>1</v>
      </c>
    </row>
    <row r="15" spans="1:11">
      <c r="A15" s="1" t="s">
        <v>4827</v>
      </c>
      <c r="B15" s="1">
        <v>66</v>
      </c>
      <c r="C15" s="1" t="s">
        <v>4828</v>
      </c>
      <c r="D15" s="1" t="s">
        <v>2934</v>
      </c>
      <c r="E15" s="24" t="s">
        <v>2935</v>
      </c>
      <c r="F15" s="1">
        <v>2022</v>
      </c>
      <c r="G15" s="1" t="s">
        <v>2936</v>
      </c>
      <c r="H15" s="1" t="s">
        <v>4784</v>
      </c>
      <c r="I15" s="1" t="s">
        <v>4829</v>
      </c>
      <c r="J15" s="1" t="s">
        <v>4784</v>
      </c>
      <c r="K15" s="1">
        <v>1</v>
      </c>
    </row>
    <row r="16" spans="1:11">
      <c r="A16" s="1" t="s">
        <v>4830</v>
      </c>
      <c r="B16" s="1">
        <v>133</v>
      </c>
      <c r="C16" s="1" t="s">
        <v>4831</v>
      </c>
      <c r="D16" t="s">
        <v>3648</v>
      </c>
      <c r="E16" s="1" t="s">
        <v>3649</v>
      </c>
      <c r="F16" s="1">
        <v>2024</v>
      </c>
      <c r="G16" t="s">
        <v>3650</v>
      </c>
      <c r="H16" s="1" t="s">
        <v>4784</v>
      </c>
      <c r="I16" s="1"/>
      <c r="J16" s="1" t="s">
        <v>4784</v>
      </c>
      <c r="K16" s="1">
        <v>1</v>
      </c>
    </row>
    <row r="17" spans="1:11">
      <c r="A17" s="1" t="s">
        <v>4832</v>
      </c>
      <c r="B17" s="1">
        <v>128</v>
      </c>
      <c r="C17" s="1" t="s">
        <v>4833</v>
      </c>
      <c r="D17" t="s">
        <v>4565</v>
      </c>
      <c r="E17" t="s">
        <v>4566</v>
      </c>
      <c r="F17" s="1">
        <v>2014</v>
      </c>
      <c r="G17" s="1" t="s">
        <v>4567</v>
      </c>
      <c r="H17" s="1" t="s">
        <v>4784</v>
      </c>
      <c r="I17" s="1"/>
      <c r="J17" s="1" t="s">
        <v>4784</v>
      </c>
      <c r="K17" s="1">
        <v>1</v>
      </c>
    </row>
    <row r="18" spans="1:11">
      <c r="A18" s="1" t="s">
        <v>4834</v>
      </c>
      <c r="B18" s="1">
        <v>14</v>
      </c>
      <c r="C18" s="1" t="s">
        <v>4835</v>
      </c>
      <c r="D18" s="1" t="s">
        <v>4836</v>
      </c>
      <c r="E18" s="1" t="s">
        <v>1810</v>
      </c>
      <c r="F18" s="1">
        <v>2019</v>
      </c>
      <c r="G18" s="19" t="s">
        <v>4837</v>
      </c>
      <c r="H18" s="1" t="s">
        <v>4784</v>
      </c>
      <c r="I18" s="1"/>
      <c r="J18" s="1" t="s">
        <v>4784</v>
      </c>
      <c r="K18" s="1">
        <v>1</v>
      </c>
    </row>
    <row r="19" spans="1:11">
      <c r="A19" s="1" t="s">
        <v>4838</v>
      </c>
      <c r="B19" s="1">
        <v>68</v>
      </c>
      <c r="C19" s="1" t="s">
        <v>4839</v>
      </c>
      <c r="D19" s="1" t="s">
        <v>4840</v>
      </c>
      <c r="E19" s="24" t="s">
        <v>4841</v>
      </c>
      <c r="F19" s="1">
        <v>1973</v>
      </c>
      <c r="G19" s="1" t="s">
        <v>4842</v>
      </c>
      <c r="H19" s="1" t="s">
        <v>4784</v>
      </c>
      <c r="I19" s="1"/>
      <c r="J19" s="1"/>
      <c r="K19" s="1">
        <v>1</v>
      </c>
    </row>
    <row r="20" spans="1:11">
      <c r="A20" s="1" t="s">
        <v>4832</v>
      </c>
      <c r="B20" s="1">
        <v>59</v>
      </c>
      <c r="C20" s="1" t="s">
        <v>4843</v>
      </c>
      <c r="D20" s="1" t="s">
        <v>4844</v>
      </c>
      <c r="E20" s="24" t="s">
        <v>4845</v>
      </c>
      <c r="F20" s="1">
        <v>2014</v>
      </c>
      <c r="G20" s="1"/>
      <c r="H20" s="1" t="s">
        <v>4784</v>
      </c>
      <c r="I20" s="1" t="s">
        <v>4846</v>
      </c>
      <c r="J20" s="1"/>
      <c r="K20" s="1">
        <v>1</v>
      </c>
    </row>
    <row r="21" spans="1:11">
      <c r="A21" s="1" t="s">
        <v>4847</v>
      </c>
      <c r="B21" s="1">
        <v>10</v>
      </c>
      <c r="C21" s="1" t="s">
        <v>4848</v>
      </c>
      <c r="D21" s="1" t="s">
        <v>894</v>
      </c>
      <c r="E21" s="1" t="s">
        <v>887</v>
      </c>
      <c r="F21" s="1">
        <v>2020</v>
      </c>
      <c r="G21" s="19" t="s">
        <v>4849</v>
      </c>
      <c r="H21" s="1" t="s">
        <v>4784</v>
      </c>
      <c r="I21" s="1"/>
      <c r="J21" s="1" t="s">
        <v>4784</v>
      </c>
      <c r="K21" s="1">
        <v>1</v>
      </c>
    </row>
    <row r="22" spans="1:11">
      <c r="A22" s="1" t="s">
        <v>4850</v>
      </c>
      <c r="B22" s="1">
        <v>52</v>
      </c>
      <c r="C22" s="1" t="s">
        <v>4851</v>
      </c>
      <c r="D22" s="1" t="s">
        <v>4852</v>
      </c>
      <c r="E22" s="24" t="s">
        <v>4350</v>
      </c>
      <c r="F22" s="1">
        <v>2014</v>
      </c>
      <c r="G22" s="1" t="s">
        <v>4853</v>
      </c>
      <c r="H22" s="1" t="s">
        <v>4784</v>
      </c>
      <c r="I22" s="1"/>
      <c r="J22" s="1"/>
      <c r="K22" s="1">
        <v>1</v>
      </c>
    </row>
    <row r="23" spans="1:11">
      <c r="A23" s="1" t="s">
        <v>4854</v>
      </c>
      <c r="B23" s="1">
        <v>69</v>
      </c>
      <c r="C23" s="1" t="s">
        <v>4855</v>
      </c>
      <c r="D23" s="1" t="s">
        <v>4856</v>
      </c>
      <c r="E23" s="24" t="s">
        <v>4857</v>
      </c>
      <c r="F23" s="1">
        <v>2014</v>
      </c>
      <c r="G23" s="1" t="s">
        <v>4858</v>
      </c>
      <c r="H23" s="1" t="s">
        <v>4784</v>
      </c>
      <c r="I23" s="1"/>
      <c r="J23" s="1"/>
      <c r="K23" s="1">
        <v>1</v>
      </c>
    </row>
    <row r="24" spans="1:11">
      <c r="A24" s="1" t="s">
        <v>4859</v>
      </c>
      <c r="B24" s="1">
        <v>31</v>
      </c>
      <c r="C24" s="1" t="s">
        <v>4860</v>
      </c>
      <c r="D24" s="1" t="s">
        <v>4861</v>
      </c>
      <c r="E24" s="1" t="s">
        <v>4121</v>
      </c>
      <c r="F24" s="1">
        <v>2019</v>
      </c>
      <c r="G24" s="1" t="s">
        <v>4862</v>
      </c>
      <c r="H24" s="1" t="s">
        <v>4784</v>
      </c>
      <c r="I24" s="1"/>
      <c r="J24" s="1"/>
      <c r="K24" s="1">
        <v>1</v>
      </c>
    </row>
    <row r="25" spans="1:11">
      <c r="A25" t="s">
        <v>4863</v>
      </c>
      <c r="B25">
        <v>138</v>
      </c>
      <c r="C25" t="s">
        <v>4864</v>
      </c>
      <c r="D25" t="s">
        <v>2428</v>
      </c>
      <c r="E25" t="s">
        <v>2429</v>
      </c>
      <c r="F25">
        <v>2024</v>
      </c>
      <c r="G25" t="s">
        <v>2430</v>
      </c>
      <c r="H25" t="s">
        <v>4784</v>
      </c>
      <c r="J25" t="s">
        <v>4784</v>
      </c>
      <c r="K25" s="1">
        <v>1</v>
      </c>
    </row>
    <row r="26" spans="1:11">
      <c r="A26" s="1" t="s">
        <v>4865</v>
      </c>
      <c r="B26" s="1">
        <v>42</v>
      </c>
      <c r="C26" s="1" t="s">
        <v>4866</v>
      </c>
      <c r="D26" s="1" t="s">
        <v>4132</v>
      </c>
      <c r="E26" s="1" t="s">
        <v>4121</v>
      </c>
      <c r="F26" s="1">
        <v>2020</v>
      </c>
      <c r="G26" s="1" t="s">
        <v>4867</v>
      </c>
      <c r="H26" s="1" t="s">
        <v>4784</v>
      </c>
      <c r="I26" s="1" t="s">
        <v>4868</v>
      </c>
      <c r="J26" s="1" t="s">
        <v>4784</v>
      </c>
      <c r="K26" s="1">
        <v>1</v>
      </c>
    </row>
    <row r="27" spans="1:11">
      <c r="A27" s="1" t="s">
        <v>4869</v>
      </c>
      <c r="B27" s="1">
        <v>5</v>
      </c>
      <c r="C27" s="1" t="s">
        <v>4870</v>
      </c>
      <c r="D27" s="1" t="s">
        <v>4871</v>
      </c>
      <c r="E27" s="1" t="s">
        <v>509</v>
      </c>
      <c r="F27" s="1">
        <v>2006</v>
      </c>
      <c r="G27" s="19" t="s">
        <v>4872</v>
      </c>
      <c r="H27" s="1" t="s">
        <v>4784</v>
      </c>
      <c r="I27" s="1"/>
      <c r="J27" s="1"/>
      <c r="K27" s="1">
        <v>1</v>
      </c>
    </row>
    <row r="28" spans="1:11">
      <c r="A28" s="1" t="s">
        <v>4873</v>
      </c>
      <c r="B28" s="1">
        <v>29</v>
      </c>
      <c r="C28" s="1" t="s">
        <v>4874</v>
      </c>
      <c r="D28" s="1" t="s">
        <v>4139</v>
      </c>
      <c r="E28" s="1" t="s">
        <v>4121</v>
      </c>
      <c r="F28" s="1">
        <v>2010</v>
      </c>
      <c r="G28" s="19" t="s">
        <v>4875</v>
      </c>
      <c r="H28" s="1" t="s">
        <v>4784</v>
      </c>
      <c r="I28" s="1" t="s">
        <v>4876</v>
      </c>
      <c r="J28" s="1" t="s">
        <v>4784</v>
      </c>
      <c r="K28" s="1">
        <v>1</v>
      </c>
    </row>
    <row r="29" spans="1:11">
      <c r="A29" s="44" t="s">
        <v>4877</v>
      </c>
      <c r="B29" s="1">
        <v>84</v>
      </c>
      <c r="C29" s="1" t="s">
        <v>4878</v>
      </c>
      <c r="D29" s="1" t="s">
        <v>4879</v>
      </c>
      <c r="E29" s="1" t="s">
        <v>4121</v>
      </c>
      <c r="F29" s="1">
        <v>2016</v>
      </c>
      <c r="G29" s="1" t="s">
        <v>4145</v>
      </c>
      <c r="H29" s="1" t="s">
        <v>4784</v>
      </c>
      <c r="I29" s="1"/>
      <c r="J29" s="1" t="s">
        <v>4784</v>
      </c>
      <c r="K29" s="1">
        <v>1</v>
      </c>
    </row>
    <row r="30" spans="1:11">
      <c r="A30" s="1" t="s">
        <v>4880</v>
      </c>
      <c r="B30" s="1">
        <v>83</v>
      </c>
      <c r="C30" s="1" t="s">
        <v>4878</v>
      </c>
      <c r="D30" s="1" t="s">
        <v>4881</v>
      </c>
      <c r="E30" s="1" t="s">
        <v>2661</v>
      </c>
      <c r="F30" s="1">
        <v>2015</v>
      </c>
      <c r="G30" s="1" t="s">
        <v>2662</v>
      </c>
      <c r="H30" s="1" t="s">
        <v>4784</v>
      </c>
      <c r="I30" s="1"/>
      <c r="J30" s="1" t="s">
        <v>4784</v>
      </c>
      <c r="K30" s="1">
        <v>1</v>
      </c>
    </row>
    <row r="31" spans="1:11">
      <c r="A31" s="1" t="s">
        <v>4882</v>
      </c>
      <c r="B31" s="1">
        <v>106</v>
      </c>
      <c r="C31" s="1" t="s">
        <v>4883</v>
      </c>
      <c r="D31" s="1" t="s">
        <v>4466</v>
      </c>
      <c r="E31" s="1" t="s">
        <v>4455</v>
      </c>
      <c r="F31" s="1">
        <v>2022</v>
      </c>
      <c r="G31" t="s">
        <v>4467</v>
      </c>
      <c r="H31" s="1" t="s">
        <v>4784</v>
      </c>
      <c r="I31" s="1"/>
      <c r="J31" s="1" t="s">
        <v>4784</v>
      </c>
      <c r="K31" s="1">
        <v>1</v>
      </c>
    </row>
    <row r="32" spans="1:11">
      <c r="A32" s="1" t="s">
        <v>4884</v>
      </c>
      <c r="B32" s="1">
        <v>70</v>
      </c>
      <c r="C32" s="1" t="s">
        <v>4883</v>
      </c>
      <c r="D32" s="1" t="s">
        <v>1007</v>
      </c>
      <c r="E32" s="24" t="s">
        <v>1008</v>
      </c>
      <c r="F32" s="1">
        <v>2013</v>
      </c>
      <c r="G32" s="1" t="s">
        <v>1009</v>
      </c>
      <c r="H32" s="1" t="s">
        <v>4784</v>
      </c>
      <c r="I32" s="1"/>
      <c r="J32" s="1" t="s">
        <v>4784</v>
      </c>
      <c r="K32" s="1">
        <v>1</v>
      </c>
    </row>
    <row r="33" spans="1:11">
      <c r="A33" s="1" t="s">
        <v>4884</v>
      </c>
      <c r="B33" s="1">
        <v>46</v>
      </c>
      <c r="C33" s="1" t="s">
        <v>4883</v>
      </c>
      <c r="D33" s="1" t="s">
        <v>4385</v>
      </c>
      <c r="E33" s="1" t="s">
        <v>4350</v>
      </c>
      <c r="F33" s="1">
        <v>2013</v>
      </c>
      <c r="G33" s="22" t="s">
        <v>4885</v>
      </c>
      <c r="H33" s="1" t="s">
        <v>4784</v>
      </c>
      <c r="I33" s="1"/>
      <c r="J33" s="1"/>
      <c r="K33" s="1">
        <v>1</v>
      </c>
    </row>
    <row r="34" spans="1:11">
      <c r="A34" s="1" t="s">
        <v>4886</v>
      </c>
      <c r="B34" s="1">
        <v>50</v>
      </c>
      <c r="C34" s="1" t="s">
        <v>4883</v>
      </c>
      <c r="D34" s="1" t="s">
        <v>4381</v>
      </c>
      <c r="E34" s="24" t="s">
        <v>4350</v>
      </c>
      <c r="F34" s="1">
        <v>2011</v>
      </c>
      <c r="G34" s="1" t="s">
        <v>4887</v>
      </c>
      <c r="H34" s="1" t="s">
        <v>4784</v>
      </c>
      <c r="I34" s="1"/>
      <c r="J34" s="1" t="s">
        <v>4784</v>
      </c>
      <c r="K34" s="1">
        <v>1</v>
      </c>
    </row>
    <row r="35" spans="1:11">
      <c r="A35" s="1" t="s">
        <v>4888</v>
      </c>
      <c r="B35" s="1">
        <v>71</v>
      </c>
      <c r="C35" s="1" t="s">
        <v>4889</v>
      </c>
      <c r="D35" s="1" t="s">
        <v>4890</v>
      </c>
      <c r="E35" s="24" t="s">
        <v>2058</v>
      </c>
      <c r="F35" s="1">
        <v>2016</v>
      </c>
      <c r="G35" s="1" t="s">
        <v>4891</v>
      </c>
      <c r="H35" s="1" t="s">
        <v>4784</v>
      </c>
      <c r="I35" s="1"/>
      <c r="J35" s="1" t="s">
        <v>4784</v>
      </c>
      <c r="K35" s="1">
        <v>1</v>
      </c>
    </row>
    <row r="36" spans="1:11">
      <c r="A36" s="1" t="s">
        <v>4892</v>
      </c>
      <c r="B36" s="1">
        <v>125</v>
      </c>
      <c r="C36" s="1" t="s">
        <v>4893</v>
      </c>
      <c r="D36" t="s">
        <v>2984</v>
      </c>
      <c r="E36" s="1" t="s">
        <v>2985</v>
      </c>
      <c r="F36" s="1">
        <v>2023</v>
      </c>
      <c r="G36" t="s">
        <v>2986</v>
      </c>
      <c r="H36" s="1" t="s">
        <v>4784</v>
      </c>
      <c r="I36" s="1"/>
      <c r="J36" s="1" t="s">
        <v>4784</v>
      </c>
      <c r="K36" s="1">
        <v>1</v>
      </c>
    </row>
    <row r="37" spans="1:11">
      <c r="A37" s="1" t="s">
        <v>4894</v>
      </c>
      <c r="B37" s="1">
        <v>7</v>
      </c>
      <c r="C37" s="1" t="s">
        <v>4895</v>
      </c>
      <c r="D37" s="1" t="s">
        <v>902</v>
      </c>
      <c r="E37" s="1" t="s">
        <v>887</v>
      </c>
      <c r="F37" s="1">
        <v>2021</v>
      </c>
      <c r="G37" s="1" t="s">
        <v>4896</v>
      </c>
      <c r="H37" s="1" t="s">
        <v>4784</v>
      </c>
      <c r="I37" s="1"/>
      <c r="J37" s="1" t="s">
        <v>4784</v>
      </c>
      <c r="K37" s="1">
        <v>1</v>
      </c>
    </row>
    <row r="38" spans="1:11">
      <c r="A38" s="1" t="s">
        <v>4897</v>
      </c>
      <c r="B38" s="1">
        <v>40</v>
      </c>
      <c r="C38" s="1" t="s">
        <v>4895</v>
      </c>
      <c r="D38" s="1" t="s">
        <v>4898</v>
      </c>
      <c r="E38" s="1" t="s">
        <v>4121</v>
      </c>
      <c r="F38" s="1">
        <v>2017</v>
      </c>
      <c r="G38" s="1" t="s">
        <v>4899</v>
      </c>
      <c r="H38" s="1" t="s">
        <v>4784</v>
      </c>
      <c r="I38" s="1"/>
      <c r="J38" s="1"/>
      <c r="K38" s="1">
        <v>1</v>
      </c>
    </row>
    <row r="39" spans="1:11">
      <c r="A39" s="1" t="s">
        <v>4900</v>
      </c>
      <c r="B39" s="1">
        <v>12</v>
      </c>
      <c r="C39" s="1" t="s">
        <v>4901</v>
      </c>
      <c r="D39" s="1" t="s">
        <v>908</v>
      </c>
      <c r="E39" s="1" t="s">
        <v>887</v>
      </c>
      <c r="F39" s="1">
        <v>2021</v>
      </c>
      <c r="G39" s="19" t="s">
        <v>4902</v>
      </c>
      <c r="H39" s="1" t="s">
        <v>4784</v>
      </c>
      <c r="I39" s="1"/>
      <c r="J39" s="1" t="s">
        <v>4784</v>
      </c>
      <c r="K39" s="1">
        <v>1</v>
      </c>
    </row>
    <row r="40" spans="1:11">
      <c r="A40" s="1" t="s">
        <v>4903</v>
      </c>
      <c r="B40" s="1">
        <v>56</v>
      </c>
      <c r="C40" s="1" t="s">
        <v>4904</v>
      </c>
      <c r="D40" s="1" t="s">
        <v>3428</v>
      </c>
      <c r="E40" s="24" t="s">
        <v>4905</v>
      </c>
      <c r="F40" s="1">
        <v>2013</v>
      </c>
      <c r="G40" s="1" t="s">
        <v>4906</v>
      </c>
      <c r="H40" s="1" t="s">
        <v>4784</v>
      </c>
      <c r="I40" s="1" t="s">
        <v>4907</v>
      </c>
      <c r="J40" s="1" t="s">
        <v>4784</v>
      </c>
      <c r="K40" s="1">
        <v>1</v>
      </c>
    </row>
    <row r="41" spans="1:11">
      <c r="A41" s="1" t="s">
        <v>4908</v>
      </c>
      <c r="B41" s="1">
        <v>53</v>
      </c>
      <c r="C41" s="1" t="s">
        <v>4909</v>
      </c>
      <c r="D41" s="1" t="s">
        <v>4473</v>
      </c>
      <c r="E41" s="24" t="s">
        <v>4455</v>
      </c>
      <c r="F41" s="1">
        <v>2019</v>
      </c>
      <c r="G41" s="1" t="s">
        <v>4910</v>
      </c>
      <c r="H41" s="1" t="s">
        <v>4784</v>
      </c>
      <c r="I41" s="1" t="s">
        <v>4911</v>
      </c>
      <c r="J41" s="1" t="s">
        <v>4784</v>
      </c>
      <c r="K41" s="1">
        <v>1</v>
      </c>
    </row>
    <row r="42" spans="1:11">
      <c r="A42" s="1" t="s">
        <v>4912</v>
      </c>
      <c r="B42" s="1">
        <v>72</v>
      </c>
      <c r="C42" s="1" t="s">
        <v>4913</v>
      </c>
      <c r="D42" s="1" t="s">
        <v>4914</v>
      </c>
      <c r="E42" s="24" t="s">
        <v>2200</v>
      </c>
      <c r="F42" s="1">
        <v>2019</v>
      </c>
      <c r="G42" s="22" t="s">
        <v>4915</v>
      </c>
      <c r="H42" s="1" t="s">
        <v>4784</v>
      </c>
      <c r="I42" s="1"/>
      <c r="J42" s="1" t="s">
        <v>4784</v>
      </c>
      <c r="K42" s="1">
        <v>1</v>
      </c>
    </row>
    <row r="43" spans="1:11">
      <c r="A43" s="1" t="s">
        <v>4916</v>
      </c>
      <c r="B43" s="1">
        <v>54</v>
      </c>
      <c r="C43" s="1" t="s">
        <v>4913</v>
      </c>
      <c r="D43" s="1" t="s">
        <v>4917</v>
      </c>
      <c r="E43" s="24" t="s">
        <v>4455</v>
      </c>
      <c r="F43" s="1">
        <v>2016</v>
      </c>
      <c r="G43" s="1" t="s">
        <v>4918</v>
      </c>
      <c r="H43" s="1" t="s">
        <v>4784</v>
      </c>
      <c r="I43" s="1"/>
      <c r="J43" s="1" t="s">
        <v>4784</v>
      </c>
      <c r="K43" s="1">
        <v>1</v>
      </c>
    </row>
    <row r="44" spans="1:11">
      <c r="A44" s="1" t="s">
        <v>4919</v>
      </c>
      <c r="B44" s="1">
        <v>118</v>
      </c>
      <c r="C44" s="1" t="s">
        <v>4920</v>
      </c>
      <c r="D44" s="1" t="s">
        <v>624</v>
      </c>
      <c r="E44" s="1" t="s">
        <v>625</v>
      </c>
      <c r="F44" s="1">
        <v>2017</v>
      </c>
      <c r="G44" s="1" t="s">
        <v>626</v>
      </c>
      <c r="H44" s="1" t="s">
        <v>4784</v>
      </c>
      <c r="I44" s="1"/>
      <c r="J44" s="1" t="s">
        <v>4784</v>
      </c>
      <c r="K44" s="1">
        <v>1</v>
      </c>
    </row>
    <row r="45" spans="1:11">
      <c r="A45" s="1" t="s">
        <v>4921</v>
      </c>
      <c r="B45" s="1">
        <v>49</v>
      </c>
      <c r="C45" s="1" t="s">
        <v>4922</v>
      </c>
      <c r="D45" s="1" t="s">
        <v>4392</v>
      </c>
      <c r="E45" s="24" t="s">
        <v>4350</v>
      </c>
      <c r="F45" s="1">
        <v>2007</v>
      </c>
      <c r="G45" s="22" t="s">
        <v>4923</v>
      </c>
      <c r="H45" s="1" t="s">
        <v>4784</v>
      </c>
      <c r="I45" s="1"/>
      <c r="J45" s="1" t="s">
        <v>4784</v>
      </c>
      <c r="K45" s="1">
        <v>1</v>
      </c>
    </row>
    <row r="46" spans="1:11">
      <c r="A46" s="1" t="s">
        <v>4924</v>
      </c>
      <c r="B46" s="1">
        <v>73</v>
      </c>
      <c r="C46" s="1" t="s">
        <v>4925</v>
      </c>
      <c r="D46" s="1" t="s">
        <v>4926</v>
      </c>
      <c r="E46" s="24" t="s">
        <v>4927</v>
      </c>
      <c r="F46" s="1">
        <v>2010</v>
      </c>
      <c r="G46" s="1" t="s">
        <v>4928</v>
      </c>
      <c r="H46" s="1" t="s">
        <v>4784</v>
      </c>
      <c r="I46" s="1"/>
      <c r="J46" s="1"/>
      <c r="K46" s="1">
        <v>1</v>
      </c>
    </row>
    <row r="47" spans="1:11">
      <c r="A47" s="1" t="s">
        <v>4929</v>
      </c>
      <c r="B47" s="1">
        <v>132</v>
      </c>
      <c r="C47" s="1" t="s">
        <v>4930</v>
      </c>
      <c r="D47" t="s">
        <v>3976</v>
      </c>
      <c r="E47" s="1" t="s">
        <v>4931</v>
      </c>
      <c r="F47" s="1">
        <v>2024</v>
      </c>
      <c r="G47" t="s">
        <v>3977</v>
      </c>
      <c r="H47" s="1" t="s">
        <v>4784</v>
      </c>
      <c r="I47" s="1" t="s">
        <v>4932</v>
      </c>
      <c r="J47" s="1" t="s">
        <v>4784</v>
      </c>
      <c r="K47" s="1">
        <v>1</v>
      </c>
    </row>
    <row r="48" spans="1:11">
      <c r="A48" s="1" t="s">
        <v>4933</v>
      </c>
      <c r="B48" s="1">
        <v>30</v>
      </c>
      <c r="C48" s="1" t="s">
        <v>4934</v>
      </c>
      <c r="D48" s="1" t="s">
        <v>4158</v>
      </c>
      <c r="E48" s="1" t="s">
        <v>4121</v>
      </c>
      <c r="F48" s="1">
        <v>2017</v>
      </c>
      <c r="G48" s="1" t="s">
        <v>4935</v>
      </c>
      <c r="H48" s="1" t="s">
        <v>4784</v>
      </c>
      <c r="I48" s="1" t="s">
        <v>4936</v>
      </c>
      <c r="J48" s="1" t="s">
        <v>4784</v>
      </c>
      <c r="K48" s="1">
        <v>1</v>
      </c>
    </row>
    <row r="49" spans="1:11">
      <c r="A49" s="1" t="s">
        <v>4937</v>
      </c>
      <c r="B49" s="1">
        <v>57</v>
      </c>
      <c r="C49" s="1" t="s">
        <v>4938</v>
      </c>
      <c r="D49" s="1" t="s">
        <v>4939</v>
      </c>
      <c r="E49" s="24" t="s">
        <v>2170</v>
      </c>
      <c r="F49" s="1">
        <v>2018</v>
      </c>
      <c r="G49" s="1" t="s">
        <v>4940</v>
      </c>
      <c r="H49" s="1" t="s">
        <v>4784</v>
      </c>
      <c r="I49" s="1"/>
      <c r="J49" s="1" t="s">
        <v>4784</v>
      </c>
      <c r="K49" s="1">
        <v>1</v>
      </c>
    </row>
    <row r="50" spans="1:11">
      <c r="A50" s="1" t="s">
        <v>4941</v>
      </c>
      <c r="B50" s="1">
        <v>112</v>
      </c>
      <c r="C50" s="1" t="s">
        <v>4942</v>
      </c>
      <c r="D50" s="1" t="s">
        <v>4165</v>
      </c>
      <c r="E50" s="1" t="s">
        <v>4121</v>
      </c>
      <c r="F50" s="1">
        <v>2022</v>
      </c>
      <c r="G50" s="1" t="s">
        <v>4166</v>
      </c>
      <c r="H50" s="1" t="s">
        <v>4784</v>
      </c>
      <c r="I50" s="1" t="s">
        <v>4943</v>
      </c>
      <c r="J50" s="1" t="s">
        <v>4784</v>
      </c>
      <c r="K50" s="1">
        <v>1</v>
      </c>
    </row>
    <row r="51" spans="1:11">
      <c r="A51" s="1" t="s">
        <v>4944</v>
      </c>
      <c r="B51" s="1">
        <v>8</v>
      </c>
      <c r="C51" s="1" t="s">
        <v>4945</v>
      </c>
      <c r="D51" s="1" t="s">
        <v>922</v>
      </c>
      <c r="E51" s="1" t="s">
        <v>887</v>
      </c>
      <c r="F51" s="1">
        <v>2020</v>
      </c>
      <c r="G51" s="19" t="s">
        <v>4946</v>
      </c>
      <c r="H51" s="1" t="s">
        <v>4784</v>
      </c>
      <c r="I51" s="1"/>
      <c r="J51" s="1" t="s">
        <v>4784</v>
      </c>
      <c r="K51" s="1">
        <v>1</v>
      </c>
    </row>
    <row r="52" spans="1:11">
      <c r="A52" s="1" t="s">
        <v>4944</v>
      </c>
      <c r="B52" s="1">
        <v>36</v>
      </c>
      <c r="C52" s="1" t="s">
        <v>4945</v>
      </c>
      <c r="D52" s="1" t="s">
        <v>4947</v>
      </c>
      <c r="E52" s="1" t="s">
        <v>4121</v>
      </c>
      <c r="F52" s="1">
        <v>2020</v>
      </c>
      <c r="G52" s="22" t="s">
        <v>4948</v>
      </c>
      <c r="H52" s="1" t="s">
        <v>4784</v>
      </c>
      <c r="I52" s="1"/>
      <c r="J52" s="1" t="s">
        <v>4784</v>
      </c>
      <c r="K52" s="1">
        <v>1</v>
      </c>
    </row>
    <row r="53" spans="1:11">
      <c r="A53" s="1" t="s">
        <v>4949</v>
      </c>
      <c r="B53" s="1">
        <v>109</v>
      </c>
      <c r="C53" s="1" t="s">
        <v>4950</v>
      </c>
      <c r="D53" s="1" t="s">
        <v>2206</v>
      </c>
      <c r="E53" s="1" t="s">
        <v>2200</v>
      </c>
      <c r="F53" s="1">
        <v>2022</v>
      </c>
      <c r="G53" s="1" t="s">
        <v>4951</v>
      </c>
      <c r="H53" s="1" t="s">
        <v>4784</v>
      </c>
      <c r="I53" s="1"/>
      <c r="J53" s="1" t="s">
        <v>4784</v>
      </c>
      <c r="K53" s="1">
        <v>1</v>
      </c>
    </row>
    <row r="54" spans="1:11">
      <c r="A54" s="1" t="s">
        <v>4952</v>
      </c>
      <c r="B54" s="1">
        <v>110</v>
      </c>
      <c r="C54" s="1" t="s">
        <v>4953</v>
      </c>
      <c r="D54" s="1" t="s">
        <v>2369</v>
      </c>
      <c r="E54" s="1" t="s">
        <v>2362</v>
      </c>
      <c r="F54" s="1">
        <v>2022</v>
      </c>
      <c r="G54" s="1" t="s">
        <v>4954</v>
      </c>
      <c r="H54" s="1" t="s">
        <v>4784</v>
      </c>
      <c r="I54" s="1"/>
      <c r="J54" s="1" t="s">
        <v>4784</v>
      </c>
      <c r="K54" s="1">
        <v>1</v>
      </c>
    </row>
    <row r="55" spans="1:11">
      <c r="A55" s="1" t="s">
        <v>4955</v>
      </c>
      <c r="B55" s="1">
        <v>134</v>
      </c>
      <c r="C55" s="1" t="s">
        <v>4956</v>
      </c>
      <c r="D55" t="s">
        <v>863</v>
      </c>
      <c r="E55" s="1" t="s">
        <v>864</v>
      </c>
      <c r="F55" s="1">
        <v>2023</v>
      </c>
      <c r="G55" t="s">
        <v>865</v>
      </c>
      <c r="H55" s="1" t="s">
        <v>4784</v>
      </c>
      <c r="I55" s="1"/>
      <c r="J55" s="1" t="s">
        <v>4784</v>
      </c>
      <c r="K55" s="1">
        <v>1</v>
      </c>
    </row>
    <row r="56" spans="1:11">
      <c r="A56" s="1" t="s">
        <v>4957</v>
      </c>
      <c r="B56" s="1">
        <v>45</v>
      </c>
      <c r="C56" s="1" t="s">
        <v>4958</v>
      </c>
      <c r="D56" s="1" t="s">
        <v>4959</v>
      </c>
      <c r="E56" s="1" t="s">
        <v>4350</v>
      </c>
      <c r="F56" s="1">
        <v>2012</v>
      </c>
      <c r="G56" s="22" t="s">
        <v>4960</v>
      </c>
      <c r="H56" s="1" t="s">
        <v>4784</v>
      </c>
      <c r="I56" s="1"/>
      <c r="J56" s="1"/>
      <c r="K56" s="1">
        <v>1</v>
      </c>
    </row>
    <row r="57" spans="1:11">
      <c r="A57" s="1" t="s">
        <v>4961</v>
      </c>
      <c r="B57" s="1">
        <v>37</v>
      </c>
      <c r="C57" s="1" t="s">
        <v>4962</v>
      </c>
      <c r="D57" s="1" t="s">
        <v>4182</v>
      </c>
      <c r="E57" s="1" t="s">
        <v>4121</v>
      </c>
      <c r="F57" s="1">
        <v>2022</v>
      </c>
      <c r="G57" s="1" t="s">
        <v>4963</v>
      </c>
      <c r="H57" s="1" t="s">
        <v>4784</v>
      </c>
      <c r="I57" s="1" t="s">
        <v>4964</v>
      </c>
      <c r="J57" s="1" t="s">
        <v>4784</v>
      </c>
      <c r="K57" s="1">
        <v>1</v>
      </c>
    </row>
    <row r="58" spans="1:11">
      <c r="A58" s="1" t="s">
        <v>4965</v>
      </c>
      <c r="B58" s="1">
        <v>127</v>
      </c>
      <c r="C58" s="1" t="s">
        <v>4966</v>
      </c>
      <c r="D58" t="s">
        <v>4625</v>
      </c>
      <c r="E58" s="1" t="s">
        <v>4626</v>
      </c>
      <c r="F58" s="1">
        <v>2016</v>
      </c>
      <c r="G58" s="1" t="s">
        <v>4627</v>
      </c>
      <c r="H58" s="1" t="s">
        <v>4784</v>
      </c>
      <c r="I58" s="1" t="s">
        <v>4967</v>
      </c>
      <c r="J58" s="1" t="s">
        <v>4784</v>
      </c>
      <c r="K58" s="1">
        <v>1</v>
      </c>
    </row>
    <row r="59" spans="1:11">
      <c r="A59" s="1" t="s">
        <v>4968</v>
      </c>
      <c r="B59" s="1">
        <v>123</v>
      </c>
      <c r="C59" s="1" t="s">
        <v>4969</v>
      </c>
      <c r="D59" t="s">
        <v>2466</v>
      </c>
      <c r="E59" s="1" t="s">
        <v>2467</v>
      </c>
      <c r="F59" s="1">
        <v>2023</v>
      </c>
      <c r="G59" t="s">
        <v>2468</v>
      </c>
      <c r="H59" s="1" t="s">
        <v>4784</v>
      </c>
      <c r="I59" s="1"/>
      <c r="J59" s="1" t="s">
        <v>4784</v>
      </c>
      <c r="K59" s="1">
        <v>1</v>
      </c>
    </row>
    <row r="60" spans="1:11">
      <c r="A60" s="1" t="s">
        <v>4970</v>
      </c>
      <c r="B60" s="1">
        <v>1</v>
      </c>
      <c r="C60" s="1" t="s">
        <v>4971</v>
      </c>
      <c r="D60" s="1" t="s">
        <v>4972</v>
      </c>
      <c r="E60" s="1" t="s">
        <v>4973</v>
      </c>
      <c r="F60" s="1">
        <v>2010</v>
      </c>
      <c r="G60" s="19" t="s">
        <v>4974</v>
      </c>
      <c r="H60" s="1" t="s">
        <v>4784</v>
      </c>
      <c r="I60" s="1"/>
      <c r="J60" s="1" t="s">
        <v>4784</v>
      </c>
      <c r="K60" s="1">
        <v>1</v>
      </c>
    </row>
    <row r="61" spans="1:11">
      <c r="A61" s="1" t="s">
        <v>4975</v>
      </c>
      <c r="B61" s="1">
        <v>26</v>
      </c>
      <c r="C61" s="1" t="s">
        <v>4976</v>
      </c>
      <c r="D61" s="1" t="s">
        <v>4189</v>
      </c>
      <c r="E61" s="1" t="s">
        <v>4121</v>
      </c>
      <c r="F61" s="1">
        <v>2020</v>
      </c>
      <c r="G61" s="1" t="s">
        <v>4977</v>
      </c>
      <c r="H61" s="1" t="s">
        <v>4784</v>
      </c>
      <c r="I61" s="1"/>
      <c r="J61" s="1" t="s">
        <v>4784</v>
      </c>
      <c r="K61" s="1">
        <v>1</v>
      </c>
    </row>
    <row r="62" spans="1:11">
      <c r="A62" s="1" t="s">
        <v>4978</v>
      </c>
      <c r="B62" s="1">
        <v>18</v>
      </c>
      <c r="C62" s="1" t="s">
        <v>4979</v>
      </c>
      <c r="D62" s="1" t="s">
        <v>2562</v>
      </c>
      <c r="E62" s="1" t="s">
        <v>2535</v>
      </c>
      <c r="F62" s="1">
        <v>2021</v>
      </c>
      <c r="G62" s="1" t="s">
        <v>4980</v>
      </c>
      <c r="H62" s="1" t="s">
        <v>4784</v>
      </c>
      <c r="I62" s="1"/>
      <c r="J62" s="1" t="s">
        <v>4784</v>
      </c>
      <c r="K62" s="1">
        <v>1</v>
      </c>
    </row>
    <row r="63" spans="1:11">
      <c r="A63" s="1" t="s">
        <v>4981</v>
      </c>
      <c r="B63" s="1">
        <v>19</v>
      </c>
      <c r="C63" s="1" t="s">
        <v>4982</v>
      </c>
      <c r="D63" s="1" t="s">
        <v>4983</v>
      </c>
      <c r="E63" s="1" t="s">
        <v>2535</v>
      </c>
      <c r="F63" s="1">
        <v>2022</v>
      </c>
      <c r="G63" s="1" t="s">
        <v>4984</v>
      </c>
      <c r="H63" s="1" t="s">
        <v>4784</v>
      </c>
      <c r="I63" s="1"/>
      <c r="J63" s="1" t="s">
        <v>4784</v>
      </c>
      <c r="K63" s="1">
        <v>1</v>
      </c>
    </row>
    <row r="64" spans="1:11">
      <c r="A64" s="1" t="s">
        <v>4985</v>
      </c>
      <c r="B64" s="1">
        <v>21</v>
      </c>
      <c r="C64" s="1" t="s">
        <v>4986</v>
      </c>
      <c r="D64" s="1" t="s">
        <v>4987</v>
      </c>
      <c r="E64" s="1" t="s">
        <v>2535</v>
      </c>
      <c r="F64" s="1">
        <v>2020</v>
      </c>
      <c r="G64" s="1" t="s">
        <v>4988</v>
      </c>
      <c r="H64" s="1" t="s">
        <v>4784</v>
      </c>
      <c r="I64" s="1"/>
      <c r="J64" s="1" t="s">
        <v>4784</v>
      </c>
      <c r="K64" s="1">
        <v>1</v>
      </c>
    </row>
    <row r="65" spans="1:11">
      <c r="A65" s="1" t="s">
        <v>4989</v>
      </c>
      <c r="B65" s="1">
        <v>126</v>
      </c>
      <c r="C65" s="1" t="s">
        <v>4990</v>
      </c>
      <c r="D65" t="s">
        <v>1480</v>
      </c>
      <c r="E65" t="s">
        <v>1481</v>
      </c>
      <c r="F65" s="1">
        <v>2021</v>
      </c>
      <c r="G65" s="1" t="s">
        <v>1482</v>
      </c>
      <c r="H65" s="1" t="s">
        <v>4784</v>
      </c>
      <c r="I65" s="1" t="s">
        <v>4991</v>
      </c>
      <c r="J65" s="1" t="s">
        <v>4784</v>
      </c>
      <c r="K65" s="1">
        <v>1</v>
      </c>
    </row>
    <row r="66" spans="1:11">
      <c r="A66" s="1" t="s">
        <v>4992</v>
      </c>
      <c r="B66" s="1">
        <v>74</v>
      </c>
      <c r="C66" s="1" t="s">
        <v>4993</v>
      </c>
      <c r="D66" s="1" t="s">
        <v>4994</v>
      </c>
      <c r="E66" s="1" t="s">
        <v>4995</v>
      </c>
      <c r="F66" s="1">
        <v>2010</v>
      </c>
      <c r="G66" s="1" t="s">
        <v>4996</v>
      </c>
      <c r="H66" s="1" t="s">
        <v>4784</v>
      </c>
      <c r="I66" s="1"/>
      <c r="J66" s="1"/>
      <c r="K66" s="1">
        <v>1</v>
      </c>
    </row>
    <row r="67" spans="1:11">
      <c r="A67" s="1" t="s">
        <v>4997</v>
      </c>
      <c r="B67" s="1">
        <v>6</v>
      </c>
      <c r="C67" s="1" t="s">
        <v>4998</v>
      </c>
      <c r="D67" s="1" t="s">
        <v>522</v>
      </c>
      <c r="E67" s="1" t="s">
        <v>509</v>
      </c>
      <c r="F67" s="1">
        <v>2014</v>
      </c>
      <c r="G67" s="19" t="s">
        <v>4999</v>
      </c>
      <c r="H67" s="1" t="s">
        <v>4784</v>
      </c>
      <c r="I67" s="1"/>
      <c r="J67" s="1" t="s">
        <v>4784</v>
      </c>
      <c r="K67" s="1">
        <v>1</v>
      </c>
    </row>
    <row r="68" spans="1:11">
      <c r="A68" s="1" t="s">
        <v>5000</v>
      </c>
      <c r="B68" s="1">
        <v>4</v>
      </c>
      <c r="C68" s="1" t="s">
        <v>5001</v>
      </c>
      <c r="D68" s="1" t="s">
        <v>5002</v>
      </c>
      <c r="E68" s="1" t="s">
        <v>509</v>
      </c>
      <c r="F68" s="1">
        <v>2017</v>
      </c>
      <c r="G68" s="19" t="s">
        <v>5003</v>
      </c>
      <c r="H68" s="1" t="s">
        <v>4784</v>
      </c>
      <c r="I68" s="1"/>
      <c r="J68" s="1"/>
      <c r="K68" s="1">
        <v>1</v>
      </c>
    </row>
    <row r="69" spans="1:11">
      <c r="A69" s="1" t="s">
        <v>5004</v>
      </c>
      <c r="B69" s="1">
        <v>107</v>
      </c>
      <c r="C69" s="1" t="s">
        <v>5005</v>
      </c>
      <c r="D69" s="1" t="s">
        <v>456</v>
      </c>
      <c r="E69" s="1" t="s">
        <v>457</v>
      </c>
      <c r="F69" s="1">
        <v>2022</v>
      </c>
      <c r="G69" s="1" t="s">
        <v>458</v>
      </c>
      <c r="H69" s="1" t="s">
        <v>4784</v>
      </c>
      <c r="I69" s="1"/>
      <c r="J69" s="1" t="s">
        <v>4784</v>
      </c>
      <c r="K69" s="1">
        <v>1</v>
      </c>
    </row>
    <row r="70" spans="1:11">
      <c r="A70" s="1" t="s">
        <v>5006</v>
      </c>
      <c r="B70" s="1">
        <v>48</v>
      </c>
      <c r="C70" s="1" t="s">
        <v>5007</v>
      </c>
      <c r="D70" s="1" t="s">
        <v>4413</v>
      </c>
      <c r="E70" s="24" t="s">
        <v>4350</v>
      </c>
      <c r="F70" s="1">
        <v>2020</v>
      </c>
      <c r="G70" s="22" t="s">
        <v>5008</v>
      </c>
      <c r="H70" s="1" t="s">
        <v>4784</v>
      </c>
      <c r="I70" s="1"/>
      <c r="J70" s="1" t="s">
        <v>4784</v>
      </c>
      <c r="K70" s="1">
        <v>1</v>
      </c>
    </row>
    <row r="71" spans="1:11">
      <c r="A71" s="1" t="s">
        <v>5009</v>
      </c>
      <c r="B71" s="1">
        <v>124</v>
      </c>
      <c r="C71" s="1" t="s">
        <v>5010</v>
      </c>
      <c r="D71" s="21" t="s">
        <v>464</v>
      </c>
      <c r="E71" s="1" t="s">
        <v>457</v>
      </c>
      <c r="F71" s="1">
        <v>2023</v>
      </c>
      <c r="G71" s="1" t="s">
        <v>465</v>
      </c>
      <c r="H71" s="1" t="s">
        <v>4784</v>
      </c>
      <c r="I71" s="1" t="s">
        <v>5011</v>
      </c>
      <c r="J71" s="1" t="s">
        <v>4784</v>
      </c>
      <c r="K71" s="1">
        <v>1</v>
      </c>
    </row>
    <row r="72" spans="1:11">
      <c r="A72" s="1" t="s">
        <v>5012</v>
      </c>
      <c r="B72" s="1">
        <v>62</v>
      </c>
      <c r="C72" s="1" t="s">
        <v>5013</v>
      </c>
      <c r="D72" s="1" t="s">
        <v>5014</v>
      </c>
      <c r="E72" s="24" t="s">
        <v>5015</v>
      </c>
      <c r="F72" s="1">
        <v>2008</v>
      </c>
      <c r="G72" s="1" t="s">
        <v>994</v>
      </c>
      <c r="H72" s="1" t="s">
        <v>4784</v>
      </c>
      <c r="I72" s="1"/>
      <c r="J72" s="1" t="s">
        <v>4784</v>
      </c>
      <c r="K72" s="1">
        <v>1</v>
      </c>
    </row>
    <row r="73" spans="1:11">
      <c r="A73" s="1" t="s">
        <v>5016</v>
      </c>
      <c r="B73" s="1">
        <v>111</v>
      </c>
      <c r="C73" s="1" t="s">
        <v>5017</v>
      </c>
      <c r="D73" s="1" t="s">
        <v>1889</v>
      </c>
      <c r="E73" s="1" t="s">
        <v>5018</v>
      </c>
      <c r="F73" s="1">
        <v>2023</v>
      </c>
      <c r="G73" s="1" t="s">
        <v>5019</v>
      </c>
      <c r="H73" s="1" t="s">
        <v>4784</v>
      </c>
      <c r="I73" s="1"/>
      <c r="J73" s="1" t="s">
        <v>4784</v>
      </c>
      <c r="K73" s="1">
        <v>1</v>
      </c>
    </row>
    <row r="74" spans="1:11">
      <c r="A74" s="1" t="s">
        <v>5020</v>
      </c>
      <c r="B74" s="1">
        <v>75</v>
      </c>
      <c r="C74" s="1" t="s">
        <v>5021</v>
      </c>
      <c r="D74" s="1" t="s">
        <v>5022</v>
      </c>
      <c r="E74" s="1" t="s">
        <v>4525</v>
      </c>
      <c r="F74" s="1">
        <v>2016</v>
      </c>
      <c r="G74" s="1" t="s">
        <v>5023</v>
      </c>
      <c r="H74" s="1" t="s">
        <v>4784</v>
      </c>
      <c r="I74" s="1"/>
      <c r="J74" s="1" t="s">
        <v>4784</v>
      </c>
      <c r="K74" s="1">
        <v>1</v>
      </c>
    </row>
    <row r="75" spans="1:11">
      <c r="A75" s="1" t="s">
        <v>5024</v>
      </c>
      <c r="B75" s="1">
        <v>122</v>
      </c>
      <c r="C75" s="1" t="s">
        <v>5025</v>
      </c>
      <c r="D75" s="35" t="s">
        <v>2481</v>
      </c>
      <c r="E75" s="1" t="s">
        <v>5026</v>
      </c>
      <c r="F75" s="1">
        <v>2023</v>
      </c>
      <c r="G75" s="1" t="s">
        <v>2483</v>
      </c>
      <c r="H75" s="1" t="s">
        <v>4784</v>
      </c>
      <c r="I75" s="1"/>
      <c r="J75" s="1" t="s">
        <v>4784</v>
      </c>
      <c r="K75" s="1">
        <v>1</v>
      </c>
    </row>
    <row r="76" spans="1:11">
      <c r="A76" s="1" t="s">
        <v>5027</v>
      </c>
      <c r="B76" s="1">
        <v>97</v>
      </c>
      <c r="C76" s="1" t="s">
        <v>5028</v>
      </c>
      <c r="D76" s="1" t="s">
        <v>4420</v>
      </c>
      <c r="E76" s="1" t="s">
        <v>4350</v>
      </c>
      <c r="F76" s="1">
        <v>2013</v>
      </c>
      <c r="G76" s="1" t="s">
        <v>4421</v>
      </c>
      <c r="H76" s="1" t="s">
        <v>4784</v>
      </c>
      <c r="I76" s="1"/>
      <c r="J76" s="1"/>
      <c r="K76" s="1">
        <v>1</v>
      </c>
    </row>
    <row r="77" spans="1:11">
      <c r="A77" s="1" t="s">
        <v>5029</v>
      </c>
      <c r="B77" s="1">
        <v>85</v>
      </c>
      <c r="C77" s="1" t="s">
        <v>5030</v>
      </c>
      <c r="D77" s="1" t="s">
        <v>1320</v>
      </c>
      <c r="E77" s="1" t="s">
        <v>1321</v>
      </c>
      <c r="F77" s="1">
        <v>2017</v>
      </c>
      <c r="G77" s="1" t="s">
        <v>5031</v>
      </c>
      <c r="H77" s="1" t="s">
        <v>4784</v>
      </c>
      <c r="I77" s="1"/>
      <c r="J77" s="1" t="s">
        <v>4784</v>
      </c>
      <c r="K77" s="1">
        <v>1</v>
      </c>
    </row>
    <row r="78" spans="1:11">
      <c r="A78" s="1" t="s">
        <v>5032</v>
      </c>
      <c r="B78" s="1">
        <v>3</v>
      </c>
      <c r="C78" s="1" t="s">
        <v>5033</v>
      </c>
      <c r="D78" s="1" t="s">
        <v>472</v>
      </c>
      <c r="E78" s="1" t="s">
        <v>457</v>
      </c>
      <c r="F78" s="1">
        <v>2022</v>
      </c>
      <c r="G78" s="19" t="s">
        <v>5034</v>
      </c>
      <c r="H78" s="1" t="s">
        <v>4784</v>
      </c>
      <c r="I78" s="1"/>
      <c r="J78" s="1"/>
      <c r="K78" s="1">
        <v>1</v>
      </c>
    </row>
    <row r="79" spans="1:11">
      <c r="A79" s="1" t="s">
        <v>5035</v>
      </c>
      <c r="B79" s="1">
        <v>76</v>
      </c>
      <c r="C79" s="1" t="s">
        <v>5036</v>
      </c>
      <c r="D79" s="1" t="s">
        <v>5037</v>
      </c>
      <c r="E79" s="1" t="s">
        <v>5038</v>
      </c>
      <c r="F79" s="1">
        <v>2018</v>
      </c>
      <c r="G79" s="1" t="s">
        <v>5039</v>
      </c>
      <c r="H79" s="1" t="s">
        <v>4784</v>
      </c>
      <c r="I79" s="1"/>
      <c r="J79" s="1"/>
      <c r="K79" s="1">
        <v>1</v>
      </c>
    </row>
    <row r="80" spans="1:11">
      <c r="A80" s="1" t="s">
        <v>5040</v>
      </c>
      <c r="B80" s="1">
        <v>77</v>
      </c>
      <c r="C80" s="1" t="s">
        <v>5041</v>
      </c>
      <c r="D80" s="1" t="s">
        <v>5042</v>
      </c>
      <c r="E80" s="1" t="s">
        <v>5043</v>
      </c>
      <c r="F80" s="1">
        <v>2010</v>
      </c>
      <c r="G80" s="1" t="s">
        <v>5044</v>
      </c>
      <c r="H80" s="1" t="s">
        <v>4784</v>
      </c>
      <c r="I80" s="1"/>
      <c r="J80" s="1"/>
      <c r="K80" s="1">
        <v>1</v>
      </c>
    </row>
    <row r="81" spans="1:11">
      <c r="A81" s="1" t="s">
        <v>5045</v>
      </c>
      <c r="B81" s="1">
        <v>86</v>
      </c>
      <c r="C81" s="1" t="s">
        <v>5046</v>
      </c>
      <c r="D81" s="1" t="s">
        <v>4335</v>
      </c>
      <c r="E81" s="1" t="s">
        <v>4328</v>
      </c>
      <c r="F81" s="1">
        <v>2023</v>
      </c>
      <c r="G81" s="1" t="s">
        <v>4336</v>
      </c>
      <c r="H81" s="1" t="s">
        <v>4784</v>
      </c>
      <c r="I81" s="1"/>
      <c r="J81" s="1" t="s">
        <v>4784</v>
      </c>
      <c r="K81" s="1">
        <v>1</v>
      </c>
    </row>
    <row r="82" spans="1:11">
      <c r="A82" s="1" t="s">
        <v>5047</v>
      </c>
      <c r="B82" s="1">
        <v>103</v>
      </c>
      <c r="C82" s="1" t="s">
        <v>5048</v>
      </c>
      <c r="D82" s="1" t="s">
        <v>5049</v>
      </c>
      <c r="E82" s="1" t="s">
        <v>5050</v>
      </c>
      <c r="F82" s="1">
        <v>2010</v>
      </c>
      <c r="G82" s="1" t="s">
        <v>5051</v>
      </c>
      <c r="H82" s="1" t="s">
        <v>4784</v>
      </c>
      <c r="I82" s="1"/>
      <c r="J82" s="1"/>
      <c r="K82" s="1">
        <v>1</v>
      </c>
    </row>
    <row r="83" spans="1:11">
      <c r="A83" s="1" t="s">
        <v>5052</v>
      </c>
      <c r="B83" s="1">
        <v>120</v>
      </c>
      <c r="C83" s="1" t="s">
        <v>5053</v>
      </c>
      <c r="D83" s="1" t="s">
        <v>608</v>
      </c>
      <c r="E83" s="1" t="s">
        <v>609</v>
      </c>
      <c r="F83" s="1">
        <v>2016</v>
      </c>
      <c r="G83" s="1" t="s">
        <v>610</v>
      </c>
      <c r="H83" s="1" t="s">
        <v>4784</v>
      </c>
      <c r="I83" s="1"/>
      <c r="J83" s="1" t="s">
        <v>4784</v>
      </c>
      <c r="K83" s="1">
        <v>1</v>
      </c>
    </row>
    <row r="84" spans="1:11">
      <c r="A84" s="1" t="s">
        <v>5054</v>
      </c>
      <c r="B84" s="1">
        <v>114</v>
      </c>
      <c r="C84" s="1" t="s">
        <v>5055</v>
      </c>
      <c r="D84" s="1" t="s">
        <v>4488</v>
      </c>
      <c r="E84" s="1" t="s">
        <v>4489</v>
      </c>
      <c r="F84" s="1">
        <v>2023</v>
      </c>
      <c r="G84" s="1" t="s">
        <v>4490</v>
      </c>
      <c r="H84" s="1" t="s">
        <v>4784</v>
      </c>
      <c r="I84" s="1"/>
      <c r="J84" s="1" t="s">
        <v>4784</v>
      </c>
      <c r="K84" s="1">
        <v>1</v>
      </c>
    </row>
    <row r="85" spans="1:11">
      <c r="A85" s="1" t="s">
        <v>5056</v>
      </c>
      <c r="B85" s="1">
        <v>11</v>
      </c>
      <c r="C85" s="1" t="s">
        <v>5057</v>
      </c>
      <c r="D85" s="1" t="s">
        <v>5058</v>
      </c>
      <c r="E85" s="1" t="s">
        <v>887</v>
      </c>
      <c r="F85" s="1">
        <v>2020</v>
      </c>
      <c r="G85" s="22" t="s">
        <v>5059</v>
      </c>
      <c r="H85" s="1" t="s">
        <v>4784</v>
      </c>
      <c r="I85" s="1"/>
      <c r="J85" s="1" t="s">
        <v>4784</v>
      </c>
      <c r="K85" s="1">
        <v>1</v>
      </c>
    </row>
    <row r="86" spans="1:11">
      <c r="A86" s="1" t="s">
        <v>5060</v>
      </c>
      <c r="B86" s="1">
        <v>113</v>
      </c>
      <c r="C86" s="1" t="s">
        <v>5061</v>
      </c>
      <c r="D86" s="1" t="s">
        <v>4516</v>
      </c>
      <c r="E86" s="1" t="s">
        <v>5062</v>
      </c>
      <c r="F86" s="1">
        <v>2021</v>
      </c>
      <c r="G86" s="1" t="s">
        <v>4518</v>
      </c>
      <c r="H86" s="1" t="s">
        <v>4784</v>
      </c>
      <c r="I86" s="1" t="s">
        <v>5063</v>
      </c>
      <c r="J86" s="1" t="s">
        <v>4784</v>
      </c>
      <c r="K86" s="1">
        <v>1</v>
      </c>
    </row>
    <row r="87" spans="1:11">
      <c r="A87" t="s">
        <v>5064</v>
      </c>
      <c r="B87">
        <v>135</v>
      </c>
      <c r="C87" t="s">
        <v>5065</v>
      </c>
      <c r="D87" t="s">
        <v>943</v>
      </c>
      <c r="E87" t="s">
        <v>887</v>
      </c>
      <c r="F87">
        <v>2023</v>
      </c>
      <c r="G87" t="s">
        <v>944</v>
      </c>
      <c r="H87" t="s">
        <v>4784</v>
      </c>
      <c r="J87" t="s">
        <v>4784</v>
      </c>
      <c r="K87" s="1">
        <v>1</v>
      </c>
    </row>
    <row r="88" spans="1:11">
      <c r="A88" s="1" t="s">
        <v>5066</v>
      </c>
      <c r="B88" s="1">
        <v>44</v>
      </c>
      <c r="C88" s="1" t="s">
        <v>5067</v>
      </c>
      <c r="D88" s="1" t="s">
        <v>4434</v>
      </c>
      <c r="E88" s="1" t="s">
        <v>4350</v>
      </c>
      <c r="F88" s="1">
        <v>2018</v>
      </c>
      <c r="G88" s="1" t="s">
        <v>5068</v>
      </c>
      <c r="H88" s="1" t="s">
        <v>4784</v>
      </c>
      <c r="I88" s="1"/>
      <c r="J88" s="1" t="s">
        <v>4784</v>
      </c>
      <c r="K88" s="1">
        <v>1</v>
      </c>
    </row>
    <row r="89" spans="1:11">
      <c r="A89" s="1" t="s">
        <v>5069</v>
      </c>
      <c r="B89" s="1">
        <v>55</v>
      </c>
      <c r="C89" s="1" t="s">
        <v>5070</v>
      </c>
      <c r="D89" s="1" t="s">
        <v>5071</v>
      </c>
      <c r="E89" s="24" t="s">
        <v>2274</v>
      </c>
      <c r="F89" s="1">
        <v>2022</v>
      </c>
      <c r="G89" s="1" t="s">
        <v>5072</v>
      </c>
      <c r="H89" s="1" t="s">
        <v>4784</v>
      </c>
      <c r="I89" s="1" t="s">
        <v>5073</v>
      </c>
      <c r="J89" s="1" t="s">
        <v>4784</v>
      </c>
      <c r="K89" s="1">
        <v>1</v>
      </c>
    </row>
    <row r="90" spans="1:11">
      <c r="A90" s="1" t="s">
        <v>5074</v>
      </c>
      <c r="B90" s="1">
        <v>121</v>
      </c>
      <c r="C90" s="1" t="s">
        <v>5075</v>
      </c>
      <c r="D90" t="s">
        <v>5076</v>
      </c>
      <c r="E90" s="1" t="s">
        <v>5077</v>
      </c>
      <c r="F90" s="1">
        <v>2023</v>
      </c>
      <c r="G90" s="1" t="s">
        <v>223</v>
      </c>
      <c r="H90" s="1" t="s">
        <v>4784</v>
      </c>
      <c r="I90" s="1"/>
      <c r="J90" s="1" t="s">
        <v>4784</v>
      </c>
      <c r="K90" s="1">
        <v>1</v>
      </c>
    </row>
    <row r="91" spans="1:11">
      <c r="A91" s="1" t="s">
        <v>5078</v>
      </c>
      <c r="B91" s="1">
        <v>101</v>
      </c>
      <c r="C91" s="1" t="s">
        <v>5079</v>
      </c>
      <c r="D91" s="1" t="s">
        <v>1136</v>
      </c>
      <c r="E91" s="1" t="s">
        <v>1129</v>
      </c>
      <c r="F91" s="1">
        <v>2022</v>
      </c>
      <c r="G91" s="1" t="s">
        <v>1137</v>
      </c>
      <c r="H91" s="1" t="s">
        <v>4784</v>
      </c>
      <c r="I91" s="1"/>
      <c r="J91" s="1" t="s">
        <v>4784</v>
      </c>
      <c r="K91" s="1">
        <v>1</v>
      </c>
    </row>
    <row r="92" spans="1:11">
      <c r="A92" s="1" t="s">
        <v>5080</v>
      </c>
      <c r="B92" s="1">
        <v>24</v>
      </c>
      <c r="C92" s="1" t="s">
        <v>5081</v>
      </c>
      <c r="D92" s="1" t="s">
        <v>2970</v>
      </c>
      <c r="E92" s="1" t="s">
        <v>2957</v>
      </c>
      <c r="F92" s="1">
        <v>2021</v>
      </c>
      <c r="G92" s="1" t="s">
        <v>2971</v>
      </c>
      <c r="H92" s="1" t="s">
        <v>4784</v>
      </c>
      <c r="I92" s="1"/>
      <c r="J92" s="1" t="s">
        <v>4784</v>
      </c>
      <c r="K92" s="1">
        <v>1</v>
      </c>
    </row>
    <row r="93" spans="1:11">
      <c r="A93" s="1" t="s">
        <v>5082</v>
      </c>
      <c r="B93" s="1">
        <v>60</v>
      </c>
      <c r="C93" s="1" t="s">
        <v>5083</v>
      </c>
      <c r="D93" s="1" t="s">
        <v>2518</v>
      </c>
      <c r="E93" s="24" t="s">
        <v>5084</v>
      </c>
      <c r="F93" s="1">
        <v>2014</v>
      </c>
      <c r="G93" s="1" t="s">
        <v>2519</v>
      </c>
      <c r="H93" s="1" t="s">
        <v>4784</v>
      </c>
      <c r="I93" s="1"/>
      <c r="J93" s="1" t="s">
        <v>4784</v>
      </c>
      <c r="K93" s="1">
        <v>1</v>
      </c>
    </row>
    <row r="94" spans="1:11">
      <c r="A94" s="1" t="s">
        <v>5085</v>
      </c>
      <c r="B94" s="1">
        <v>61</v>
      </c>
      <c r="C94" s="1" t="s">
        <v>5086</v>
      </c>
      <c r="D94" s="1" t="s">
        <v>5087</v>
      </c>
      <c r="E94" s="24" t="s">
        <v>5088</v>
      </c>
      <c r="F94" s="1">
        <v>2013</v>
      </c>
      <c r="G94" s="1" t="s">
        <v>5089</v>
      </c>
      <c r="H94" s="1" t="s">
        <v>4784</v>
      </c>
      <c r="I94" s="1"/>
      <c r="J94" s="1"/>
      <c r="K94" s="1">
        <v>1</v>
      </c>
    </row>
    <row r="95" spans="1:11">
      <c r="A95" s="1" t="s">
        <v>5090</v>
      </c>
      <c r="B95" s="1">
        <v>129</v>
      </c>
      <c r="C95" s="1" t="s">
        <v>5091</v>
      </c>
      <c r="D95" t="s">
        <v>812</v>
      </c>
      <c r="E95" t="s">
        <v>813</v>
      </c>
      <c r="F95" s="1">
        <v>2023</v>
      </c>
      <c r="G95" s="1" t="s">
        <v>814</v>
      </c>
      <c r="H95" s="1" t="s">
        <v>4784</v>
      </c>
      <c r="I95" s="1" t="s">
        <v>5092</v>
      </c>
      <c r="J95" s="1" t="s">
        <v>4784</v>
      </c>
      <c r="K95" s="1">
        <v>1</v>
      </c>
    </row>
    <row r="96" spans="1:11">
      <c r="A96" s="1" t="s">
        <v>5093</v>
      </c>
      <c r="B96" s="1">
        <v>38</v>
      </c>
      <c r="C96" s="1" t="s">
        <v>5094</v>
      </c>
      <c r="D96" s="1" t="s">
        <v>4216</v>
      </c>
      <c r="E96" s="1" t="s">
        <v>4121</v>
      </c>
      <c r="F96" s="1">
        <v>2016</v>
      </c>
      <c r="G96" s="1" t="s">
        <v>5095</v>
      </c>
      <c r="H96" s="1" t="s">
        <v>4784</v>
      </c>
      <c r="I96" s="1"/>
      <c r="J96" s="1" t="s">
        <v>4784</v>
      </c>
      <c r="K96" s="1">
        <v>1</v>
      </c>
    </row>
    <row r="97" spans="1:11">
      <c r="A97" s="1" t="s">
        <v>5096</v>
      </c>
      <c r="B97" s="1">
        <v>23</v>
      </c>
      <c r="C97" s="1" t="s">
        <v>5097</v>
      </c>
      <c r="D97" s="1" t="s">
        <v>2977</v>
      </c>
      <c r="E97" s="1" t="s">
        <v>2957</v>
      </c>
      <c r="F97" s="1">
        <v>2019</v>
      </c>
      <c r="G97" s="1" t="s">
        <v>2978</v>
      </c>
      <c r="H97" s="1" t="s">
        <v>4784</v>
      </c>
      <c r="I97" s="1"/>
      <c r="J97" s="1" t="s">
        <v>4784</v>
      </c>
      <c r="K97" s="1">
        <v>1</v>
      </c>
    </row>
    <row r="98" spans="1:11">
      <c r="A98" s="1" t="s">
        <v>5098</v>
      </c>
      <c r="B98" s="1">
        <v>87</v>
      </c>
      <c r="C98" s="1" t="s">
        <v>5099</v>
      </c>
      <c r="D98" s="1" t="s">
        <v>3451</v>
      </c>
      <c r="E98" s="1" t="s">
        <v>3452</v>
      </c>
      <c r="F98" s="1">
        <v>2015</v>
      </c>
      <c r="G98" s="1" t="s">
        <v>3453</v>
      </c>
      <c r="H98" s="1" t="s">
        <v>4784</v>
      </c>
      <c r="I98" s="1"/>
      <c r="J98" s="1" t="s">
        <v>4784</v>
      </c>
      <c r="K98" s="1">
        <v>1</v>
      </c>
    </row>
    <row r="99" spans="1:11">
      <c r="A99" s="1" t="s">
        <v>5100</v>
      </c>
      <c r="B99" s="1">
        <v>41</v>
      </c>
      <c r="C99" s="1" t="s">
        <v>5101</v>
      </c>
      <c r="D99" s="1" t="s">
        <v>4226</v>
      </c>
      <c r="E99" s="1" t="s">
        <v>4121</v>
      </c>
      <c r="F99" s="1">
        <v>2020</v>
      </c>
      <c r="G99" s="1" t="s">
        <v>5102</v>
      </c>
      <c r="H99" s="1" t="s">
        <v>4784</v>
      </c>
      <c r="I99" s="1"/>
      <c r="J99" s="1" t="s">
        <v>4784</v>
      </c>
      <c r="K99" s="1">
        <v>1</v>
      </c>
    </row>
    <row r="100" spans="1:11">
      <c r="A100" s="1" t="s">
        <v>5103</v>
      </c>
      <c r="B100" s="1">
        <v>17</v>
      </c>
      <c r="C100" s="1" t="s">
        <v>5104</v>
      </c>
      <c r="D100" s="1" t="s">
        <v>5105</v>
      </c>
      <c r="E100" s="1" t="s">
        <v>1810</v>
      </c>
      <c r="F100" s="1">
        <v>2017</v>
      </c>
      <c r="G100" s="22" t="s">
        <v>5106</v>
      </c>
      <c r="H100" s="1" t="s">
        <v>4784</v>
      </c>
      <c r="I100" s="1"/>
      <c r="J100" s="1" t="s">
        <v>4784</v>
      </c>
      <c r="K100" s="1">
        <v>1</v>
      </c>
    </row>
    <row r="101" spans="1:11">
      <c r="A101" s="1" t="s">
        <v>5107</v>
      </c>
      <c r="B101" s="1">
        <v>78</v>
      </c>
      <c r="C101" s="1" t="s">
        <v>5108</v>
      </c>
      <c r="D101" s="1" t="s">
        <v>5109</v>
      </c>
      <c r="E101" s="1" t="s">
        <v>1688</v>
      </c>
      <c r="F101" s="1">
        <v>2019</v>
      </c>
      <c r="G101" s="22" t="s">
        <v>5110</v>
      </c>
      <c r="H101" s="1" t="s">
        <v>4784</v>
      </c>
      <c r="I101" s="1" t="s">
        <v>5111</v>
      </c>
      <c r="J101" s="1" t="s">
        <v>4784</v>
      </c>
      <c r="K101" s="1">
        <v>1</v>
      </c>
    </row>
    <row r="102" spans="1:11">
      <c r="A102" s="1" t="s">
        <v>5112</v>
      </c>
      <c r="B102" s="1">
        <v>104</v>
      </c>
      <c r="C102" s="1" t="s">
        <v>5113</v>
      </c>
      <c r="D102" s="1" t="s">
        <v>3877</v>
      </c>
      <c r="E102" s="1" t="s">
        <v>4931</v>
      </c>
      <c r="F102" s="1">
        <v>2023</v>
      </c>
      <c r="G102" s="1" t="s">
        <v>3878</v>
      </c>
      <c r="H102" s="1" t="s">
        <v>4784</v>
      </c>
      <c r="I102" s="1"/>
      <c r="J102" s="1" t="s">
        <v>4784</v>
      </c>
      <c r="K102" s="1">
        <v>1</v>
      </c>
    </row>
    <row r="103" spans="1:11">
      <c r="A103" s="1" t="s">
        <v>5114</v>
      </c>
      <c r="B103" s="1">
        <v>88</v>
      </c>
      <c r="C103" s="1" t="s">
        <v>5115</v>
      </c>
      <c r="D103" s="1" t="s">
        <v>5116</v>
      </c>
      <c r="E103" s="1" t="s">
        <v>2058</v>
      </c>
      <c r="F103" s="1">
        <v>2011</v>
      </c>
      <c r="G103" s="1" t="s">
        <v>5117</v>
      </c>
      <c r="H103" s="1" t="s">
        <v>4784</v>
      </c>
      <c r="I103" s="1"/>
      <c r="J103" s="1"/>
      <c r="K103" s="1">
        <v>1</v>
      </c>
    </row>
    <row r="104" spans="1:11">
      <c r="A104" t="s">
        <v>5118</v>
      </c>
      <c r="B104">
        <v>136</v>
      </c>
      <c r="C104" t="s">
        <v>5119</v>
      </c>
      <c r="D104" t="s">
        <v>1143</v>
      </c>
      <c r="E104" t="s">
        <v>1129</v>
      </c>
      <c r="F104">
        <v>2024</v>
      </c>
      <c r="G104" t="s">
        <v>1144</v>
      </c>
      <c r="H104" t="s">
        <v>4784</v>
      </c>
      <c r="J104" t="s">
        <v>4784</v>
      </c>
      <c r="K104" s="1">
        <v>1</v>
      </c>
    </row>
    <row r="105" spans="1:11">
      <c r="A105" t="s">
        <v>5120</v>
      </c>
      <c r="B105">
        <v>137</v>
      </c>
      <c r="C105" t="s">
        <v>5119</v>
      </c>
      <c r="D105" t="s">
        <v>2503</v>
      </c>
      <c r="E105" t="s">
        <v>2490</v>
      </c>
      <c r="F105">
        <v>2024</v>
      </c>
      <c r="G105" t="s">
        <v>2504</v>
      </c>
      <c r="H105" t="s">
        <v>4784</v>
      </c>
      <c r="I105" t="s">
        <v>5121</v>
      </c>
      <c r="J105" t="s">
        <v>4784</v>
      </c>
      <c r="K105" s="1">
        <v>1</v>
      </c>
    </row>
    <row r="106" spans="1:11">
      <c r="A106" s="1" t="s">
        <v>5122</v>
      </c>
      <c r="B106" s="1">
        <v>79</v>
      </c>
      <c r="C106" s="1" t="s">
        <v>5119</v>
      </c>
      <c r="D106" s="1" t="s">
        <v>5123</v>
      </c>
      <c r="E106" s="1" t="s">
        <v>5124</v>
      </c>
      <c r="F106" s="1">
        <v>2014</v>
      </c>
      <c r="G106" s="1" t="s">
        <v>5125</v>
      </c>
      <c r="H106" s="1" t="s">
        <v>4784</v>
      </c>
      <c r="I106" s="1"/>
      <c r="J106" s="1"/>
      <c r="K106" s="1">
        <v>1</v>
      </c>
    </row>
    <row r="107" spans="1:11">
      <c r="A107" s="1" t="s">
        <v>5126</v>
      </c>
      <c r="B107" s="1">
        <v>80</v>
      </c>
      <c r="C107" s="1" t="s">
        <v>5127</v>
      </c>
      <c r="D107" s="1" t="s">
        <v>5128</v>
      </c>
      <c r="E107" s="1" t="s">
        <v>1549</v>
      </c>
      <c r="F107" s="1">
        <v>2017</v>
      </c>
      <c r="G107" s="1" t="s">
        <v>5129</v>
      </c>
      <c r="H107" s="1" t="s">
        <v>4784</v>
      </c>
      <c r="I107" s="1"/>
      <c r="J107" s="1" t="s">
        <v>4784</v>
      </c>
      <c r="K107" s="1">
        <v>1</v>
      </c>
    </row>
    <row r="108" spans="1:11">
      <c r="A108" s="1" t="s">
        <v>5130</v>
      </c>
      <c r="B108" s="1">
        <v>39</v>
      </c>
      <c r="C108" s="1" t="s">
        <v>5131</v>
      </c>
      <c r="D108" s="1" t="s">
        <v>4233</v>
      </c>
      <c r="E108" s="1" t="s">
        <v>4121</v>
      </c>
      <c r="F108" s="1">
        <v>2016</v>
      </c>
      <c r="G108" s="1" t="s">
        <v>5132</v>
      </c>
      <c r="H108" s="1" t="s">
        <v>4784</v>
      </c>
      <c r="I108" s="1" t="s">
        <v>5133</v>
      </c>
      <c r="J108" s="1" t="s">
        <v>4784</v>
      </c>
      <c r="K108" s="1">
        <v>1</v>
      </c>
    </row>
    <row r="109" spans="1:11">
      <c r="A109" s="1" t="s">
        <v>5134</v>
      </c>
      <c r="B109" s="1">
        <v>115</v>
      </c>
      <c r="C109" s="1" t="s">
        <v>5135</v>
      </c>
      <c r="D109" s="1" t="s">
        <v>4504</v>
      </c>
      <c r="E109" s="1" t="s">
        <v>4505</v>
      </c>
      <c r="F109" s="1">
        <v>2020</v>
      </c>
      <c r="G109" s="1" t="s">
        <v>5136</v>
      </c>
      <c r="H109" s="1" t="s">
        <v>4784</v>
      </c>
      <c r="I109" s="1"/>
      <c r="J109" s="1" t="s">
        <v>4784</v>
      </c>
      <c r="K109" s="1">
        <v>1</v>
      </c>
    </row>
    <row r="110" spans="1:11">
      <c r="A110" s="43" t="s">
        <v>5137</v>
      </c>
      <c r="B110" s="1">
        <v>28</v>
      </c>
      <c r="C110" s="1" t="s">
        <v>5138</v>
      </c>
      <c r="D110" s="1" t="s">
        <v>5139</v>
      </c>
      <c r="E110" s="1" t="s">
        <v>4121</v>
      </c>
      <c r="F110" s="1">
        <v>2010</v>
      </c>
      <c r="G110" s="22" t="s">
        <v>5140</v>
      </c>
      <c r="H110" s="1" t="s">
        <v>4784</v>
      </c>
      <c r="I110" s="1"/>
      <c r="J110" s="1"/>
      <c r="K110" s="1">
        <v>1</v>
      </c>
    </row>
    <row r="111" spans="1:11">
      <c r="A111" s="1" t="s">
        <v>5141</v>
      </c>
      <c r="B111" s="1">
        <v>102</v>
      </c>
      <c r="C111" s="1" t="s">
        <v>5142</v>
      </c>
      <c r="D111" s="1" t="s">
        <v>5143</v>
      </c>
      <c r="E111" s="1" t="s">
        <v>5038</v>
      </c>
      <c r="F111" s="1">
        <v>2010</v>
      </c>
      <c r="G111" s="1" t="s">
        <v>5144</v>
      </c>
      <c r="H111" s="1" t="s">
        <v>4784</v>
      </c>
      <c r="I111" s="1"/>
      <c r="J111" s="1"/>
      <c r="K111" s="1">
        <v>1</v>
      </c>
    </row>
    <row r="112" spans="1:11">
      <c r="A112" s="1" t="s">
        <v>5145</v>
      </c>
      <c r="B112" s="1">
        <v>34</v>
      </c>
      <c r="C112" s="1" t="s">
        <v>5146</v>
      </c>
      <c r="D112" s="1" t="s">
        <v>5147</v>
      </c>
      <c r="E112" s="1" t="s">
        <v>4121</v>
      </c>
      <c r="F112" s="1">
        <v>2015</v>
      </c>
      <c r="G112" s="1" t="s">
        <v>5148</v>
      </c>
      <c r="H112" s="1" t="s">
        <v>4784</v>
      </c>
      <c r="I112" s="1"/>
      <c r="J112" s="1" t="s">
        <v>4784</v>
      </c>
      <c r="K112" s="1">
        <v>1</v>
      </c>
    </row>
    <row r="113" spans="1:11">
      <c r="A113" s="1" t="s">
        <v>5149</v>
      </c>
      <c r="B113" s="1">
        <v>9</v>
      </c>
      <c r="C113" s="1" t="s">
        <v>5150</v>
      </c>
      <c r="D113" s="1" t="s">
        <v>957</v>
      </c>
      <c r="E113" s="1" t="s">
        <v>887</v>
      </c>
      <c r="F113" s="1">
        <v>2016</v>
      </c>
      <c r="G113" s="19" t="s">
        <v>5151</v>
      </c>
      <c r="H113" s="1" t="s">
        <v>4784</v>
      </c>
      <c r="I113" s="1"/>
      <c r="J113" s="1" t="s">
        <v>4784</v>
      </c>
      <c r="K113" s="1">
        <v>1</v>
      </c>
    </row>
    <row r="114" spans="1:11">
      <c r="A114" s="1" t="s">
        <v>5152</v>
      </c>
      <c r="B114" s="1">
        <v>119</v>
      </c>
      <c r="C114" s="1" t="s">
        <v>5153</v>
      </c>
      <c r="D114" s="1" t="s">
        <v>4703</v>
      </c>
      <c r="E114" s="1" t="s">
        <v>4704</v>
      </c>
      <c r="F114" s="1">
        <v>2017</v>
      </c>
      <c r="G114" s="1" t="s">
        <v>4705</v>
      </c>
      <c r="H114" s="1" t="s">
        <v>4784</v>
      </c>
      <c r="I114" s="1"/>
      <c r="J114" s="1" t="s">
        <v>4784</v>
      </c>
      <c r="K114" s="1">
        <v>1</v>
      </c>
    </row>
    <row r="115" spans="1:11">
      <c r="A115" s="1" t="s">
        <v>5154</v>
      </c>
      <c r="B115" s="1">
        <v>81</v>
      </c>
      <c r="C115" s="1" t="s">
        <v>5155</v>
      </c>
      <c r="D115" s="1" t="s">
        <v>5156</v>
      </c>
      <c r="E115" s="1" t="s">
        <v>4121</v>
      </c>
      <c r="F115" s="1">
        <v>2010</v>
      </c>
      <c r="G115" s="1" t="s">
        <v>5157</v>
      </c>
      <c r="H115" s="1" t="s">
        <v>4784</v>
      </c>
      <c r="I115" s="1"/>
      <c r="J115" s="1" t="s">
        <v>4784</v>
      </c>
      <c r="K115" s="1">
        <v>1</v>
      </c>
    </row>
    <row r="116" spans="1:11">
      <c r="A116" s="1" t="s">
        <v>5158</v>
      </c>
      <c r="B116" s="1">
        <v>58</v>
      </c>
      <c r="C116" s="1" t="s">
        <v>5159</v>
      </c>
      <c r="D116" s="1" t="s">
        <v>5160</v>
      </c>
      <c r="E116" s="24" t="s">
        <v>4121</v>
      </c>
      <c r="F116" s="1">
        <v>2022</v>
      </c>
      <c r="G116" s="1" t="s">
        <v>5161</v>
      </c>
      <c r="H116" s="1" t="s">
        <v>4784</v>
      </c>
      <c r="I116" s="1"/>
      <c r="J116" s="1" t="s">
        <v>4784</v>
      </c>
      <c r="K116" s="1">
        <v>1</v>
      </c>
    </row>
    <row r="117" spans="1:11">
      <c r="A117" s="1" t="s">
        <v>5162</v>
      </c>
      <c r="B117" s="1">
        <v>100</v>
      </c>
      <c r="C117" s="1" t="s">
        <v>5163</v>
      </c>
      <c r="D117" s="1" t="s">
        <v>5164</v>
      </c>
      <c r="E117" s="1" t="s">
        <v>5165</v>
      </c>
      <c r="F117" s="1">
        <v>2022</v>
      </c>
      <c r="G117" s="22" t="s">
        <v>5166</v>
      </c>
      <c r="H117" s="1" t="s">
        <v>4784</v>
      </c>
      <c r="I117" s="1"/>
      <c r="J117" s="1" t="s">
        <v>4784</v>
      </c>
      <c r="K117" s="1">
        <v>1</v>
      </c>
    </row>
    <row r="118" spans="1:11">
      <c r="A118" s="1" t="s">
        <v>5167</v>
      </c>
      <c r="B118" s="1">
        <v>82</v>
      </c>
      <c r="C118" s="1" t="s">
        <v>5168</v>
      </c>
      <c r="D118" s="1" t="s">
        <v>3141</v>
      </c>
      <c r="E118" s="1" t="s">
        <v>3134</v>
      </c>
      <c r="F118" s="1">
        <v>2018</v>
      </c>
      <c r="G118" s="1" t="s">
        <v>3142</v>
      </c>
      <c r="H118" s="1" t="s">
        <v>4784</v>
      </c>
      <c r="I118" s="1" t="s">
        <v>5169</v>
      </c>
      <c r="J118" s="1" t="s">
        <v>4784</v>
      </c>
      <c r="K118" s="1">
        <v>1</v>
      </c>
    </row>
    <row r="119" spans="1:11">
      <c r="A119" s="1" t="s">
        <v>5170</v>
      </c>
      <c r="B119" s="1">
        <v>89</v>
      </c>
      <c r="C119" s="1" t="s">
        <v>5171</v>
      </c>
      <c r="D119" s="1" t="s">
        <v>5172</v>
      </c>
      <c r="E119" s="1" t="s">
        <v>5173</v>
      </c>
      <c r="F119" s="1">
        <v>2010</v>
      </c>
      <c r="G119" s="1" t="s">
        <v>5174</v>
      </c>
      <c r="H119" s="1" t="s">
        <v>4784</v>
      </c>
      <c r="I119" s="1"/>
      <c r="J119" s="1"/>
      <c r="K119" s="1">
        <v>1</v>
      </c>
    </row>
    <row r="120" spans="1:11">
      <c r="A120" s="1" t="s">
        <v>5175</v>
      </c>
      <c r="B120" s="1">
        <v>15</v>
      </c>
      <c r="C120" s="1" t="s">
        <v>5176</v>
      </c>
      <c r="D120" s="1" t="s">
        <v>1830</v>
      </c>
      <c r="E120" s="1" t="s">
        <v>1810</v>
      </c>
      <c r="F120" s="1">
        <v>2021</v>
      </c>
      <c r="G120" s="22" t="s">
        <v>5177</v>
      </c>
      <c r="H120" s="1" t="s">
        <v>4784</v>
      </c>
      <c r="I120" s="1"/>
      <c r="J120" s="1" t="s">
        <v>4784</v>
      </c>
      <c r="K120" s="1">
        <v>1</v>
      </c>
    </row>
    <row r="121" spans="1:11">
      <c r="A121" t="s">
        <v>5178</v>
      </c>
      <c r="B121">
        <v>139</v>
      </c>
      <c r="C121" t="s">
        <v>5179</v>
      </c>
      <c r="D121" t="s">
        <v>5180</v>
      </c>
      <c r="E121" t="s">
        <v>2274</v>
      </c>
      <c r="F121">
        <v>2025</v>
      </c>
      <c r="G121" t="s">
        <v>5181</v>
      </c>
      <c r="H121" t="s">
        <v>4784</v>
      </c>
      <c r="I121" t="s">
        <v>5182</v>
      </c>
      <c r="K121" s="1">
        <v>1</v>
      </c>
    </row>
    <row r="122" spans="1:11">
      <c r="A122" s="1" t="s">
        <v>5183</v>
      </c>
      <c r="B122" s="1">
        <v>105</v>
      </c>
      <c r="C122" s="1" t="s">
        <v>5184</v>
      </c>
      <c r="D122" s="1" t="s">
        <v>2474</v>
      </c>
      <c r="E122" s="1" t="s">
        <v>2467</v>
      </c>
      <c r="F122" s="1">
        <v>2022</v>
      </c>
      <c r="G122" s="1" t="s">
        <v>5185</v>
      </c>
      <c r="H122" s="1" t="s">
        <v>4784</v>
      </c>
      <c r="I122" s="1"/>
      <c r="J122" s="1" t="s">
        <v>4784</v>
      </c>
      <c r="K122" s="1">
        <v>1</v>
      </c>
    </row>
    <row r="123" spans="1:11">
      <c r="A123" s="1" t="s">
        <v>5186</v>
      </c>
      <c r="B123" s="1">
        <v>33</v>
      </c>
      <c r="C123" s="1" t="s">
        <v>5187</v>
      </c>
      <c r="D123" s="1" t="s">
        <v>5188</v>
      </c>
      <c r="E123" s="1" t="s">
        <v>4121</v>
      </c>
      <c r="F123" s="1">
        <v>2014</v>
      </c>
      <c r="G123" s="1" t="s">
        <v>5189</v>
      </c>
      <c r="H123" s="1" t="s">
        <v>4784</v>
      </c>
      <c r="I123" s="1"/>
      <c r="J123" s="1"/>
      <c r="K123" s="1">
        <v>1</v>
      </c>
    </row>
    <row r="124" spans="1:11">
      <c r="A124" s="1" t="s">
        <v>5190</v>
      </c>
      <c r="B124" s="1">
        <v>90</v>
      </c>
      <c r="C124" s="1" t="s">
        <v>5191</v>
      </c>
      <c r="D124" s="1" t="s">
        <v>1639</v>
      </c>
      <c r="E124" s="1" t="s">
        <v>1640</v>
      </c>
      <c r="F124" s="1">
        <v>2013</v>
      </c>
      <c r="G124" s="1" t="s">
        <v>1641</v>
      </c>
      <c r="H124" s="1" t="s">
        <v>4784</v>
      </c>
      <c r="I124" s="1"/>
      <c r="J124" s="1" t="s">
        <v>4784</v>
      </c>
      <c r="K124" s="1">
        <v>1</v>
      </c>
    </row>
    <row r="125" spans="1:11">
      <c r="A125" s="1" t="s">
        <v>5192</v>
      </c>
      <c r="B125" s="1">
        <v>91</v>
      </c>
      <c r="C125" s="1" t="s">
        <v>5193</v>
      </c>
      <c r="D125" s="1" t="s">
        <v>4308</v>
      </c>
      <c r="E125" s="1" t="s">
        <v>4121</v>
      </c>
      <c r="F125" s="1">
        <v>2019</v>
      </c>
      <c r="G125" s="1" t="s">
        <v>5194</v>
      </c>
      <c r="H125" s="1" t="s">
        <v>4784</v>
      </c>
      <c r="I125" s="1"/>
      <c r="J125" s="1" t="s">
        <v>4784</v>
      </c>
      <c r="K125" s="1">
        <v>1</v>
      </c>
    </row>
    <row r="126" spans="1:11">
      <c r="A126" s="1" t="s">
        <v>5195</v>
      </c>
      <c r="B126" s="1">
        <v>27</v>
      </c>
      <c r="C126" s="1" t="s">
        <v>5196</v>
      </c>
      <c r="D126" s="1" t="s">
        <v>5197</v>
      </c>
      <c r="E126" s="1" t="s">
        <v>4121</v>
      </c>
      <c r="F126" s="1">
        <v>2012</v>
      </c>
      <c r="G126" s="1" t="s">
        <v>5198</v>
      </c>
      <c r="H126" s="1" t="s">
        <v>4784</v>
      </c>
      <c r="I126" s="1"/>
      <c r="J126" s="1" t="s">
        <v>4784</v>
      </c>
      <c r="K126" s="1">
        <v>1</v>
      </c>
    </row>
    <row r="127" spans="1:11">
      <c r="A127" s="1" t="s">
        <v>5199</v>
      </c>
      <c r="B127" s="1">
        <v>117</v>
      </c>
      <c r="C127" s="1" t="s">
        <v>5200</v>
      </c>
      <c r="D127" s="1" t="s">
        <v>3695</v>
      </c>
      <c r="E127" s="1" t="s">
        <v>3696</v>
      </c>
      <c r="F127" s="1">
        <v>2019</v>
      </c>
      <c r="G127" s="1" t="s">
        <v>3698</v>
      </c>
      <c r="H127" s="1" t="s">
        <v>4784</v>
      </c>
      <c r="I127" s="1"/>
      <c r="J127" s="1" t="s">
        <v>4784</v>
      </c>
      <c r="K127" s="1">
        <v>1</v>
      </c>
    </row>
    <row r="128" spans="1:11">
      <c r="A128" s="1" t="s">
        <v>5201</v>
      </c>
      <c r="B128" s="1">
        <v>92</v>
      </c>
      <c r="C128" s="1" t="s">
        <v>5202</v>
      </c>
      <c r="D128" s="1" t="s">
        <v>1000</v>
      </c>
      <c r="E128" s="1" t="s">
        <v>993</v>
      </c>
      <c r="F128" s="1">
        <v>2016</v>
      </c>
      <c r="G128" s="1" t="s">
        <v>5203</v>
      </c>
      <c r="H128" s="1" t="s">
        <v>4784</v>
      </c>
      <c r="I128" s="1"/>
      <c r="J128" s="1" t="s">
        <v>4784</v>
      </c>
      <c r="K128" s="1">
        <v>1</v>
      </c>
    </row>
    <row r="129" spans="1:11">
      <c r="A129" s="1" t="s">
        <v>5204</v>
      </c>
      <c r="B129" s="1">
        <v>93</v>
      </c>
      <c r="C129" s="1" t="s">
        <v>5205</v>
      </c>
      <c r="D129" s="1" t="s">
        <v>5206</v>
      </c>
      <c r="E129" s="1" t="s">
        <v>4931</v>
      </c>
      <c r="F129" s="1">
        <v>2020</v>
      </c>
      <c r="G129" s="1" t="s">
        <v>3934</v>
      </c>
      <c r="H129" s="1" t="s">
        <v>4784</v>
      </c>
      <c r="I129" s="1"/>
      <c r="J129" s="1" t="s">
        <v>4784</v>
      </c>
      <c r="K129" s="1">
        <v>1</v>
      </c>
    </row>
    <row r="130" spans="1:11">
      <c r="A130" s="1" t="s">
        <v>5207</v>
      </c>
      <c r="B130" s="1">
        <v>32</v>
      </c>
      <c r="C130" s="1" t="s">
        <v>5208</v>
      </c>
      <c r="D130" s="1" t="s">
        <v>4321</v>
      </c>
      <c r="E130" s="1" t="s">
        <v>4121</v>
      </c>
      <c r="F130" s="1">
        <v>2019</v>
      </c>
      <c r="G130" s="1" t="s">
        <v>5209</v>
      </c>
      <c r="H130" s="1" t="s">
        <v>4784</v>
      </c>
      <c r="I130" s="1" t="s">
        <v>5210</v>
      </c>
      <c r="J130" s="1" t="s">
        <v>4784</v>
      </c>
      <c r="K130" s="1">
        <v>1</v>
      </c>
    </row>
    <row r="131" spans="1:11">
      <c r="A131" s="1" t="s">
        <v>5211</v>
      </c>
      <c r="B131" s="1">
        <v>20</v>
      </c>
      <c r="C131" s="1" t="s">
        <v>5212</v>
      </c>
      <c r="D131" s="1" t="s">
        <v>5213</v>
      </c>
      <c r="E131" s="1" t="s">
        <v>2535</v>
      </c>
      <c r="F131" s="1">
        <v>2019</v>
      </c>
      <c r="G131" s="1" t="s">
        <v>5214</v>
      </c>
      <c r="H131" s="1" t="s">
        <v>4784</v>
      </c>
      <c r="I131" s="1"/>
      <c r="J131" s="1" t="s">
        <v>4784</v>
      </c>
      <c r="K131" s="1">
        <v>1</v>
      </c>
    </row>
    <row r="132" spans="1:11">
      <c r="A132" s="1" t="s">
        <v>5215</v>
      </c>
      <c r="B132" s="1">
        <v>35</v>
      </c>
      <c r="C132" s="1" t="s">
        <v>5216</v>
      </c>
      <c r="D132" s="1" t="s">
        <v>5217</v>
      </c>
      <c r="E132" s="1" t="s">
        <v>4121</v>
      </c>
      <c r="F132" s="1">
        <v>2014</v>
      </c>
      <c r="G132" s="22" t="s">
        <v>5218</v>
      </c>
      <c r="H132" s="1" t="s">
        <v>4784</v>
      </c>
      <c r="I132" s="1" t="s">
        <v>5219</v>
      </c>
      <c r="J132" s="1"/>
      <c r="K132" s="1">
        <v>1</v>
      </c>
    </row>
    <row r="133" spans="1:11">
      <c r="A133" s="1" t="s">
        <v>5220</v>
      </c>
      <c r="B133" s="1">
        <v>43</v>
      </c>
      <c r="C133" s="1" t="s">
        <v>5221</v>
      </c>
      <c r="D133" s="1" t="s">
        <v>5222</v>
      </c>
      <c r="E133" s="1" t="s">
        <v>4350</v>
      </c>
      <c r="F133" s="1">
        <v>2010</v>
      </c>
      <c r="G133" s="1" t="s">
        <v>5223</v>
      </c>
      <c r="H133" s="1" t="s">
        <v>4784</v>
      </c>
      <c r="I133" s="1" t="s">
        <v>5224</v>
      </c>
      <c r="J133" s="1"/>
      <c r="K133" s="1">
        <v>1</v>
      </c>
    </row>
    <row r="134" spans="1:11">
      <c r="A134" s="1" t="s">
        <v>5225</v>
      </c>
      <c r="B134" s="1">
        <v>22</v>
      </c>
      <c r="C134" s="1" t="s">
        <v>5226</v>
      </c>
      <c r="D134" s="1" t="s">
        <v>5227</v>
      </c>
      <c r="E134" s="1" t="s">
        <v>2535</v>
      </c>
      <c r="F134" s="1">
        <v>2019</v>
      </c>
      <c r="G134" s="1" t="s">
        <v>2619</v>
      </c>
      <c r="H134" s="1" t="s">
        <v>4784</v>
      </c>
      <c r="I134" s="1"/>
      <c r="J134" s="1" t="s">
        <v>4784</v>
      </c>
      <c r="K134" s="1">
        <v>1</v>
      </c>
    </row>
    <row r="135" spans="1:11">
      <c r="A135" s="1" t="s">
        <v>5228</v>
      </c>
      <c r="B135" s="1">
        <v>94</v>
      </c>
      <c r="C135" s="1" t="s">
        <v>5229</v>
      </c>
      <c r="D135" s="1" t="s">
        <v>5230</v>
      </c>
      <c r="E135" s="1" t="s">
        <v>5231</v>
      </c>
      <c r="F135" s="1">
        <v>2012</v>
      </c>
      <c r="G135" s="1" t="s">
        <v>5232</v>
      </c>
      <c r="H135" s="1" t="s">
        <v>4784</v>
      </c>
      <c r="I135" s="1"/>
      <c r="J135" s="1"/>
      <c r="K135" s="1">
        <v>1</v>
      </c>
    </row>
    <row r="136" spans="1:11">
      <c r="A136" s="1" t="s">
        <v>5233</v>
      </c>
      <c r="B136" s="1">
        <v>95</v>
      </c>
      <c r="C136" s="1" t="s">
        <v>5234</v>
      </c>
      <c r="D136" s="1" t="s">
        <v>4496</v>
      </c>
      <c r="E136" s="1" t="s">
        <v>4497</v>
      </c>
      <c r="F136" s="1">
        <v>2019</v>
      </c>
      <c r="G136" s="1" t="s">
        <v>4498</v>
      </c>
      <c r="H136" s="1" t="s">
        <v>4784</v>
      </c>
      <c r="I136" s="1"/>
      <c r="J136" s="1" t="s">
        <v>4784</v>
      </c>
      <c r="K136" s="1">
        <v>1</v>
      </c>
    </row>
    <row r="137" spans="1:11">
      <c r="A137" s="1" t="s">
        <v>5235</v>
      </c>
      <c r="B137" s="1">
        <v>67</v>
      </c>
      <c r="C137" s="1" t="s">
        <v>5236</v>
      </c>
      <c r="D137" s="1" t="s">
        <v>4098</v>
      </c>
      <c r="E137" s="24" t="s">
        <v>4091</v>
      </c>
      <c r="F137" s="1">
        <v>2015</v>
      </c>
      <c r="G137" s="1" t="s">
        <v>4099</v>
      </c>
      <c r="H137" s="1" t="s">
        <v>4784</v>
      </c>
      <c r="I137" s="1"/>
      <c r="J137" s="1"/>
      <c r="K137" s="1">
        <v>1</v>
      </c>
    </row>
    <row r="138" spans="1:11">
      <c r="A138" s="1" t="s">
        <v>5237</v>
      </c>
      <c r="B138" s="1">
        <v>96</v>
      </c>
      <c r="C138" s="1" t="s">
        <v>5238</v>
      </c>
      <c r="D138" s="1" t="s">
        <v>5239</v>
      </c>
      <c r="E138" s="1" t="s">
        <v>2058</v>
      </c>
      <c r="F138" s="1">
        <v>2014</v>
      </c>
      <c r="G138" s="1" t="s">
        <v>5240</v>
      </c>
      <c r="H138" s="1" t="s">
        <v>4784</v>
      </c>
      <c r="I138" s="1"/>
      <c r="J138" s="1"/>
      <c r="K138" s="1">
        <v>1</v>
      </c>
    </row>
    <row r="139" spans="1:11">
      <c r="A139" s="1" t="s">
        <v>5241</v>
      </c>
      <c r="B139" s="1">
        <v>13</v>
      </c>
      <c r="C139" s="1" t="s">
        <v>5242</v>
      </c>
      <c r="D139" s="1" t="s">
        <v>5243</v>
      </c>
      <c r="E139" s="1" t="s">
        <v>887</v>
      </c>
      <c r="F139" s="1">
        <v>2019</v>
      </c>
      <c r="G139" s="19" t="s">
        <v>5244</v>
      </c>
      <c r="H139" s="1" t="s">
        <v>4784</v>
      </c>
      <c r="I139" s="1"/>
      <c r="J139" s="1" t="s">
        <v>4784</v>
      </c>
      <c r="K139" s="1">
        <v>1</v>
      </c>
    </row>
    <row r="140" spans="1:11">
      <c r="A140" s="1" t="s">
        <v>5245</v>
      </c>
      <c r="B140" s="1">
        <v>108</v>
      </c>
      <c r="C140" s="1" t="s">
        <v>5246</v>
      </c>
      <c r="D140" s="35" t="s">
        <v>548</v>
      </c>
      <c r="E140" s="1" t="s">
        <v>549</v>
      </c>
      <c r="F140" s="1">
        <v>2022</v>
      </c>
      <c r="G140" s="1" t="s">
        <v>550</v>
      </c>
      <c r="H140" s="1" t="s">
        <v>4784</v>
      </c>
      <c r="I140" s="1"/>
      <c r="J140" s="1" t="s">
        <v>4784</v>
      </c>
      <c r="K140" s="1">
        <v>1</v>
      </c>
    </row>
    <row r="141" spans="1:11">
      <c r="H141" s="1"/>
      <c r="I141" s="1"/>
      <c r="J141" s="1"/>
      <c r="K141" s="1"/>
    </row>
  </sheetData>
  <hyperlinks>
    <hyperlink ref="G18" r:id="rId1" xr:uid="{2B4625BB-6A37-4A9E-89E8-9F472F481900}"/>
    <hyperlink ref="G110" r:id="rId2" xr:uid="{428EA47F-D11A-460F-92A5-C64AA2C3C166}"/>
    <hyperlink ref="G28" r:id="rId3" display="https://doi.org/10.5367%2F000000010792278374" xr:uid="{15931392-7E3F-40E7-ABA6-8B85446B2B08}"/>
    <hyperlink ref="G132" r:id="rId4" xr:uid="{7333BA0F-7A67-4339-AE46-B48DA7FA5260}"/>
    <hyperlink ref="G52" r:id="rId5" display="https://doi.org/10.1177%2F1354816619843452" xr:uid="{A56FCBF7-87C4-48BE-88A2-07B41ED6C515}"/>
    <hyperlink ref="G60" r:id="rId6" xr:uid="{3EA854C3-7419-4B43-A84B-E35B46C73F4D}"/>
    <hyperlink ref="G113" r:id="rId7" xr:uid="{1092EDE3-2436-9048-8312-9BDEDC6C7FCD}"/>
    <hyperlink ref="G3" r:id="rId8" xr:uid="{3E44EF68-437D-8A42-B2AC-8670C40D6E6F}"/>
    <hyperlink ref="G78" r:id="rId9" xr:uid="{F88A3E04-D2E5-EA42-BCD3-60C117FA5B58}"/>
    <hyperlink ref="G68" r:id="rId10" xr:uid="{E9A903CA-ACD2-0C44-A3A1-9667D408ED13}"/>
    <hyperlink ref="G27" r:id="rId11" xr:uid="{843A1335-DF09-E84E-BBF8-F089E0F70D86}"/>
    <hyperlink ref="G67" r:id="rId12" xr:uid="{605BBCFC-EA00-7345-8413-58630E499913}"/>
    <hyperlink ref="G51" r:id="rId13" xr:uid="{CCC44E25-42CD-7245-BA22-179A7D234894}"/>
    <hyperlink ref="G21" r:id="rId14" xr:uid="{B5038069-047B-E945-8354-E3D98FF0F996}"/>
    <hyperlink ref="G85" r:id="rId15" xr:uid="{B76B16C1-CA6A-D147-AAEF-D2AD5A48C703}"/>
    <hyperlink ref="G39" r:id="rId16" xr:uid="{C29DDE5A-BBA0-EB49-BD9C-F6C0BAF5AA4C}"/>
    <hyperlink ref="G139" r:id="rId17" xr:uid="{2EBFCAB7-D738-A740-B21E-807CEB0BAFF8}"/>
    <hyperlink ref="G120" r:id="rId18" xr:uid="{B02B9836-9382-0E4A-8F09-29F63CE69793}"/>
    <hyperlink ref="G12" r:id="rId19" xr:uid="{58B3B81C-C2B7-2344-95D9-3F1A5D9AB634}"/>
    <hyperlink ref="G100" r:id="rId20" xr:uid="{06C64D7F-382B-5E4E-A535-979CA2071B1D}"/>
    <hyperlink ref="G6" r:id="rId21" xr:uid="{B0072679-3048-4D8C-A755-B29B46CCAA32}"/>
    <hyperlink ref="G7" r:id="rId22" xr:uid="{86D304D0-94FF-4AFE-ABA3-E22B3C86C121}"/>
    <hyperlink ref="G56" r:id="rId23" xr:uid="{6F391F83-3647-3340-8F23-E8991F69E4E1}"/>
    <hyperlink ref="G70" r:id="rId24" xr:uid="{1A2D3837-77A7-EA44-A6A9-04ED0CAC28E3}"/>
    <hyperlink ref="G42" r:id="rId25" xr:uid="{93B7AAB5-87E6-494B-AF88-0A85433000BD}"/>
    <hyperlink ref="G101" r:id="rId26" xr:uid="{43A81496-8D94-491C-94A2-E72D88ED0A36}"/>
    <hyperlink ref="G2" r:id="rId27" xr:uid="{C3C84AF3-EBF4-4A4A-AE5F-4B509FF11D10}"/>
    <hyperlink ref="G33" r:id="rId28" xr:uid="{7431E355-64DB-2E42-90EF-186DB78229B5}"/>
    <hyperlink ref="G45" r:id="rId29" xr:uid="{7E72245F-EE3B-DA4E-91A0-EFA751E35B89}"/>
    <hyperlink ref="G9" r:id="rId30" xr:uid="{9CF6BC39-D426-D64F-986D-098BA5E1350E}"/>
    <hyperlink ref="G117" r:id="rId31" xr:uid="{2C5A69E5-D36A-E443-B19D-3B2B13D6C5D2}"/>
  </hyperlinks>
  <pageMargins left="0.7" right="0.7" top="0.75" bottom="0.75" header="0.3" footer="0.3"/>
  <pageSetup paperSize="9" orientation="portrait" r:id="rId32"/>
  <tableParts count="1">
    <tablePart r:id="rId3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C000-88A6-4102-93F8-B80352DB38C8}">
  <dimension ref="A1:I79"/>
  <sheetViews>
    <sheetView topLeftCell="A19" workbookViewId="0">
      <selection activeCell="A46" sqref="A46:A48"/>
    </sheetView>
  </sheetViews>
  <sheetFormatPr defaultColWidth="8.85546875" defaultRowHeight="15"/>
  <cols>
    <col min="1" max="1" width="23.42578125" customWidth="1"/>
    <col min="2" max="2" width="104.42578125" customWidth="1"/>
  </cols>
  <sheetData>
    <row r="1" spans="1:2">
      <c r="A1" s="57" t="s">
        <v>5247</v>
      </c>
      <c r="B1" s="57"/>
    </row>
    <row r="2" spans="1:2">
      <c r="A2" s="2" t="s">
        <v>5248</v>
      </c>
      <c r="B2" s="11" t="s">
        <v>5249</v>
      </c>
    </row>
    <row r="3" spans="1:2">
      <c r="A3" s="3" t="s">
        <v>4773</v>
      </c>
      <c r="B3" s="11" t="s">
        <v>5250</v>
      </c>
    </row>
    <row r="4" spans="1:2">
      <c r="A4" s="3" t="s">
        <v>5251</v>
      </c>
      <c r="B4" s="11" t="s">
        <v>5252</v>
      </c>
    </row>
    <row r="5" spans="1:2">
      <c r="A5" s="3" t="s">
        <v>5253</v>
      </c>
      <c r="B5" s="11" t="s">
        <v>5254</v>
      </c>
    </row>
    <row r="6" spans="1:2">
      <c r="A6" s="58" t="s">
        <v>5255</v>
      </c>
      <c r="B6" s="58"/>
    </row>
    <row r="7" spans="1:2">
      <c r="A7" s="3" t="s">
        <v>5256</v>
      </c>
      <c r="B7" s="11" t="s">
        <v>5257</v>
      </c>
    </row>
    <row r="8" spans="1:2">
      <c r="A8" s="3" t="s">
        <v>5258</v>
      </c>
      <c r="B8" s="11" t="s">
        <v>5259</v>
      </c>
    </row>
    <row r="9" spans="1:2">
      <c r="A9" s="3" t="s">
        <v>5260</v>
      </c>
      <c r="B9" s="11" t="s">
        <v>5261</v>
      </c>
    </row>
    <row r="10" spans="1:2">
      <c r="A10" s="58" t="s">
        <v>5262</v>
      </c>
      <c r="B10" s="58"/>
    </row>
    <row r="11" spans="1:2">
      <c r="A11" s="3" t="s">
        <v>5263</v>
      </c>
      <c r="B11" s="11" t="s">
        <v>5264</v>
      </c>
    </row>
    <row r="12" spans="1:2">
      <c r="A12" s="3" t="s">
        <v>5265</v>
      </c>
      <c r="B12" s="11" t="s">
        <v>5266</v>
      </c>
    </row>
    <row r="13" spans="1:2">
      <c r="A13" s="58" t="s">
        <v>5267</v>
      </c>
      <c r="B13" s="58"/>
    </row>
    <row r="14" spans="1:2">
      <c r="A14" s="3" t="s">
        <v>5268</v>
      </c>
      <c r="B14" s="11" t="s">
        <v>5269</v>
      </c>
    </row>
    <row r="15" spans="1:2">
      <c r="A15" s="3" t="s">
        <v>5270</v>
      </c>
      <c r="B15" s="11" t="s">
        <v>5271</v>
      </c>
    </row>
    <row r="16" spans="1:2">
      <c r="A16" s="3" t="s">
        <v>5272</v>
      </c>
      <c r="B16" s="11" t="s">
        <v>5273</v>
      </c>
    </row>
    <row r="17" spans="1:2">
      <c r="A17" s="3" t="s">
        <v>5274</v>
      </c>
      <c r="B17" s="11" t="s">
        <v>5275</v>
      </c>
    </row>
    <row r="18" spans="1:2">
      <c r="A18" s="3" t="s">
        <v>5276</v>
      </c>
      <c r="B18" s="11" t="s">
        <v>5277</v>
      </c>
    </row>
    <row r="19" spans="1:2">
      <c r="A19" s="3" t="s">
        <v>5278</v>
      </c>
      <c r="B19" s="11" t="s">
        <v>5279</v>
      </c>
    </row>
    <row r="20" spans="1:2">
      <c r="A20" s="3" t="s">
        <v>5280</v>
      </c>
      <c r="B20" s="11" t="s">
        <v>5281</v>
      </c>
    </row>
    <row r="21" spans="1:2">
      <c r="A21" s="3" t="s">
        <v>5282</v>
      </c>
      <c r="B21" s="11" t="s">
        <v>5283</v>
      </c>
    </row>
    <row r="22" spans="1:2">
      <c r="A22" s="3" t="s">
        <v>5284</v>
      </c>
      <c r="B22" s="11" t="s">
        <v>5285</v>
      </c>
    </row>
    <row r="23" spans="1:2">
      <c r="A23" s="3" t="s">
        <v>5286</v>
      </c>
      <c r="B23" s="11" t="s">
        <v>5287</v>
      </c>
    </row>
    <row r="24" spans="1:2">
      <c r="A24" s="57" t="s">
        <v>5288</v>
      </c>
      <c r="B24" s="57"/>
    </row>
    <row r="25" spans="1:2">
      <c r="A25" s="3" t="s">
        <v>5289</v>
      </c>
      <c r="B25" s="11" t="s">
        <v>5290</v>
      </c>
    </row>
    <row r="26" spans="1:2">
      <c r="A26" s="3" t="s">
        <v>5291</v>
      </c>
      <c r="B26" s="11" t="s">
        <v>5292</v>
      </c>
    </row>
    <row r="27" spans="1:2">
      <c r="A27" s="3" t="s">
        <v>5293</v>
      </c>
      <c r="B27" s="11" t="s">
        <v>5294</v>
      </c>
    </row>
    <row r="28" spans="1:2">
      <c r="A28" s="3" t="s">
        <v>5295</v>
      </c>
      <c r="B28" s="11" t="s">
        <v>5296</v>
      </c>
    </row>
    <row r="29" spans="1:2">
      <c r="A29" s="3" t="s">
        <v>5297</v>
      </c>
      <c r="B29" s="11" t="s">
        <v>5298</v>
      </c>
    </row>
    <row r="30" spans="1:2">
      <c r="A30" s="3" t="s">
        <v>5299</v>
      </c>
      <c r="B30" s="11" t="s">
        <v>5300</v>
      </c>
    </row>
    <row r="31" spans="1:2">
      <c r="A31" s="3" t="s">
        <v>5301</v>
      </c>
      <c r="B31" s="11" t="s">
        <v>5302</v>
      </c>
    </row>
    <row r="32" spans="1:2">
      <c r="A32" s="3" t="s">
        <v>5303</v>
      </c>
      <c r="B32" s="11" t="s">
        <v>5304</v>
      </c>
    </row>
    <row r="33" spans="1:2">
      <c r="A33" s="3" t="s">
        <v>5305</v>
      </c>
      <c r="B33" s="11" t="s">
        <v>5306</v>
      </c>
    </row>
    <row r="34" spans="1:2">
      <c r="A34" s="15" t="s">
        <v>5307</v>
      </c>
      <c r="B34" s="16" t="s">
        <v>5308</v>
      </c>
    </row>
    <row r="35" spans="1:2">
      <c r="A35" s="15" t="s">
        <v>5309</v>
      </c>
      <c r="B35" s="16" t="s">
        <v>5310</v>
      </c>
    </row>
    <row r="36" spans="1:2">
      <c r="A36" s="57" t="s">
        <v>5311</v>
      </c>
      <c r="B36" s="57"/>
    </row>
    <row r="37" spans="1:2">
      <c r="A37" s="3" t="s">
        <v>5312</v>
      </c>
      <c r="B37" s="11" t="s">
        <v>5313</v>
      </c>
    </row>
    <row r="38" spans="1:2">
      <c r="A38" s="3" t="s">
        <v>5314</v>
      </c>
      <c r="B38" s="11" t="s">
        <v>5315</v>
      </c>
    </row>
    <row r="39" spans="1:2">
      <c r="A39" s="3" t="s">
        <v>5316</v>
      </c>
      <c r="B39" s="11" t="s">
        <v>5317</v>
      </c>
    </row>
    <row r="40" spans="1:2">
      <c r="A40" s="3" t="s">
        <v>5318</v>
      </c>
      <c r="B40" s="11" t="s">
        <v>5319</v>
      </c>
    </row>
    <row r="41" spans="1:2">
      <c r="A41" s="3" t="s">
        <v>5320</v>
      </c>
      <c r="B41" s="11" t="s">
        <v>5321</v>
      </c>
    </row>
    <row r="42" spans="1:2">
      <c r="A42" s="3" t="s">
        <v>5322</v>
      </c>
      <c r="B42" s="11" t="s">
        <v>5323</v>
      </c>
    </row>
    <row r="43" spans="1:2">
      <c r="A43" s="3" t="s">
        <v>5324</v>
      </c>
      <c r="B43" s="11" t="s">
        <v>5325</v>
      </c>
    </row>
    <row r="44" spans="1:2">
      <c r="A44" s="3" t="s">
        <v>5326</v>
      </c>
      <c r="B44" s="11" t="s">
        <v>5327</v>
      </c>
    </row>
    <row r="45" spans="1:2">
      <c r="A45" s="3" t="s">
        <v>5328</v>
      </c>
      <c r="B45" s="11" t="s">
        <v>5329</v>
      </c>
    </row>
    <row r="46" spans="1:2">
      <c r="A46" s="3" t="s">
        <v>5330</v>
      </c>
      <c r="B46" s="11" t="s">
        <v>5331</v>
      </c>
    </row>
    <row r="47" spans="1:2">
      <c r="A47" s="3" t="s">
        <v>5332</v>
      </c>
      <c r="B47" s="11" t="s">
        <v>5333</v>
      </c>
    </row>
    <row r="48" spans="1:2">
      <c r="A48" s="3" t="s">
        <v>5330</v>
      </c>
      <c r="B48" s="11" t="s">
        <v>5334</v>
      </c>
    </row>
    <row r="49" spans="1:2" ht="15" customHeight="1">
      <c r="A49" s="55" t="s">
        <v>5335</v>
      </c>
      <c r="B49" s="56"/>
    </row>
    <row r="50" spans="1:2">
      <c r="A50" s="3" t="s">
        <v>5336</v>
      </c>
      <c r="B50" s="11" t="s">
        <v>5337</v>
      </c>
    </row>
    <row r="51" spans="1:2">
      <c r="A51" s="3" t="s">
        <v>5338</v>
      </c>
      <c r="B51" s="11" t="s">
        <v>5339</v>
      </c>
    </row>
    <row r="52" spans="1:2">
      <c r="A52" s="3" t="s">
        <v>5340</v>
      </c>
      <c r="B52" s="11" t="s">
        <v>5341</v>
      </c>
    </row>
    <row r="53" spans="1:2">
      <c r="A53" s="3" t="s">
        <v>5342</v>
      </c>
      <c r="B53" s="11" t="s">
        <v>5343</v>
      </c>
    </row>
    <row r="54" spans="1:2">
      <c r="A54" s="3" t="s">
        <v>5344</v>
      </c>
      <c r="B54" s="11" t="s">
        <v>5345</v>
      </c>
    </row>
    <row r="55" spans="1:2">
      <c r="A55" s="3" t="s">
        <v>5346</v>
      </c>
      <c r="B55" s="11" t="s">
        <v>5347</v>
      </c>
    </row>
    <row r="56" spans="1:2">
      <c r="A56" s="3" t="s">
        <v>5348</v>
      </c>
      <c r="B56" s="11" t="s">
        <v>5349</v>
      </c>
    </row>
    <row r="57" spans="1:2">
      <c r="A57" s="3" t="s">
        <v>5350</v>
      </c>
      <c r="B57" s="11" t="s">
        <v>5351</v>
      </c>
    </row>
    <row r="58" spans="1:2">
      <c r="A58" s="3" t="s">
        <v>5352</v>
      </c>
      <c r="B58" s="11" t="s">
        <v>5353</v>
      </c>
    </row>
    <row r="59" spans="1:2">
      <c r="A59" s="3" t="s">
        <v>5354</v>
      </c>
      <c r="B59" s="11" t="s">
        <v>5355</v>
      </c>
    </row>
    <row r="60" spans="1:2">
      <c r="A60" s="3" t="s">
        <v>5356</v>
      </c>
      <c r="B60" s="11" t="s">
        <v>5357</v>
      </c>
    </row>
    <row r="61" spans="1:2">
      <c r="A61" s="3" t="s">
        <v>5354</v>
      </c>
      <c r="B61" s="11" t="s">
        <v>5358</v>
      </c>
    </row>
    <row r="62" spans="1:2">
      <c r="A62" s="55" t="s">
        <v>5359</v>
      </c>
      <c r="B62" s="56"/>
    </row>
    <row r="63" spans="1:2">
      <c r="A63" s="3" t="s">
        <v>5360</v>
      </c>
      <c r="B63" s="11" t="s">
        <v>5361</v>
      </c>
    </row>
    <row r="64" spans="1:2">
      <c r="A64" s="3" t="s">
        <v>5362</v>
      </c>
      <c r="B64" s="11" t="s">
        <v>5363</v>
      </c>
    </row>
    <row r="65" spans="1:9">
      <c r="A65" s="3" t="s">
        <v>5364</v>
      </c>
      <c r="B65" s="11" t="s">
        <v>5365</v>
      </c>
    </row>
    <row r="66" spans="1:9">
      <c r="A66" s="25" t="s">
        <v>5366</v>
      </c>
      <c r="B66" s="26" t="s">
        <v>5367</v>
      </c>
    </row>
    <row r="67" spans="1:9">
      <c r="A67" s="25" t="s">
        <v>5368</v>
      </c>
      <c r="B67" s="26" t="s">
        <v>5369</v>
      </c>
    </row>
    <row r="68" spans="1:9">
      <c r="A68" s="11" t="s">
        <v>5370</v>
      </c>
      <c r="B68" s="11" t="s">
        <v>5371</v>
      </c>
      <c r="C68" s="1"/>
      <c r="D68" s="1"/>
      <c r="E68" s="1"/>
      <c r="F68" s="1"/>
      <c r="G68" s="1"/>
      <c r="H68" s="1"/>
      <c r="I68" s="1"/>
    </row>
    <row r="69" spans="1:9">
      <c r="A69" s="11" t="s">
        <v>5372</v>
      </c>
      <c r="B69" s="11" t="s">
        <v>5373</v>
      </c>
      <c r="C69" s="1"/>
      <c r="D69" s="1"/>
      <c r="E69" s="1"/>
      <c r="F69" s="1"/>
      <c r="G69" s="1"/>
      <c r="H69" s="1"/>
      <c r="I69" s="1"/>
    </row>
    <row r="70" spans="1:9">
      <c r="A70" s="11" t="s">
        <v>5374</v>
      </c>
      <c r="B70" s="11" t="s">
        <v>5375</v>
      </c>
      <c r="C70" s="1"/>
      <c r="D70" s="1"/>
      <c r="E70" s="1"/>
      <c r="F70" s="1"/>
      <c r="G70" s="1"/>
      <c r="H70" s="1"/>
      <c r="I70" s="1"/>
    </row>
    <row r="71" spans="1:9">
      <c r="A71" s="11" t="s">
        <v>5376</v>
      </c>
      <c r="B71" s="11" t="s">
        <v>5377</v>
      </c>
      <c r="C71" s="1"/>
      <c r="D71" s="1"/>
      <c r="E71" s="1"/>
      <c r="F71" s="1"/>
      <c r="G71" s="1"/>
      <c r="H71" s="1"/>
      <c r="I71" s="1"/>
    </row>
    <row r="72" spans="1:9">
      <c r="A72" s="11" t="s">
        <v>5378</v>
      </c>
      <c r="B72" s="11" t="s">
        <v>5379</v>
      </c>
      <c r="C72" s="1"/>
      <c r="D72" s="1"/>
      <c r="E72" s="1"/>
      <c r="F72" s="1"/>
      <c r="G72" s="1"/>
      <c r="H72" s="1"/>
      <c r="I72" s="1"/>
    </row>
    <row r="73" spans="1:9">
      <c r="A73" s="11" t="s">
        <v>5380</v>
      </c>
      <c r="B73" s="11" t="s">
        <v>5381</v>
      </c>
      <c r="C73" s="1"/>
      <c r="D73" s="1"/>
      <c r="E73" s="1"/>
      <c r="F73" s="1"/>
      <c r="G73" s="1"/>
      <c r="H73" s="1"/>
      <c r="I73" s="1"/>
    </row>
    <row r="74" spans="1:9">
      <c r="A74" s="11" t="s">
        <v>5382</v>
      </c>
      <c r="B74" s="11" t="s">
        <v>5383</v>
      </c>
      <c r="C74" s="1"/>
      <c r="D74" s="1"/>
      <c r="E74" s="1"/>
      <c r="F74" s="1"/>
      <c r="G74" s="1"/>
      <c r="H74" s="1"/>
      <c r="I74" s="1"/>
    </row>
    <row r="75" spans="1:9">
      <c r="A75" s="11" t="s">
        <v>5384</v>
      </c>
      <c r="B75" s="11" t="s">
        <v>5385</v>
      </c>
      <c r="C75" s="1"/>
      <c r="D75" s="1"/>
      <c r="E75" s="1"/>
      <c r="F75" s="1"/>
      <c r="G75" s="1"/>
      <c r="H75" s="1"/>
      <c r="I75" s="1"/>
    </row>
    <row r="76" spans="1:9">
      <c r="A76" s="11" t="s">
        <v>5386</v>
      </c>
      <c r="B76" s="11" t="s">
        <v>5387</v>
      </c>
      <c r="C76" s="1"/>
      <c r="D76" s="1"/>
      <c r="E76" s="1"/>
      <c r="F76" s="1"/>
      <c r="G76" s="1"/>
      <c r="H76" s="1"/>
      <c r="I76" s="1"/>
    </row>
    <row r="77" spans="1:9">
      <c r="A77" s="11" t="s">
        <v>5388</v>
      </c>
      <c r="B77" s="11" t="s">
        <v>5389</v>
      </c>
    </row>
    <row r="78" spans="1:9">
      <c r="A78" s="11" t="s">
        <v>5390</v>
      </c>
      <c r="B78" s="11" t="s">
        <v>5391</v>
      </c>
    </row>
    <row r="79" spans="1:9">
      <c r="A79" s="11" t="s">
        <v>5392</v>
      </c>
      <c r="B79" s="11" t="s">
        <v>5393</v>
      </c>
    </row>
  </sheetData>
  <mergeCells count="8">
    <mergeCell ref="A49:B49"/>
    <mergeCell ref="A62:B62"/>
    <mergeCell ref="A24:B24"/>
    <mergeCell ref="A10:B10"/>
    <mergeCell ref="A1:B1"/>
    <mergeCell ref="A13:B13"/>
    <mergeCell ref="A36:B36"/>
    <mergeCell ref="A6:B6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FE7C-24C5-4237-9D8F-D254F28CA29D}">
  <dimension ref="A1:BS873"/>
  <sheetViews>
    <sheetView workbookViewId="0">
      <pane xSplit="1" ySplit="1" topLeftCell="B2" activePane="bottomRight" state="frozen"/>
      <selection pane="bottomRight" activeCell="A2" sqref="A2:XFD2"/>
      <selection pane="bottomLeft" activeCell="A2" sqref="A2"/>
      <selection pane="topRight" activeCell="B1" sqref="B1"/>
    </sheetView>
  </sheetViews>
  <sheetFormatPr defaultColWidth="8.85546875" defaultRowHeight="15"/>
  <cols>
    <col min="1" max="2" width="11.140625" customWidth="1"/>
    <col min="3" max="3" width="12.42578125" customWidth="1"/>
    <col min="5" max="5" width="7.42578125" customWidth="1"/>
    <col min="7" max="8" width="10.7109375" customWidth="1"/>
    <col min="9" max="9" width="10.140625" customWidth="1"/>
    <col min="10" max="10" width="13.42578125" customWidth="1"/>
    <col min="17" max="18" width="14" customWidth="1"/>
    <col min="19" max="19" width="18" customWidth="1"/>
    <col min="20" max="20" width="10" customWidth="1"/>
    <col min="21" max="21" width="12" customWidth="1"/>
    <col min="22" max="22" width="10" customWidth="1"/>
    <col min="23" max="23" width="13.42578125" customWidth="1"/>
    <col min="24" max="24" width="18.140625" customWidth="1"/>
    <col min="25" max="25" width="16.140625" customWidth="1"/>
    <col min="26" max="26" width="19.42578125" customWidth="1"/>
    <col min="27" max="27" width="18.7109375" customWidth="1"/>
    <col min="28" max="28" width="20.140625" customWidth="1"/>
    <col min="29" max="30" width="24.42578125" customWidth="1"/>
    <col min="31" max="31" width="9.85546875" customWidth="1"/>
    <col min="33" max="33" width="7.28515625" customWidth="1"/>
    <col min="43" max="43" width="7.42578125" customWidth="1"/>
    <col min="60" max="60" width="6.42578125" customWidth="1"/>
  </cols>
  <sheetData>
    <row r="1" spans="1:71" ht="15.95" thickBot="1">
      <c r="A1" s="12" t="s">
        <v>5248</v>
      </c>
      <c r="B1" s="13" t="s">
        <v>4773</v>
      </c>
      <c r="C1" s="13" t="s">
        <v>5251</v>
      </c>
      <c r="D1" s="13" t="s">
        <v>5253</v>
      </c>
      <c r="E1" s="13" t="s">
        <v>5256</v>
      </c>
      <c r="F1" s="13" t="s">
        <v>5258</v>
      </c>
      <c r="G1" s="13" t="s">
        <v>5260</v>
      </c>
      <c r="H1" s="13" t="s">
        <v>5394</v>
      </c>
      <c r="I1" s="13" t="s">
        <v>5263</v>
      </c>
      <c r="J1" s="13" t="s">
        <v>5268</v>
      </c>
      <c r="K1" s="13" t="s">
        <v>5270</v>
      </c>
      <c r="L1" s="13" t="s">
        <v>5272</v>
      </c>
      <c r="M1" s="13" t="s">
        <v>5274</v>
      </c>
      <c r="N1" s="13" t="s">
        <v>5276</v>
      </c>
      <c r="O1" s="13" t="s">
        <v>5278</v>
      </c>
      <c r="P1" s="13" t="s">
        <v>5280</v>
      </c>
      <c r="Q1" s="13" t="s">
        <v>5282</v>
      </c>
      <c r="R1" s="13" t="s">
        <v>5284</v>
      </c>
      <c r="S1" s="13" t="s">
        <v>5286</v>
      </c>
      <c r="T1" s="13" t="s">
        <v>5289</v>
      </c>
      <c r="U1" s="13">
        <v>2018</v>
      </c>
      <c r="V1" s="13" t="s">
        <v>5293</v>
      </c>
      <c r="W1" s="13" t="s">
        <v>5295</v>
      </c>
      <c r="X1" s="17" t="s">
        <v>5297</v>
      </c>
      <c r="Y1" s="17" t="s">
        <v>5299</v>
      </c>
      <c r="Z1" s="17" t="s">
        <v>5301</v>
      </c>
      <c r="AA1" s="17" t="s">
        <v>5303</v>
      </c>
      <c r="AB1" s="17" t="s">
        <v>5305</v>
      </c>
      <c r="AC1" s="17" t="s">
        <v>5307</v>
      </c>
      <c r="AD1" s="17" t="s">
        <v>5309</v>
      </c>
      <c r="AE1" s="13" t="s">
        <v>5312</v>
      </c>
      <c r="AF1" s="13" t="s">
        <v>5314</v>
      </c>
      <c r="AG1" s="13" t="s">
        <v>5316</v>
      </c>
      <c r="AH1" s="13" t="s">
        <v>5318</v>
      </c>
      <c r="AI1" s="13" t="s">
        <v>5320</v>
      </c>
      <c r="AJ1" s="13" t="s">
        <v>5322</v>
      </c>
      <c r="AK1" s="13" t="s">
        <v>5324</v>
      </c>
      <c r="AL1" s="13" t="s">
        <v>5326</v>
      </c>
      <c r="AM1" s="13" t="s">
        <v>5328</v>
      </c>
      <c r="AN1" s="13" t="s">
        <v>5330</v>
      </c>
      <c r="AO1" s="13" t="s">
        <v>5332</v>
      </c>
      <c r="AP1" s="13" t="s">
        <v>5395</v>
      </c>
      <c r="AQ1" s="13" t="s">
        <v>5336</v>
      </c>
      <c r="AR1" s="13" t="s">
        <v>5338</v>
      </c>
      <c r="AS1" s="13" t="s">
        <v>5340</v>
      </c>
      <c r="AT1" s="13" t="s">
        <v>5342</v>
      </c>
      <c r="AU1" s="13" t="s">
        <v>5344</v>
      </c>
      <c r="AV1" s="13" t="s">
        <v>5346</v>
      </c>
      <c r="AW1" s="13" t="s">
        <v>5348</v>
      </c>
      <c r="AX1" s="13" t="s">
        <v>5350</v>
      </c>
      <c r="AY1" s="13" t="s">
        <v>5352</v>
      </c>
      <c r="AZ1" s="13" t="s">
        <v>5354</v>
      </c>
      <c r="BA1" s="13" t="s">
        <v>5356</v>
      </c>
      <c r="BB1" s="13" t="s">
        <v>5396</v>
      </c>
      <c r="BC1" s="13" t="s">
        <v>5360</v>
      </c>
      <c r="BD1" s="13" t="s">
        <v>5362</v>
      </c>
      <c r="BE1" s="13" t="s">
        <v>5364</v>
      </c>
      <c r="BF1" s="13" t="s">
        <v>5366</v>
      </c>
      <c r="BG1" s="13" t="s">
        <v>5397</v>
      </c>
      <c r="BH1" s="13" t="s">
        <v>5370</v>
      </c>
      <c r="BI1" s="13" t="s">
        <v>5372</v>
      </c>
      <c r="BJ1" s="13" t="s">
        <v>5374</v>
      </c>
      <c r="BK1" s="13" t="s">
        <v>5376</v>
      </c>
      <c r="BL1" s="13" t="s">
        <v>5378</v>
      </c>
      <c r="BM1" s="13" t="s">
        <v>5380</v>
      </c>
      <c r="BN1" s="13" t="s">
        <v>5382</v>
      </c>
      <c r="BO1" s="13" t="s">
        <v>5384</v>
      </c>
      <c r="BP1" s="13" t="s">
        <v>5386</v>
      </c>
      <c r="BQ1" s="13" t="s">
        <v>5388</v>
      </c>
      <c r="BR1" s="13" t="s">
        <v>5390</v>
      </c>
      <c r="BS1" s="28" t="s">
        <v>5392</v>
      </c>
    </row>
    <row r="2" spans="1:71">
      <c r="A2" s="1" t="s">
        <v>5178</v>
      </c>
      <c r="B2">
        <v>139</v>
      </c>
      <c r="C2">
        <v>864</v>
      </c>
      <c r="D2">
        <v>2025</v>
      </c>
      <c r="E2">
        <v>-1.3879999999999999</v>
      </c>
      <c r="F2">
        <v>0.16500000000000001</v>
      </c>
      <c r="G2">
        <f t="shared" ref="G2:G33" si="0">E2/F2</f>
        <v>-8.4121212121212103</v>
      </c>
      <c r="H2" s="27">
        <v>0</v>
      </c>
      <c r="I2">
        <v>1</v>
      </c>
      <c r="J2">
        <v>803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1995</v>
      </c>
      <c r="V2">
        <v>2018</v>
      </c>
      <c r="W2">
        <f t="shared" ref="W2:W65" si="1">ROUND(AVERAGE(U2:V2), 0)</f>
        <v>2007</v>
      </c>
      <c r="X2">
        <v>0</v>
      </c>
      <c r="Y2">
        <v>0</v>
      </c>
      <c r="Z2">
        <v>1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1</v>
      </c>
      <c r="AL2">
        <v>1</v>
      </c>
      <c r="AM2">
        <v>1</v>
      </c>
      <c r="AN2" s="21">
        <v>1</v>
      </c>
      <c r="AO2" s="21">
        <v>1</v>
      </c>
      <c r="AP2" s="21">
        <v>1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 s="21">
        <v>0</v>
      </c>
      <c r="BA2" s="21">
        <v>1</v>
      </c>
      <c r="BB2" s="21">
        <v>0</v>
      </c>
      <c r="BC2">
        <v>0</v>
      </c>
      <c r="BD2">
        <v>1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</row>
    <row r="3" spans="1:71">
      <c r="A3" s="1" t="s">
        <v>5178</v>
      </c>
      <c r="B3">
        <v>139</v>
      </c>
      <c r="C3">
        <v>865</v>
      </c>
      <c r="D3">
        <v>2025</v>
      </c>
      <c r="E3">
        <v>-1.298</v>
      </c>
      <c r="F3">
        <v>0.625</v>
      </c>
      <c r="G3">
        <f t="shared" si="0"/>
        <v>-2.0768</v>
      </c>
      <c r="H3" s="27">
        <v>0</v>
      </c>
      <c r="I3">
        <v>1</v>
      </c>
      <c r="J3">
        <v>803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1995</v>
      </c>
      <c r="V3">
        <v>2018</v>
      </c>
      <c r="W3">
        <f t="shared" si="1"/>
        <v>2007</v>
      </c>
      <c r="X3">
        <v>0</v>
      </c>
      <c r="Y3">
        <v>0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1</v>
      </c>
      <c r="AL3">
        <v>1</v>
      </c>
      <c r="AM3">
        <v>1</v>
      </c>
      <c r="AN3" s="21">
        <v>1</v>
      </c>
      <c r="AO3" s="21">
        <v>1</v>
      </c>
      <c r="AP3" s="21">
        <v>1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 s="21">
        <v>0</v>
      </c>
      <c r="BA3" s="21">
        <v>1</v>
      </c>
      <c r="BB3" s="21">
        <v>0</v>
      </c>
      <c r="BC3">
        <v>0</v>
      </c>
      <c r="BD3">
        <v>1</v>
      </c>
      <c r="BE3">
        <v>1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</row>
    <row r="4" spans="1:71">
      <c r="A4" s="1" t="s">
        <v>5178</v>
      </c>
      <c r="B4">
        <v>139</v>
      </c>
      <c r="C4">
        <v>866</v>
      </c>
      <c r="D4">
        <v>2025</v>
      </c>
      <c r="E4">
        <v>-1.3879999999999999</v>
      </c>
      <c r="F4">
        <v>0.16600000000000001</v>
      </c>
      <c r="G4">
        <f t="shared" si="0"/>
        <v>-8.3614457831325293</v>
      </c>
      <c r="H4" s="27">
        <v>0</v>
      </c>
      <c r="I4">
        <v>1</v>
      </c>
      <c r="J4">
        <v>803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1995</v>
      </c>
      <c r="V4">
        <v>2018</v>
      </c>
      <c r="W4">
        <f t="shared" si="1"/>
        <v>2007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1</v>
      </c>
      <c r="AM4">
        <v>1</v>
      </c>
      <c r="AN4" s="21">
        <v>1</v>
      </c>
      <c r="AO4" s="21">
        <v>1</v>
      </c>
      <c r="AP4" s="21">
        <v>1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 s="21">
        <v>0</v>
      </c>
      <c r="BA4" s="21">
        <v>1</v>
      </c>
      <c r="BB4" s="21">
        <v>0</v>
      </c>
      <c r="BC4">
        <v>0</v>
      </c>
      <c r="BD4">
        <v>0</v>
      </c>
      <c r="BE4">
        <v>1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</row>
    <row r="5" spans="1:71">
      <c r="A5" s="1" t="s">
        <v>5178</v>
      </c>
      <c r="B5">
        <v>139</v>
      </c>
      <c r="C5">
        <v>867</v>
      </c>
      <c r="D5">
        <v>2025</v>
      </c>
      <c r="E5">
        <v>-1.2709999999999999</v>
      </c>
      <c r="F5">
        <v>0.624</v>
      </c>
      <c r="G5">
        <f t="shared" si="0"/>
        <v>-2.036858974358974</v>
      </c>
      <c r="H5" s="27">
        <v>0</v>
      </c>
      <c r="I5">
        <v>1</v>
      </c>
      <c r="J5">
        <v>803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1995</v>
      </c>
      <c r="V5">
        <v>2018</v>
      </c>
      <c r="W5">
        <f t="shared" si="1"/>
        <v>2007</v>
      </c>
      <c r="X5">
        <v>0</v>
      </c>
      <c r="Y5">
        <v>0</v>
      </c>
      <c r="Z5">
        <v>1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1</v>
      </c>
      <c r="AL5">
        <v>1</v>
      </c>
      <c r="AM5">
        <v>1</v>
      </c>
      <c r="AN5" s="21">
        <v>1</v>
      </c>
      <c r="AO5" s="21">
        <v>1</v>
      </c>
      <c r="AP5" s="21">
        <v>1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 s="21">
        <v>0</v>
      </c>
      <c r="BA5" s="21">
        <v>1</v>
      </c>
      <c r="BB5" s="21">
        <v>0</v>
      </c>
      <c r="BC5">
        <v>0</v>
      </c>
      <c r="BD5">
        <v>0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</row>
    <row r="6" spans="1:71">
      <c r="A6" s="1" t="s">
        <v>5178</v>
      </c>
      <c r="B6">
        <v>139</v>
      </c>
      <c r="C6">
        <v>868</v>
      </c>
      <c r="D6">
        <v>2025</v>
      </c>
      <c r="E6">
        <v>5.8999999999999997E-2</v>
      </c>
      <c r="F6">
        <v>3.5999999999999997E-2</v>
      </c>
      <c r="G6">
        <f t="shared" si="0"/>
        <v>1.6388888888888888</v>
      </c>
      <c r="H6" s="27">
        <v>0</v>
      </c>
      <c r="I6">
        <v>1</v>
      </c>
      <c r="J6">
        <v>803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1995</v>
      </c>
      <c r="V6">
        <v>2018</v>
      </c>
      <c r="W6">
        <f t="shared" si="1"/>
        <v>2007</v>
      </c>
      <c r="X6">
        <v>0</v>
      </c>
      <c r="Y6">
        <v>0</v>
      </c>
      <c r="Z6">
        <v>1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1</v>
      </c>
      <c r="AL6">
        <v>1</v>
      </c>
      <c r="AM6">
        <v>1</v>
      </c>
      <c r="AN6" s="21">
        <v>1</v>
      </c>
      <c r="AO6" s="21">
        <v>1</v>
      </c>
      <c r="AP6" s="21">
        <v>1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 s="21">
        <v>0</v>
      </c>
      <c r="BA6" s="21">
        <v>1</v>
      </c>
      <c r="BB6" s="21">
        <v>0</v>
      </c>
      <c r="BC6">
        <v>0</v>
      </c>
      <c r="BD6">
        <v>0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</row>
    <row r="7" spans="1:71">
      <c r="A7" s="1" t="s">
        <v>5178</v>
      </c>
      <c r="B7">
        <v>139</v>
      </c>
      <c r="C7">
        <v>869</v>
      </c>
      <c r="D7">
        <v>2025</v>
      </c>
      <c r="E7">
        <v>-0.97299999999999998</v>
      </c>
      <c r="F7">
        <v>0.53900000000000003</v>
      </c>
      <c r="G7">
        <f t="shared" si="0"/>
        <v>-1.805194805194805</v>
      </c>
      <c r="H7" s="27">
        <v>0</v>
      </c>
      <c r="I7">
        <v>1</v>
      </c>
      <c r="J7">
        <v>803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1995</v>
      </c>
      <c r="V7">
        <v>2018</v>
      </c>
      <c r="W7">
        <f t="shared" si="1"/>
        <v>2007</v>
      </c>
      <c r="X7">
        <v>0</v>
      </c>
      <c r="Y7">
        <v>0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1</v>
      </c>
      <c r="AM7">
        <v>1</v>
      </c>
      <c r="AN7" s="21">
        <v>1</v>
      </c>
      <c r="AO7" s="21">
        <v>1</v>
      </c>
      <c r="AP7" s="21">
        <v>1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 s="21">
        <v>0</v>
      </c>
      <c r="BA7" s="21">
        <v>1</v>
      </c>
      <c r="BB7" s="21">
        <v>0</v>
      </c>
      <c r="BC7">
        <v>0</v>
      </c>
      <c r="BD7">
        <v>0</v>
      </c>
      <c r="BE7">
        <v>1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1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>
      <c r="A8" s="1" t="s">
        <v>5178</v>
      </c>
      <c r="B8">
        <v>139</v>
      </c>
      <c r="C8">
        <v>870</v>
      </c>
      <c r="D8">
        <v>2025</v>
      </c>
      <c r="E8">
        <v>-2.0329999999999999</v>
      </c>
      <c r="F8">
        <v>0.24099999999999999</v>
      </c>
      <c r="G8">
        <f t="shared" si="0"/>
        <v>-8.4356846473029048</v>
      </c>
      <c r="H8" s="27">
        <v>0</v>
      </c>
      <c r="I8">
        <v>1</v>
      </c>
      <c r="J8">
        <v>571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1995</v>
      </c>
      <c r="V8">
        <v>2018</v>
      </c>
      <c r="W8">
        <f t="shared" si="1"/>
        <v>2007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1</v>
      </c>
      <c r="AL8">
        <v>1</v>
      </c>
      <c r="AM8">
        <v>1</v>
      </c>
      <c r="AN8" s="21">
        <v>1</v>
      </c>
      <c r="AO8" s="21">
        <v>1</v>
      </c>
      <c r="AP8" s="21">
        <v>1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 s="21">
        <v>0</v>
      </c>
      <c r="BA8" s="21">
        <v>1</v>
      </c>
      <c r="BB8" s="21">
        <v>0</v>
      </c>
      <c r="BC8">
        <v>0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>
      <c r="A9" s="1" t="s">
        <v>5178</v>
      </c>
      <c r="B9">
        <v>139</v>
      </c>
      <c r="C9">
        <v>871</v>
      </c>
      <c r="D9">
        <v>2025</v>
      </c>
      <c r="E9">
        <v>-1.986</v>
      </c>
      <c r="F9">
        <v>0.86199999999999999</v>
      </c>
      <c r="G9">
        <f t="shared" si="0"/>
        <v>-2.3039443155452437</v>
      </c>
      <c r="H9" s="27">
        <v>0</v>
      </c>
      <c r="I9">
        <v>1</v>
      </c>
      <c r="J9">
        <v>571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1995</v>
      </c>
      <c r="V9">
        <v>2018</v>
      </c>
      <c r="W9">
        <f t="shared" si="1"/>
        <v>2007</v>
      </c>
      <c r="X9">
        <v>0</v>
      </c>
      <c r="Y9">
        <v>0</v>
      </c>
      <c r="Z9">
        <v>1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1</v>
      </c>
      <c r="AL9">
        <v>1</v>
      </c>
      <c r="AM9">
        <v>1</v>
      </c>
      <c r="AN9" s="21">
        <v>1</v>
      </c>
      <c r="AO9" s="21">
        <v>1</v>
      </c>
      <c r="AP9" s="21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 s="21">
        <v>0</v>
      </c>
      <c r="BA9" s="21">
        <v>1</v>
      </c>
      <c r="BB9" s="21">
        <v>0</v>
      </c>
      <c r="BC9">
        <v>0</v>
      </c>
      <c r="BD9">
        <v>0</v>
      </c>
      <c r="BE9">
        <v>1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>
      <c r="A10" s="1" t="s">
        <v>4825</v>
      </c>
      <c r="B10">
        <v>131</v>
      </c>
      <c r="C10">
        <v>800</v>
      </c>
      <c r="D10">
        <v>2024</v>
      </c>
      <c r="E10">
        <v>-0.97840000000000005</v>
      </c>
      <c r="F10">
        <v>0.17899999999999999</v>
      </c>
      <c r="G10">
        <f t="shared" si="0"/>
        <v>-5.4659217877094974</v>
      </c>
      <c r="H10" s="27">
        <v>0</v>
      </c>
      <c r="I10">
        <v>1</v>
      </c>
      <c r="J10">
        <v>5438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1</v>
      </c>
      <c r="U10">
        <v>2012</v>
      </c>
      <c r="V10">
        <v>2019</v>
      </c>
      <c r="W10">
        <f t="shared" si="1"/>
        <v>2016</v>
      </c>
      <c r="X10">
        <v>0</v>
      </c>
      <c r="Y10">
        <v>1</v>
      </c>
      <c r="Z10">
        <v>0</v>
      </c>
      <c r="AA10">
        <v>1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 s="21">
        <v>0</v>
      </c>
      <c r="AO10" s="21">
        <v>1</v>
      </c>
      <c r="AP10" s="21">
        <v>1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 s="21">
        <v>0</v>
      </c>
      <c r="BA10" s="21">
        <v>1</v>
      </c>
      <c r="BB10" s="21">
        <v>1</v>
      </c>
      <c r="BC10">
        <v>0</v>
      </c>
      <c r="BD10">
        <v>1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</row>
    <row r="11" spans="1:71">
      <c r="A11" s="1" t="s">
        <v>4825</v>
      </c>
      <c r="B11">
        <v>131</v>
      </c>
      <c r="C11">
        <v>801</v>
      </c>
      <c r="D11">
        <v>2024</v>
      </c>
      <c r="E11">
        <v>-1.0577000000000001</v>
      </c>
      <c r="F11">
        <v>0.74</v>
      </c>
      <c r="G11">
        <f t="shared" si="0"/>
        <v>-1.4293243243243245</v>
      </c>
      <c r="H11" s="27">
        <v>0</v>
      </c>
      <c r="I11">
        <v>1</v>
      </c>
      <c r="J11">
        <v>4539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1</v>
      </c>
      <c r="U11">
        <v>2012</v>
      </c>
      <c r="V11">
        <v>2019</v>
      </c>
      <c r="W11">
        <f t="shared" si="1"/>
        <v>2016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 s="21">
        <v>0</v>
      </c>
      <c r="AO11" s="21">
        <v>1</v>
      </c>
      <c r="AP11" s="21">
        <v>1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 s="21">
        <v>0</v>
      </c>
      <c r="BA11" s="21">
        <v>1</v>
      </c>
      <c r="BB11" s="21">
        <v>1</v>
      </c>
      <c r="BC11">
        <v>0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</row>
    <row r="12" spans="1:71">
      <c r="A12" s="1" t="s">
        <v>4825</v>
      </c>
      <c r="B12">
        <v>131</v>
      </c>
      <c r="C12">
        <v>802</v>
      </c>
      <c r="D12">
        <v>2024</v>
      </c>
      <c r="E12">
        <v>-1.5036</v>
      </c>
      <c r="F12">
        <v>0.20200000000000001</v>
      </c>
      <c r="G12">
        <f t="shared" si="0"/>
        <v>-7.4435643564356431</v>
      </c>
      <c r="H12" s="27">
        <v>0</v>
      </c>
      <c r="I12">
        <v>1</v>
      </c>
      <c r="J12">
        <v>5401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1</v>
      </c>
      <c r="U12">
        <v>2012</v>
      </c>
      <c r="V12">
        <v>2019</v>
      </c>
      <c r="W12">
        <f t="shared" si="1"/>
        <v>2016</v>
      </c>
      <c r="X12">
        <v>0</v>
      </c>
      <c r="Y12">
        <v>1</v>
      </c>
      <c r="Z12">
        <v>0</v>
      </c>
      <c r="AA12">
        <v>1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 s="21">
        <v>0</v>
      </c>
      <c r="AO12" s="21">
        <v>1</v>
      </c>
      <c r="AP12" s="21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 s="21">
        <v>0</v>
      </c>
      <c r="BA12" s="21">
        <v>1</v>
      </c>
      <c r="BB12" s="21">
        <v>1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0</v>
      </c>
    </row>
    <row r="13" spans="1:71">
      <c r="A13" s="1" t="s">
        <v>4825</v>
      </c>
      <c r="B13">
        <v>131</v>
      </c>
      <c r="C13">
        <v>803</v>
      </c>
      <c r="D13">
        <v>2024</v>
      </c>
      <c r="E13">
        <v>-0.63670000000000004</v>
      </c>
      <c r="F13">
        <v>0.193</v>
      </c>
      <c r="G13">
        <f t="shared" si="0"/>
        <v>-3.2989637305699482</v>
      </c>
      <c r="H13" s="27">
        <v>0</v>
      </c>
      <c r="I13">
        <v>1</v>
      </c>
      <c r="J13">
        <v>5401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0</v>
      </c>
      <c r="T13">
        <v>1</v>
      </c>
      <c r="U13">
        <v>2012</v>
      </c>
      <c r="V13">
        <v>2019</v>
      </c>
      <c r="W13">
        <f t="shared" si="1"/>
        <v>2016</v>
      </c>
      <c r="X13">
        <v>0</v>
      </c>
      <c r="Y13">
        <v>1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 s="21">
        <v>0</v>
      </c>
      <c r="AO13" s="21">
        <v>1</v>
      </c>
      <c r="AP13" s="21">
        <v>1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 s="21">
        <v>0</v>
      </c>
      <c r="BA13" s="21">
        <v>1</v>
      </c>
      <c r="BB13" s="21">
        <v>1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</row>
    <row r="14" spans="1:71">
      <c r="A14" s="1" t="s">
        <v>4929</v>
      </c>
      <c r="B14">
        <v>132</v>
      </c>
      <c r="C14">
        <v>804</v>
      </c>
      <c r="D14">
        <v>2024</v>
      </c>
      <c r="E14">
        <v>1.2E-2</v>
      </c>
      <c r="F14">
        <v>8.4500000000000006E-2</v>
      </c>
      <c r="G14">
        <f t="shared" si="0"/>
        <v>0.14201183431952663</v>
      </c>
      <c r="H14" s="27">
        <v>0</v>
      </c>
      <c r="I14">
        <v>1</v>
      </c>
      <c r="J14">
        <v>1449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2018</v>
      </c>
      <c r="V14">
        <v>2022</v>
      </c>
      <c r="W14">
        <f t="shared" si="1"/>
        <v>2020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1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 s="21">
        <v>0</v>
      </c>
      <c r="AO14" s="21">
        <v>0</v>
      </c>
      <c r="AP14" s="21">
        <v>1</v>
      </c>
      <c r="AQ14">
        <v>1</v>
      </c>
      <c r="AR14">
        <v>0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 s="21">
        <v>1</v>
      </c>
      <c r="BA14" s="21">
        <v>1</v>
      </c>
      <c r="BB14" s="21">
        <v>1</v>
      </c>
      <c r="BC14">
        <v>1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</row>
    <row r="15" spans="1:71">
      <c r="A15" s="1" t="s">
        <v>4929</v>
      </c>
      <c r="B15">
        <v>132</v>
      </c>
      <c r="C15">
        <v>805</v>
      </c>
      <c r="D15">
        <v>2024</v>
      </c>
      <c r="E15">
        <v>1.44E-2</v>
      </c>
      <c r="F15">
        <v>8.4699999999999998E-2</v>
      </c>
      <c r="G15">
        <f t="shared" si="0"/>
        <v>0.17001180637544275</v>
      </c>
      <c r="H15" s="27">
        <v>0</v>
      </c>
      <c r="I15">
        <v>1</v>
      </c>
      <c r="J15">
        <v>1453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2018</v>
      </c>
      <c r="V15">
        <v>2022</v>
      </c>
      <c r="W15">
        <f t="shared" si="1"/>
        <v>2020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 s="21">
        <v>0</v>
      </c>
      <c r="AO15" s="21">
        <v>0</v>
      </c>
      <c r="AP15" s="21">
        <v>1</v>
      </c>
      <c r="AQ15">
        <v>1</v>
      </c>
      <c r="AR15">
        <v>0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 s="21">
        <v>1</v>
      </c>
      <c r="BA15" s="21">
        <v>1</v>
      </c>
      <c r="BB15" s="21">
        <v>1</v>
      </c>
      <c r="BC15">
        <v>1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0</v>
      </c>
    </row>
    <row r="16" spans="1:71">
      <c r="A16" s="1" t="s">
        <v>4929</v>
      </c>
      <c r="B16">
        <v>132</v>
      </c>
      <c r="C16">
        <v>806</v>
      </c>
      <c r="D16">
        <v>2024</v>
      </c>
      <c r="E16">
        <v>3.2099999999999997E-2</v>
      </c>
      <c r="F16">
        <v>8.5500000000000007E-2</v>
      </c>
      <c r="G16">
        <f t="shared" si="0"/>
        <v>0.37543859649122802</v>
      </c>
      <c r="H16" s="27">
        <v>0</v>
      </c>
      <c r="I16">
        <v>1</v>
      </c>
      <c r="J16">
        <v>1452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2018</v>
      </c>
      <c r="V16">
        <v>2022</v>
      </c>
      <c r="W16">
        <f t="shared" si="1"/>
        <v>2020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 s="21">
        <v>0</v>
      </c>
      <c r="AO16" s="21">
        <v>0</v>
      </c>
      <c r="AP16" s="21">
        <v>1</v>
      </c>
      <c r="AQ16">
        <v>1</v>
      </c>
      <c r="AR16">
        <v>0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 s="21">
        <v>1</v>
      </c>
      <c r="BA16" s="21">
        <v>1</v>
      </c>
      <c r="BB16" s="21">
        <v>1</v>
      </c>
      <c r="BC16">
        <v>1</v>
      </c>
      <c r="BD16">
        <v>1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0</v>
      </c>
    </row>
    <row r="17" spans="1:71">
      <c r="A17" s="1" t="s">
        <v>4929</v>
      </c>
      <c r="B17">
        <v>132</v>
      </c>
      <c r="C17">
        <v>807</v>
      </c>
      <c r="D17">
        <v>2024</v>
      </c>
      <c r="E17">
        <v>4.99E-2</v>
      </c>
      <c r="F17">
        <v>8.3000000000000004E-2</v>
      </c>
      <c r="G17">
        <f t="shared" si="0"/>
        <v>0.60120481927710845</v>
      </c>
      <c r="H17" s="27">
        <v>0</v>
      </c>
      <c r="I17">
        <v>1</v>
      </c>
      <c r="J17">
        <v>1453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2018</v>
      </c>
      <c r="V17">
        <v>2022</v>
      </c>
      <c r="W17">
        <f t="shared" si="1"/>
        <v>2020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 s="21">
        <v>0</v>
      </c>
      <c r="AO17" s="21">
        <v>0</v>
      </c>
      <c r="AP17" s="21">
        <v>1</v>
      </c>
      <c r="AQ17">
        <v>1</v>
      </c>
      <c r="AR17">
        <v>0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 s="21">
        <v>1</v>
      </c>
      <c r="BA17" s="21">
        <v>1</v>
      </c>
      <c r="BB17" s="21">
        <v>1</v>
      </c>
      <c r="BC17">
        <v>1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0</v>
      </c>
    </row>
    <row r="18" spans="1:71">
      <c r="A18" s="1" t="s">
        <v>4929</v>
      </c>
      <c r="B18">
        <v>132</v>
      </c>
      <c r="C18">
        <v>808</v>
      </c>
      <c r="D18">
        <v>2024</v>
      </c>
      <c r="E18">
        <v>0.28100000000000003</v>
      </c>
      <c r="F18">
        <v>0.57499999999999996</v>
      </c>
      <c r="G18">
        <f t="shared" si="0"/>
        <v>0.48869565217391314</v>
      </c>
      <c r="H18" s="27">
        <v>0</v>
      </c>
      <c r="I18">
        <v>1</v>
      </c>
      <c r="J18">
        <v>1449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2018</v>
      </c>
      <c r="V18">
        <v>2022</v>
      </c>
      <c r="W18">
        <f t="shared" si="1"/>
        <v>2020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 s="21">
        <v>0</v>
      </c>
      <c r="AO18" s="21">
        <v>0</v>
      </c>
      <c r="AP18" s="21">
        <v>1</v>
      </c>
      <c r="AQ18">
        <v>1</v>
      </c>
      <c r="AR18">
        <v>0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 s="21">
        <v>1</v>
      </c>
      <c r="BA18" s="21">
        <v>1</v>
      </c>
      <c r="BB18" s="21">
        <v>1</v>
      </c>
      <c r="BC18">
        <v>1</v>
      </c>
      <c r="BD18">
        <v>1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</row>
    <row r="19" spans="1:71">
      <c r="A19" s="1" t="s">
        <v>4929</v>
      </c>
      <c r="B19">
        <v>132</v>
      </c>
      <c r="C19">
        <v>809</v>
      </c>
      <c r="D19">
        <v>2024</v>
      </c>
      <c r="E19">
        <v>0.312</v>
      </c>
      <c r="F19">
        <v>0.57599999999999996</v>
      </c>
      <c r="G19">
        <f t="shared" si="0"/>
        <v>0.54166666666666674</v>
      </c>
      <c r="H19" s="27">
        <v>0</v>
      </c>
      <c r="I19">
        <v>1</v>
      </c>
      <c r="J19">
        <v>1453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2018</v>
      </c>
      <c r="V19">
        <v>2022</v>
      </c>
      <c r="W19">
        <f t="shared" si="1"/>
        <v>2020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 s="21">
        <v>0</v>
      </c>
      <c r="AO19" s="21">
        <v>0</v>
      </c>
      <c r="AP19" s="21">
        <v>1</v>
      </c>
      <c r="AQ19">
        <v>1</v>
      </c>
      <c r="AR19">
        <v>0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 s="21">
        <v>1</v>
      </c>
      <c r="BA19" s="21">
        <v>1</v>
      </c>
      <c r="BB19" s="21">
        <v>1</v>
      </c>
      <c r="BC19">
        <v>1</v>
      </c>
      <c r="BD19">
        <v>1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0</v>
      </c>
      <c r="BS19">
        <v>0</v>
      </c>
    </row>
    <row r="20" spans="1:71">
      <c r="A20" s="1" t="s">
        <v>4929</v>
      </c>
      <c r="B20">
        <v>132</v>
      </c>
      <c r="C20">
        <v>810</v>
      </c>
      <c r="D20">
        <v>2024</v>
      </c>
      <c r="E20">
        <v>0.46500000000000002</v>
      </c>
      <c r="F20">
        <v>0.57899999999999996</v>
      </c>
      <c r="G20">
        <f t="shared" si="0"/>
        <v>0.80310880829015552</v>
      </c>
      <c r="H20" s="27">
        <v>0</v>
      </c>
      <c r="I20">
        <v>1</v>
      </c>
      <c r="J20">
        <v>1452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2018</v>
      </c>
      <c r="V20">
        <v>2022</v>
      </c>
      <c r="W20">
        <f t="shared" si="1"/>
        <v>2020</v>
      </c>
      <c r="X20">
        <v>1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 s="21">
        <v>0</v>
      </c>
      <c r="AO20" s="21">
        <v>0</v>
      </c>
      <c r="AP20" s="21">
        <v>1</v>
      </c>
      <c r="AQ20">
        <v>1</v>
      </c>
      <c r="AR20">
        <v>0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 s="21">
        <v>1</v>
      </c>
      <c r="BA20" s="21">
        <v>1</v>
      </c>
      <c r="BB20" s="21">
        <v>1</v>
      </c>
      <c r="BC20">
        <v>1</v>
      </c>
      <c r="BD20">
        <v>1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</row>
    <row r="21" spans="1:71">
      <c r="A21" s="1" t="s">
        <v>4929</v>
      </c>
      <c r="B21">
        <v>132</v>
      </c>
      <c r="C21">
        <v>811</v>
      </c>
      <c r="D21">
        <v>2024</v>
      </c>
      <c r="E21">
        <v>0.61399999999999999</v>
      </c>
      <c r="F21">
        <v>0.55900000000000005</v>
      </c>
      <c r="G21">
        <f t="shared" si="0"/>
        <v>1.0983899821109122</v>
      </c>
      <c r="H21" s="27">
        <v>0</v>
      </c>
      <c r="I21">
        <v>1</v>
      </c>
      <c r="J21">
        <v>1453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2018</v>
      </c>
      <c r="V21">
        <v>2022</v>
      </c>
      <c r="W21">
        <f t="shared" si="1"/>
        <v>2020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 s="21">
        <v>0</v>
      </c>
      <c r="AO21" s="21">
        <v>0</v>
      </c>
      <c r="AP21" s="21">
        <v>1</v>
      </c>
      <c r="AQ21">
        <v>1</v>
      </c>
      <c r="AR21">
        <v>0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 s="21">
        <v>1</v>
      </c>
      <c r="BA21" s="21">
        <v>1</v>
      </c>
      <c r="BB21" s="21">
        <v>1</v>
      </c>
      <c r="BC21">
        <v>1</v>
      </c>
      <c r="BD21">
        <v>1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</row>
    <row r="22" spans="1:71">
      <c r="A22" s="1" t="s">
        <v>4830</v>
      </c>
      <c r="B22">
        <v>133</v>
      </c>
      <c r="C22">
        <v>812</v>
      </c>
      <c r="D22">
        <v>2024</v>
      </c>
      <c r="E22">
        <v>-1.6850000000000001</v>
      </c>
      <c r="F22">
        <v>5.0000000000000001E-3</v>
      </c>
      <c r="G22">
        <f t="shared" si="0"/>
        <v>-337</v>
      </c>
      <c r="H22" s="27">
        <v>0</v>
      </c>
      <c r="I22">
        <v>1</v>
      </c>
      <c r="J22">
        <v>188345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1995</v>
      </c>
      <c r="V22">
        <v>2015</v>
      </c>
      <c r="W22">
        <f t="shared" si="1"/>
        <v>2005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 s="21">
        <v>1</v>
      </c>
      <c r="AO22" s="21">
        <v>1</v>
      </c>
      <c r="AP22" s="21">
        <v>1</v>
      </c>
      <c r="AQ22">
        <v>1</v>
      </c>
      <c r="AR22">
        <v>1</v>
      </c>
      <c r="AS22">
        <v>0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 s="21">
        <v>1</v>
      </c>
      <c r="BA22" s="21">
        <v>1</v>
      </c>
      <c r="BB22" s="21">
        <v>1</v>
      </c>
      <c r="BC22">
        <v>1</v>
      </c>
      <c r="BD22">
        <v>1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</row>
    <row r="23" spans="1:71">
      <c r="A23" s="1" t="s">
        <v>4830</v>
      </c>
      <c r="B23">
        <v>133</v>
      </c>
      <c r="C23">
        <v>813</v>
      </c>
      <c r="D23">
        <v>2024</v>
      </c>
      <c r="E23">
        <v>-1.6870000000000001</v>
      </c>
      <c r="F23">
        <v>5.0000000000000001E-3</v>
      </c>
      <c r="G23">
        <f t="shared" si="0"/>
        <v>-337.4</v>
      </c>
      <c r="H23" s="27">
        <v>0</v>
      </c>
      <c r="I23">
        <v>1</v>
      </c>
      <c r="J23">
        <v>188345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1995</v>
      </c>
      <c r="V23">
        <v>2015</v>
      </c>
      <c r="W23">
        <f t="shared" si="1"/>
        <v>2005</v>
      </c>
      <c r="X23">
        <v>1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 s="21">
        <v>1</v>
      </c>
      <c r="AO23" s="21">
        <v>1</v>
      </c>
      <c r="AP23" s="21">
        <v>1</v>
      </c>
      <c r="AQ23">
        <v>1</v>
      </c>
      <c r="AR23">
        <v>1</v>
      </c>
      <c r="AS23">
        <v>0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 s="21">
        <v>1</v>
      </c>
      <c r="BA23" s="21">
        <v>1</v>
      </c>
      <c r="BB23" s="21">
        <v>1</v>
      </c>
      <c r="BC23">
        <v>1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</row>
    <row r="24" spans="1:71">
      <c r="A24" s="1" t="s">
        <v>4830</v>
      </c>
      <c r="B24">
        <v>133</v>
      </c>
      <c r="C24">
        <v>814</v>
      </c>
      <c r="D24">
        <v>2024</v>
      </c>
      <c r="E24">
        <v>-1.5209999999999999</v>
      </c>
      <c r="F24">
        <v>5.0000000000000001E-3</v>
      </c>
      <c r="G24">
        <f t="shared" si="0"/>
        <v>-304.2</v>
      </c>
      <c r="H24" s="27">
        <v>0</v>
      </c>
      <c r="I24">
        <v>1</v>
      </c>
      <c r="J24">
        <v>188345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1995</v>
      </c>
      <c r="V24">
        <v>2015</v>
      </c>
      <c r="W24">
        <f t="shared" si="1"/>
        <v>2005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0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 s="21">
        <v>1</v>
      </c>
      <c r="AO24" s="21">
        <v>1</v>
      </c>
      <c r="AP24" s="21">
        <v>1</v>
      </c>
      <c r="AQ24">
        <v>1</v>
      </c>
      <c r="AR24">
        <v>1</v>
      </c>
      <c r="AS24">
        <v>0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 s="21">
        <v>1</v>
      </c>
      <c r="BA24" s="21">
        <v>1</v>
      </c>
      <c r="BB24" s="21">
        <v>1</v>
      </c>
      <c r="BC24">
        <v>1</v>
      </c>
      <c r="BD24">
        <v>1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</row>
    <row r="25" spans="1:71">
      <c r="A25" s="1" t="s">
        <v>5118</v>
      </c>
      <c r="B25">
        <v>136</v>
      </c>
      <c r="C25">
        <v>829</v>
      </c>
      <c r="D25">
        <v>2024</v>
      </c>
      <c r="E25">
        <v>-0.58299999999999996</v>
      </c>
      <c r="F25">
        <v>8.72E-2</v>
      </c>
      <c r="G25">
        <f t="shared" si="0"/>
        <v>-6.6857798165137607</v>
      </c>
      <c r="H25" s="27">
        <v>0</v>
      </c>
      <c r="I25">
        <v>1</v>
      </c>
      <c r="J25">
        <v>67013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1</v>
      </c>
      <c r="R25">
        <v>1</v>
      </c>
      <c r="S25">
        <v>0</v>
      </c>
      <c r="T25">
        <v>1</v>
      </c>
      <c r="U25">
        <v>2016</v>
      </c>
      <c r="V25">
        <v>2021</v>
      </c>
      <c r="W25">
        <f t="shared" si="1"/>
        <v>2019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 s="21">
        <v>1</v>
      </c>
      <c r="AO25" s="21">
        <v>1</v>
      </c>
      <c r="AP25" s="21">
        <v>1</v>
      </c>
      <c r="AQ25">
        <v>0</v>
      </c>
      <c r="AR25">
        <v>0</v>
      </c>
      <c r="AS25">
        <v>0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 s="21">
        <v>1</v>
      </c>
      <c r="BA25" s="21">
        <v>1</v>
      </c>
      <c r="BB25" s="21">
        <v>1</v>
      </c>
      <c r="BC25">
        <v>1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</row>
    <row r="26" spans="1:71">
      <c r="A26" s="1" t="s">
        <v>5118</v>
      </c>
      <c r="B26">
        <v>136</v>
      </c>
      <c r="C26">
        <v>830</v>
      </c>
      <c r="D26">
        <v>2024</v>
      </c>
      <c r="E26">
        <v>-0.53</v>
      </c>
      <c r="F26">
        <v>8.5199999999999998E-2</v>
      </c>
      <c r="G26">
        <f t="shared" si="0"/>
        <v>-6.2206572769953059</v>
      </c>
      <c r="H26" s="27">
        <v>0</v>
      </c>
      <c r="I26">
        <v>1</v>
      </c>
      <c r="J26">
        <v>65430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1</v>
      </c>
      <c r="R26">
        <v>1</v>
      </c>
      <c r="S26">
        <v>0</v>
      </c>
      <c r="T26">
        <v>1</v>
      </c>
      <c r="U26">
        <v>2016</v>
      </c>
      <c r="V26">
        <v>2021</v>
      </c>
      <c r="W26">
        <f t="shared" si="1"/>
        <v>2019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 s="21">
        <v>1</v>
      </c>
      <c r="AO26" s="21">
        <v>1</v>
      </c>
      <c r="AP26" s="21">
        <v>1</v>
      </c>
      <c r="AQ26">
        <v>0</v>
      </c>
      <c r="AR26">
        <v>0</v>
      </c>
      <c r="AS26">
        <v>0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 s="21">
        <v>1</v>
      </c>
      <c r="BA26" s="21">
        <v>1</v>
      </c>
      <c r="BB26" s="21">
        <v>1</v>
      </c>
      <c r="BC26">
        <v>1</v>
      </c>
      <c r="BD26">
        <v>1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</row>
    <row r="27" spans="1:71">
      <c r="A27" s="1" t="s">
        <v>5118</v>
      </c>
      <c r="B27">
        <v>136</v>
      </c>
      <c r="C27">
        <v>831</v>
      </c>
      <c r="D27">
        <v>2024</v>
      </c>
      <c r="E27">
        <v>-0.56999999999999995</v>
      </c>
      <c r="F27">
        <v>8.6999999999999994E-2</v>
      </c>
      <c r="G27">
        <f t="shared" si="0"/>
        <v>-6.5517241379310347</v>
      </c>
      <c r="H27" s="27">
        <v>0</v>
      </c>
      <c r="I27">
        <v>1</v>
      </c>
      <c r="J27">
        <v>67013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  <c r="T27">
        <v>1</v>
      </c>
      <c r="U27">
        <v>2016</v>
      </c>
      <c r="V27">
        <v>2021</v>
      </c>
      <c r="W27">
        <f t="shared" si="1"/>
        <v>2019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 s="21">
        <v>1</v>
      </c>
      <c r="AO27" s="21">
        <v>1</v>
      </c>
      <c r="AP27" s="21">
        <v>1</v>
      </c>
      <c r="AQ27">
        <v>0</v>
      </c>
      <c r="AR27">
        <v>0</v>
      </c>
      <c r="AS27">
        <v>0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 s="21">
        <v>1</v>
      </c>
      <c r="BA27" s="21">
        <v>1</v>
      </c>
      <c r="BB27" s="21">
        <v>1</v>
      </c>
      <c r="BC27">
        <v>1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</row>
    <row r="28" spans="1:71">
      <c r="A28" s="1" t="s">
        <v>5120</v>
      </c>
      <c r="B28">
        <v>137</v>
      </c>
      <c r="C28">
        <v>832</v>
      </c>
      <c r="D28">
        <v>2024</v>
      </c>
      <c r="E28">
        <v>-0.71899999999999997</v>
      </c>
      <c r="F28">
        <v>5.0900000000000001E-2</v>
      </c>
      <c r="G28">
        <f t="shared" si="0"/>
        <v>-14.125736738703338</v>
      </c>
      <c r="H28" s="27">
        <v>0</v>
      </c>
      <c r="I28">
        <v>1</v>
      </c>
      <c r="J28">
        <v>93732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  <c r="T28">
        <v>1</v>
      </c>
      <c r="U28">
        <v>1995</v>
      </c>
      <c r="V28">
        <v>1995</v>
      </c>
      <c r="W28">
        <f t="shared" si="1"/>
        <v>1995</v>
      </c>
      <c r="X28">
        <v>1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 s="21">
        <v>1</v>
      </c>
      <c r="AO28" s="21">
        <v>1</v>
      </c>
      <c r="AP28" s="21">
        <v>1</v>
      </c>
      <c r="AQ28">
        <v>0</v>
      </c>
      <c r="AR28">
        <v>0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 s="21">
        <v>1</v>
      </c>
      <c r="BA28" s="21">
        <v>1</v>
      </c>
      <c r="BB28" s="21">
        <v>1</v>
      </c>
      <c r="BC28">
        <v>1</v>
      </c>
      <c r="BD28">
        <v>1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</row>
    <row r="29" spans="1:71">
      <c r="A29" s="1" t="s">
        <v>5120</v>
      </c>
      <c r="B29">
        <v>137</v>
      </c>
      <c r="C29">
        <v>833</v>
      </c>
      <c r="D29">
        <v>2024</v>
      </c>
      <c r="E29">
        <v>-0.80200000000000005</v>
      </c>
      <c r="F29">
        <v>5.4800000000000001E-2</v>
      </c>
      <c r="G29">
        <f t="shared" si="0"/>
        <v>-14.635036496350365</v>
      </c>
      <c r="H29" s="27">
        <v>0</v>
      </c>
      <c r="I29">
        <v>1</v>
      </c>
      <c r="J29">
        <v>93732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1</v>
      </c>
      <c r="R29">
        <v>1</v>
      </c>
      <c r="S29">
        <v>0</v>
      </c>
      <c r="T29">
        <v>1</v>
      </c>
      <c r="U29">
        <v>2000</v>
      </c>
      <c r="V29">
        <v>2000</v>
      </c>
      <c r="W29">
        <f t="shared" si="1"/>
        <v>2000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 s="21">
        <v>1</v>
      </c>
      <c r="AO29" s="21">
        <v>1</v>
      </c>
      <c r="AP29" s="21">
        <v>1</v>
      </c>
      <c r="AQ29">
        <v>0</v>
      </c>
      <c r="AR29">
        <v>0</v>
      </c>
      <c r="AS29">
        <v>0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 s="21">
        <v>1</v>
      </c>
      <c r="BA29" s="21">
        <v>1</v>
      </c>
      <c r="BB29" s="21">
        <v>1</v>
      </c>
      <c r="BC29">
        <v>1</v>
      </c>
      <c r="BD29">
        <v>1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</row>
    <row r="30" spans="1:71">
      <c r="A30" s="1" t="s">
        <v>5120</v>
      </c>
      <c r="B30">
        <v>137</v>
      </c>
      <c r="C30">
        <v>834</v>
      </c>
      <c r="D30">
        <v>2024</v>
      </c>
      <c r="E30">
        <v>-0.88</v>
      </c>
      <c r="F30">
        <v>5.0099999999999999E-2</v>
      </c>
      <c r="G30">
        <f t="shared" si="0"/>
        <v>-17.56487025948104</v>
      </c>
      <c r="H30" s="27">
        <v>0</v>
      </c>
      <c r="I30">
        <v>1</v>
      </c>
      <c r="J30">
        <v>93732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1</v>
      </c>
      <c r="R30">
        <v>1</v>
      </c>
      <c r="S30">
        <v>0</v>
      </c>
      <c r="T30">
        <v>1</v>
      </c>
      <c r="U30">
        <v>2005</v>
      </c>
      <c r="V30">
        <v>2005</v>
      </c>
      <c r="W30">
        <f t="shared" si="1"/>
        <v>2005</v>
      </c>
      <c r="X30">
        <v>1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 s="21">
        <v>1</v>
      </c>
      <c r="AO30" s="21">
        <v>1</v>
      </c>
      <c r="AP30" s="21">
        <v>1</v>
      </c>
      <c r="AQ30">
        <v>0</v>
      </c>
      <c r="AR30">
        <v>0</v>
      </c>
      <c r="AS30">
        <v>0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 s="21">
        <v>1</v>
      </c>
      <c r="BA30" s="21">
        <v>1</v>
      </c>
      <c r="BB30" s="21">
        <v>1</v>
      </c>
      <c r="BC30">
        <v>1</v>
      </c>
      <c r="BD30">
        <v>1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</row>
    <row r="31" spans="1:71">
      <c r="A31" s="1" t="s">
        <v>5120</v>
      </c>
      <c r="B31">
        <v>137</v>
      </c>
      <c r="C31">
        <v>835</v>
      </c>
      <c r="D31">
        <v>2024</v>
      </c>
      <c r="E31">
        <v>-0.91900000000000004</v>
      </c>
      <c r="F31">
        <v>4.7600000000000003E-2</v>
      </c>
      <c r="G31">
        <f t="shared" si="0"/>
        <v>-19.306722689075631</v>
      </c>
      <c r="H31" s="27">
        <v>0</v>
      </c>
      <c r="I31">
        <v>1</v>
      </c>
      <c r="J31">
        <v>93732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1</v>
      </c>
      <c r="R31">
        <v>1</v>
      </c>
      <c r="S31">
        <v>0</v>
      </c>
      <c r="T31">
        <v>1</v>
      </c>
      <c r="U31">
        <v>2010</v>
      </c>
      <c r="V31">
        <v>2010</v>
      </c>
      <c r="W31">
        <f t="shared" si="1"/>
        <v>2010</v>
      </c>
      <c r="X31">
        <v>1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 s="21">
        <v>1</v>
      </c>
      <c r="AO31" s="21">
        <v>1</v>
      </c>
      <c r="AP31" s="21">
        <v>1</v>
      </c>
      <c r="AQ31">
        <v>0</v>
      </c>
      <c r="AR31">
        <v>0</v>
      </c>
      <c r="AS31">
        <v>0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 s="21">
        <v>1</v>
      </c>
      <c r="BA31" s="21">
        <v>1</v>
      </c>
      <c r="BB31" s="21">
        <v>1</v>
      </c>
      <c r="BC31">
        <v>1</v>
      </c>
      <c r="BD31">
        <v>1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</row>
    <row r="32" spans="1:71">
      <c r="A32" s="1" t="s">
        <v>5120</v>
      </c>
      <c r="B32">
        <v>137</v>
      </c>
      <c r="C32">
        <v>836</v>
      </c>
      <c r="D32">
        <v>2024</v>
      </c>
      <c r="E32">
        <v>-0.93300000000000005</v>
      </c>
      <c r="F32">
        <v>4.58E-2</v>
      </c>
      <c r="G32">
        <f t="shared" si="0"/>
        <v>-20.37117903930131</v>
      </c>
      <c r="H32" s="27">
        <v>0</v>
      </c>
      <c r="I32">
        <v>1</v>
      </c>
      <c r="J32">
        <v>93732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1</v>
      </c>
      <c r="U32">
        <v>2015</v>
      </c>
      <c r="V32">
        <v>2015</v>
      </c>
      <c r="W32">
        <f t="shared" si="1"/>
        <v>2015</v>
      </c>
      <c r="X32">
        <v>1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 s="21">
        <v>1</v>
      </c>
      <c r="AO32" s="21">
        <v>1</v>
      </c>
      <c r="AP32" s="21">
        <v>1</v>
      </c>
      <c r="AQ32">
        <v>0</v>
      </c>
      <c r="AR32">
        <v>0</v>
      </c>
      <c r="AS32">
        <v>0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 s="21">
        <v>1</v>
      </c>
      <c r="BA32" s="21">
        <v>1</v>
      </c>
      <c r="BB32" s="21">
        <v>1</v>
      </c>
      <c r="BC32">
        <v>1</v>
      </c>
      <c r="BD32">
        <v>1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</v>
      </c>
    </row>
    <row r="33" spans="1:71">
      <c r="A33" s="1" t="s">
        <v>5120</v>
      </c>
      <c r="B33">
        <v>137</v>
      </c>
      <c r="C33">
        <v>837</v>
      </c>
      <c r="D33">
        <v>2024</v>
      </c>
      <c r="E33">
        <v>-0.93700000000000006</v>
      </c>
      <c r="F33">
        <v>4.53E-2</v>
      </c>
      <c r="G33">
        <f t="shared" si="0"/>
        <v>-20.684326710816777</v>
      </c>
      <c r="H33" s="27">
        <v>0</v>
      </c>
      <c r="I33">
        <v>1</v>
      </c>
      <c r="J33">
        <v>93732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1</v>
      </c>
      <c r="R33">
        <v>1</v>
      </c>
      <c r="S33">
        <v>0</v>
      </c>
      <c r="T33">
        <v>1</v>
      </c>
      <c r="U33">
        <v>2019</v>
      </c>
      <c r="V33">
        <v>2019</v>
      </c>
      <c r="W33">
        <f t="shared" si="1"/>
        <v>2019</v>
      </c>
      <c r="X33">
        <v>1</v>
      </c>
      <c r="Y33">
        <v>0</v>
      </c>
      <c r="Z33">
        <v>1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 s="21">
        <v>1</v>
      </c>
      <c r="AO33" s="21">
        <v>1</v>
      </c>
      <c r="AP33" s="21">
        <v>1</v>
      </c>
      <c r="AQ33">
        <v>0</v>
      </c>
      <c r="AR33">
        <v>0</v>
      </c>
      <c r="AS33">
        <v>0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 s="21">
        <v>1</v>
      </c>
      <c r="BA33" s="21">
        <v>1</v>
      </c>
      <c r="BB33" s="21">
        <v>1</v>
      </c>
      <c r="BC33">
        <v>1</v>
      </c>
      <c r="BD33">
        <v>1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</row>
    <row r="34" spans="1:71">
      <c r="A34" s="1" t="s">
        <v>5120</v>
      </c>
      <c r="B34">
        <v>137</v>
      </c>
      <c r="C34">
        <v>838</v>
      </c>
      <c r="D34">
        <v>2024</v>
      </c>
      <c r="E34">
        <v>-0.71499999999999997</v>
      </c>
      <c r="F34">
        <v>6.3200000000000006E-2</v>
      </c>
      <c r="G34">
        <f t="shared" ref="G34:G55" si="2">E34/F34</f>
        <v>-11.313291139240505</v>
      </c>
      <c r="H34" s="27">
        <v>0</v>
      </c>
      <c r="I34">
        <v>1</v>
      </c>
      <c r="J34">
        <v>46064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1</v>
      </c>
      <c r="U34">
        <v>1995</v>
      </c>
      <c r="V34">
        <v>1995</v>
      </c>
      <c r="W34">
        <f t="shared" si="1"/>
        <v>1995</v>
      </c>
      <c r="X34">
        <v>1</v>
      </c>
      <c r="Y34">
        <v>0</v>
      </c>
      <c r="Z34">
        <v>1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0</v>
      </c>
      <c r="AK34">
        <v>1</v>
      </c>
      <c r="AL34">
        <v>1</v>
      </c>
      <c r="AM34">
        <v>1</v>
      </c>
      <c r="AN34" s="21">
        <v>0</v>
      </c>
      <c r="AO34" s="21">
        <v>0</v>
      </c>
      <c r="AP34" s="21">
        <v>1</v>
      </c>
      <c r="AQ34">
        <v>0</v>
      </c>
      <c r="AR34">
        <v>0</v>
      </c>
      <c r="AS34">
        <v>0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 s="21">
        <v>0</v>
      </c>
      <c r="BA34" s="21">
        <v>0</v>
      </c>
      <c r="BB34" s="21">
        <v>1</v>
      </c>
      <c r="BC34">
        <v>1</v>
      </c>
      <c r="BD34">
        <v>1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</row>
    <row r="35" spans="1:71">
      <c r="A35" s="1" t="s">
        <v>5120</v>
      </c>
      <c r="B35">
        <v>137</v>
      </c>
      <c r="C35">
        <v>839</v>
      </c>
      <c r="D35">
        <v>2024</v>
      </c>
      <c r="E35">
        <v>-0.80200000000000005</v>
      </c>
      <c r="F35">
        <v>6.59E-2</v>
      </c>
      <c r="G35">
        <f t="shared" si="2"/>
        <v>-12.169954476479514</v>
      </c>
      <c r="H35" s="27">
        <v>0</v>
      </c>
      <c r="I35">
        <v>1</v>
      </c>
      <c r="J35">
        <v>46064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>
        <v>1</v>
      </c>
      <c r="U35">
        <v>2000</v>
      </c>
      <c r="V35">
        <v>2000</v>
      </c>
      <c r="W35">
        <f t="shared" si="1"/>
        <v>2000</v>
      </c>
      <c r="X35">
        <v>1</v>
      </c>
      <c r="Y35">
        <v>0</v>
      </c>
      <c r="Z35">
        <v>1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1</v>
      </c>
      <c r="AL35">
        <v>1</v>
      </c>
      <c r="AM35">
        <v>1</v>
      </c>
      <c r="AN35" s="21">
        <v>0</v>
      </c>
      <c r="AO35" s="21">
        <v>0</v>
      </c>
      <c r="AP35" s="21">
        <v>1</v>
      </c>
      <c r="AQ35">
        <v>0</v>
      </c>
      <c r="AR35">
        <v>0</v>
      </c>
      <c r="AS35">
        <v>0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 s="21">
        <v>0</v>
      </c>
      <c r="BA35" s="21">
        <v>0</v>
      </c>
      <c r="BB35" s="21">
        <v>1</v>
      </c>
      <c r="BC35">
        <v>1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</row>
    <row r="36" spans="1:71">
      <c r="A36" s="1" t="s">
        <v>5120</v>
      </c>
      <c r="B36">
        <v>137</v>
      </c>
      <c r="C36">
        <v>840</v>
      </c>
      <c r="D36">
        <v>2024</v>
      </c>
      <c r="E36">
        <v>-0.83899999999999997</v>
      </c>
      <c r="F36">
        <v>6.3399999999999998E-2</v>
      </c>
      <c r="G36">
        <f t="shared" si="2"/>
        <v>-13.233438485804417</v>
      </c>
      <c r="H36" s="27">
        <v>0</v>
      </c>
      <c r="I36">
        <v>1</v>
      </c>
      <c r="J36">
        <v>46064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1</v>
      </c>
      <c r="U36">
        <v>2005</v>
      </c>
      <c r="V36">
        <v>2005</v>
      </c>
      <c r="W36">
        <f t="shared" si="1"/>
        <v>2005</v>
      </c>
      <c r="X36">
        <v>1</v>
      </c>
      <c r="Y36">
        <v>0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1</v>
      </c>
      <c r="AN36" s="21">
        <v>0</v>
      </c>
      <c r="AO36" s="21">
        <v>0</v>
      </c>
      <c r="AP36" s="21">
        <v>1</v>
      </c>
      <c r="AQ36">
        <v>0</v>
      </c>
      <c r="AR36">
        <v>0</v>
      </c>
      <c r="AS36">
        <v>0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 s="21">
        <v>0</v>
      </c>
      <c r="BA36" s="21">
        <v>0</v>
      </c>
      <c r="BB36" s="21">
        <v>1</v>
      </c>
      <c r="BC36">
        <v>1</v>
      </c>
      <c r="BD36">
        <v>1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</row>
    <row r="37" spans="1:71">
      <c r="A37" s="1" t="s">
        <v>5120</v>
      </c>
      <c r="B37">
        <v>137</v>
      </c>
      <c r="C37">
        <v>841</v>
      </c>
      <c r="D37">
        <v>2024</v>
      </c>
      <c r="E37">
        <v>-0.85399999999999998</v>
      </c>
      <c r="F37">
        <v>0.06</v>
      </c>
      <c r="G37">
        <f t="shared" si="2"/>
        <v>-14.233333333333334</v>
      </c>
      <c r="H37" s="27">
        <v>0</v>
      </c>
      <c r="I37">
        <v>1</v>
      </c>
      <c r="J37">
        <v>46064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1</v>
      </c>
      <c r="R37">
        <v>1</v>
      </c>
      <c r="S37">
        <v>0</v>
      </c>
      <c r="T37">
        <v>1</v>
      </c>
      <c r="U37">
        <v>2010</v>
      </c>
      <c r="V37">
        <v>2010</v>
      </c>
      <c r="W37">
        <f t="shared" si="1"/>
        <v>2010</v>
      </c>
      <c r="X37">
        <v>1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1</v>
      </c>
      <c r="AL37">
        <v>1</v>
      </c>
      <c r="AM37">
        <v>1</v>
      </c>
      <c r="AN37" s="21">
        <v>0</v>
      </c>
      <c r="AO37" s="21">
        <v>0</v>
      </c>
      <c r="AP37" s="21">
        <v>1</v>
      </c>
      <c r="AQ37">
        <v>0</v>
      </c>
      <c r="AR37">
        <v>0</v>
      </c>
      <c r="AS37">
        <v>0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 s="21">
        <v>0</v>
      </c>
      <c r="BA37" s="21">
        <v>0</v>
      </c>
      <c r="BB37" s="21">
        <v>1</v>
      </c>
      <c r="BC37">
        <v>1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</v>
      </c>
    </row>
    <row r="38" spans="1:71">
      <c r="A38" s="1" t="s">
        <v>5120</v>
      </c>
      <c r="B38">
        <v>137</v>
      </c>
      <c r="C38">
        <v>842</v>
      </c>
      <c r="D38">
        <v>2024</v>
      </c>
      <c r="E38">
        <v>-0.85299999999999998</v>
      </c>
      <c r="F38">
        <v>5.8700000000000002E-2</v>
      </c>
      <c r="G38">
        <f t="shared" si="2"/>
        <v>-14.531516183986371</v>
      </c>
      <c r="H38" s="27">
        <v>0</v>
      </c>
      <c r="I38">
        <v>1</v>
      </c>
      <c r="J38">
        <v>46064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  <c r="T38">
        <v>1</v>
      </c>
      <c r="U38">
        <v>2015</v>
      </c>
      <c r="V38">
        <v>2015</v>
      </c>
      <c r="W38">
        <f t="shared" si="1"/>
        <v>2015</v>
      </c>
      <c r="X38">
        <v>1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1</v>
      </c>
      <c r="AL38">
        <v>1</v>
      </c>
      <c r="AM38">
        <v>1</v>
      </c>
      <c r="AN38" s="21">
        <v>0</v>
      </c>
      <c r="AO38" s="21">
        <v>0</v>
      </c>
      <c r="AP38" s="21">
        <v>1</v>
      </c>
      <c r="AQ38">
        <v>0</v>
      </c>
      <c r="AR38">
        <v>0</v>
      </c>
      <c r="AS38">
        <v>0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 s="21">
        <v>0</v>
      </c>
      <c r="BA38" s="21">
        <v>0</v>
      </c>
      <c r="BB38" s="21">
        <v>1</v>
      </c>
      <c r="BC38">
        <v>1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</row>
    <row r="39" spans="1:71">
      <c r="A39" s="1" t="s">
        <v>5120</v>
      </c>
      <c r="B39">
        <v>137</v>
      </c>
      <c r="C39">
        <v>843</v>
      </c>
      <c r="D39">
        <v>2024</v>
      </c>
      <c r="E39">
        <v>-0.85299999999999998</v>
      </c>
      <c r="F39">
        <v>5.5599999999999997E-2</v>
      </c>
      <c r="G39">
        <f t="shared" si="2"/>
        <v>-15.341726618705037</v>
      </c>
      <c r="H39" s="27">
        <v>0</v>
      </c>
      <c r="I39">
        <v>1</v>
      </c>
      <c r="J39">
        <v>46064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1</v>
      </c>
      <c r="R39">
        <v>1</v>
      </c>
      <c r="S39">
        <v>0</v>
      </c>
      <c r="T39">
        <v>1</v>
      </c>
      <c r="U39">
        <v>2019</v>
      </c>
      <c r="V39">
        <v>2019</v>
      </c>
      <c r="W39">
        <f t="shared" si="1"/>
        <v>2019</v>
      </c>
      <c r="X39">
        <v>1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1</v>
      </c>
      <c r="AI39">
        <v>1</v>
      </c>
      <c r="AJ39">
        <v>0</v>
      </c>
      <c r="AK39">
        <v>1</v>
      </c>
      <c r="AL39">
        <v>1</v>
      </c>
      <c r="AM39">
        <v>1</v>
      </c>
      <c r="AN39" s="21">
        <v>0</v>
      </c>
      <c r="AO39" s="21">
        <v>0</v>
      </c>
      <c r="AP39" s="21">
        <v>1</v>
      </c>
      <c r="AQ39">
        <v>0</v>
      </c>
      <c r="AR39">
        <v>0</v>
      </c>
      <c r="AS39">
        <v>0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 s="21">
        <v>0</v>
      </c>
      <c r="BA39" s="21">
        <v>0</v>
      </c>
      <c r="BB39" s="21">
        <v>1</v>
      </c>
      <c r="BC39">
        <v>1</v>
      </c>
      <c r="BD39">
        <v>1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</row>
    <row r="40" spans="1:71">
      <c r="A40" s="1" t="s">
        <v>5120</v>
      </c>
      <c r="B40">
        <v>137</v>
      </c>
      <c r="C40">
        <v>844</v>
      </c>
      <c r="D40">
        <v>2024</v>
      </c>
      <c r="E40">
        <v>-1.1080000000000001</v>
      </c>
      <c r="F40">
        <v>9.6500000000000002E-2</v>
      </c>
      <c r="G40">
        <f t="shared" si="2"/>
        <v>-11.481865284974093</v>
      </c>
      <c r="H40" s="27">
        <v>0</v>
      </c>
      <c r="I40">
        <v>1</v>
      </c>
      <c r="J40">
        <v>30686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1</v>
      </c>
      <c r="R40">
        <v>1</v>
      </c>
      <c r="S40">
        <v>0</v>
      </c>
      <c r="T40">
        <v>1</v>
      </c>
      <c r="U40">
        <v>1995</v>
      </c>
      <c r="V40">
        <v>1995</v>
      </c>
      <c r="W40">
        <f t="shared" si="1"/>
        <v>1995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1</v>
      </c>
      <c r="AM40">
        <v>1</v>
      </c>
      <c r="AN40" s="21">
        <v>0</v>
      </c>
      <c r="AO40" s="21">
        <v>1</v>
      </c>
      <c r="AP40" s="21">
        <v>0</v>
      </c>
      <c r="AQ40">
        <v>0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 s="21">
        <v>0</v>
      </c>
      <c r="BA40" s="21">
        <v>1</v>
      </c>
      <c r="BB40" s="21">
        <v>0</v>
      </c>
      <c r="BC40">
        <v>1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</v>
      </c>
    </row>
    <row r="41" spans="1:71">
      <c r="A41" s="1" t="s">
        <v>5120</v>
      </c>
      <c r="B41">
        <v>137</v>
      </c>
      <c r="C41">
        <v>845</v>
      </c>
      <c r="D41">
        <v>2024</v>
      </c>
      <c r="E41">
        <v>-1.194</v>
      </c>
      <c r="F41">
        <v>8.9300000000000004E-2</v>
      </c>
      <c r="G41">
        <f t="shared" si="2"/>
        <v>-13.370660694288912</v>
      </c>
      <c r="H41" s="27">
        <v>0</v>
      </c>
      <c r="I41">
        <v>1</v>
      </c>
      <c r="J41">
        <v>30686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1</v>
      </c>
      <c r="R41">
        <v>1</v>
      </c>
      <c r="S41">
        <v>0</v>
      </c>
      <c r="T41">
        <v>1</v>
      </c>
      <c r="U41">
        <v>2000</v>
      </c>
      <c r="V41">
        <v>2000</v>
      </c>
      <c r="W41">
        <f t="shared" si="1"/>
        <v>2000</v>
      </c>
      <c r="X41">
        <v>1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1</v>
      </c>
      <c r="AL41">
        <v>1</v>
      </c>
      <c r="AM41">
        <v>1</v>
      </c>
      <c r="AN41" s="21">
        <v>0</v>
      </c>
      <c r="AO41" s="21">
        <v>1</v>
      </c>
      <c r="AP41" s="21">
        <v>0</v>
      </c>
      <c r="AQ41">
        <v>0</v>
      </c>
      <c r="AR41">
        <v>0</v>
      </c>
      <c r="AS41">
        <v>0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 s="21">
        <v>0</v>
      </c>
      <c r="BA41" s="21">
        <v>1</v>
      </c>
      <c r="BB41" s="21">
        <v>0</v>
      </c>
      <c r="BC41">
        <v>1</v>
      </c>
      <c r="BD41">
        <v>1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</row>
    <row r="42" spans="1:71">
      <c r="A42" s="1" t="s">
        <v>5120</v>
      </c>
      <c r="B42">
        <v>137</v>
      </c>
      <c r="C42">
        <v>846</v>
      </c>
      <c r="D42">
        <v>2024</v>
      </c>
      <c r="E42">
        <v>-1.2689999999999999</v>
      </c>
      <c r="F42">
        <v>7.5399999999999995E-2</v>
      </c>
      <c r="G42">
        <f t="shared" si="2"/>
        <v>-16.830238726790451</v>
      </c>
      <c r="H42" s="27">
        <v>0</v>
      </c>
      <c r="I42">
        <v>1</v>
      </c>
      <c r="J42">
        <v>30686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1</v>
      </c>
      <c r="R42">
        <v>1</v>
      </c>
      <c r="S42">
        <v>0</v>
      </c>
      <c r="T42">
        <v>1</v>
      </c>
      <c r="U42">
        <v>2005</v>
      </c>
      <c r="V42">
        <v>2005</v>
      </c>
      <c r="W42">
        <f t="shared" si="1"/>
        <v>2005</v>
      </c>
      <c r="X42">
        <v>1</v>
      </c>
      <c r="Y42">
        <v>0</v>
      </c>
      <c r="Z42">
        <v>1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1</v>
      </c>
      <c r="AL42">
        <v>1</v>
      </c>
      <c r="AM42">
        <v>1</v>
      </c>
      <c r="AN42" s="21">
        <v>0</v>
      </c>
      <c r="AO42" s="21">
        <v>1</v>
      </c>
      <c r="AP42" s="21">
        <v>0</v>
      </c>
      <c r="AQ42">
        <v>0</v>
      </c>
      <c r="AR42">
        <v>0</v>
      </c>
      <c r="AS42">
        <v>0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 s="21">
        <v>0</v>
      </c>
      <c r="BA42" s="21">
        <v>1</v>
      </c>
      <c r="BB42" s="21">
        <v>0</v>
      </c>
      <c r="BC42">
        <v>1</v>
      </c>
      <c r="BD42">
        <v>1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</row>
    <row r="43" spans="1:71">
      <c r="A43" s="1" t="s">
        <v>5120</v>
      </c>
      <c r="B43">
        <v>137</v>
      </c>
      <c r="C43">
        <v>847</v>
      </c>
      <c r="D43">
        <v>2024</v>
      </c>
      <c r="E43">
        <v>-1.29</v>
      </c>
      <c r="F43">
        <v>6.9000000000000006E-2</v>
      </c>
      <c r="G43">
        <f t="shared" si="2"/>
        <v>-18.695652173913043</v>
      </c>
      <c r="H43" s="27">
        <v>0</v>
      </c>
      <c r="I43">
        <v>1</v>
      </c>
      <c r="J43">
        <v>30686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1</v>
      </c>
      <c r="R43">
        <v>1</v>
      </c>
      <c r="S43">
        <v>0</v>
      </c>
      <c r="T43">
        <v>1</v>
      </c>
      <c r="U43">
        <v>2010</v>
      </c>
      <c r="V43">
        <v>2010</v>
      </c>
      <c r="W43">
        <f t="shared" si="1"/>
        <v>2010</v>
      </c>
      <c r="X43">
        <v>1</v>
      </c>
      <c r="Y43">
        <v>0</v>
      </c>
      <c r="Z43">
        <v>1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1</v>
      </c>
      <c r="AL43">
        <v>1</v>
      </c>
      <c r="AM43">
        <v>1</v>
      </c>
      <c r="AN43" s="21">
        <v>0</v>
      </c>
      <c r="AO43" s="21">
        <v>1</v>
      </c>
      <c r="AP43" s="21">
        <v>0</v>
      </c>
      <c r="AQ43">
        <v>0</v>
      </c>
      <c r="AR43">
        <v>0</v>
      </c>
      <c r="AS43">
        <v>0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 s="21">
        <v>0</v>
      </c>
      <c r="BA43" s="21">
        <v>1</v>
      </c>
      <c r="BB43" s="21">
        <v>0</v>
      </c>
      <c r="BC43">
        <v>1</v>
      </c>
      <c r="BD43">
        <v>1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</row>
    <row r="44" spans="1:71">
      <c r="A44" s="1" t="s">
        <v>5120</v>
      </c>
      <c r="B44">
        <v>137</v>
      </c>
      <c r="C44">
        <v>848</v>
      </c>
      <c r="D44">
        <v>2024</v>
      </c>
      <c r="E44">
        <v>-1.272</v>
      </c>
      <c r="F44">
        <v>6.6500000000000004E-2</v>
      </c>
      <c r="G44">
        <f t="shared" si="2"/>
        <v>-19.127819548872179</v>
      </c>
      <c r="H44" s="27">
        <v>0</v>
      </c>
      <c r="I44">
        <v>1</v>
      </c>
      <c r="J44">
        <v>30686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>
        <v>1</v>
      </c>
      <c r="U44">
        <v>2015</v>
      </c>
      <c r="V44">
        <v>2015</v>
      </c>
      <c r="W44">
        <f t="shared" si="1"/>
        <v>2015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1</v>
      </c>
      <c r="AM44">
        <v>1</v>
      </c>
      <c r="AN44" s="21">
        <v>0</v>
      </c>
      <c r="AO44" s="21">
        <v>1</v>
      </c>
      <c r="AP44" s="21">
        <v>0</v>
      </c>
      <c r="AQ44">
        <v>0</v>
      </c>
      <c r="AR44">
        <v>0</v>
      </c>
      <c r="AS44">
        <v>0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 s="21">
        <v>0</v>
      </c>
      <c r="BA44" s="21">
        <v>1</v>
      </c>
      <c r="BB44" s="21">
        <v>0</v>
      </c>
      <c r="BC44">
        <v>1</v>
      </c>
      <c r="BD44">
        <v>1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</row>
    <row r="45" spans="1:71">
      <c r="A45" s="1" t="s">
        <v>5120</v>
      </c>
      <c r="B45">
        <v>137</v>
      </c>
      <c r="C45">
        <v>849</v>
      </c>
      <c r="D45">
        <v>2024</v>
      </c>
      <c r="E45">
        <v>-1.2190000000000001</v>
      </c>
      <c r="F45">
        <v>7.3300000000000004E-2</v>
      </c>
      <c r="G45">
        <f t="shared" si="2"/>
        <v>-16.630286493860847</v>
      </c>
      <c r="H45" s="27">
        <v>0</v>
      </c>
      <c r="I45">
        <v>1</v>
      </c>
      <c r="J45">
        <v>30686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1</v>
      </c>
      <c r="R45">
        <v>1</v>
      </c>
      <c r="S45">
        <v>0</v>
      </c>
      <c r="T45">
        <v>1</v>
      </c>
      <c r="U45">
        <v>2019</v>
      </c>
      <c r="V45">
        <v>2019</v>
      </c>
      <c r="W45">
        <f t="shared" si="1"/>
        <v>2019</v>
      </c>
      <c r="X45">
        <v>1</v>
      </c>
      <c r="Y45">
        <v>0</v>
      </c>
      <c r="Z45">
        <v>1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1</v>
      </c>
      <c r="AL45">
        <v>1</v>
      </c>
      <c r="AM45">
        <v>1</v>
      </c>
      <c r="AN45" s="21">
        <v>0</v>
      </c>
      <c r="AO45" s="21">
        <v>1</v>
      </c>
      <c r="AP45" s="21">
        <v>0</v>
      </c>
      <c r="AQ45">
        <v>0</v>
      </c>
      <c r="AR45">
        <v>0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 s="21">
        <v>0</v>
      </c>
      <c r="BA45" s="21">
        <v>1</v>
      </c>
      <c r="BB45" s="21">
        <v>0</v>
      </c>
      <c r="BC45">
        <v>1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</row>
    <row r="46" spans="1:71">
      <c r="A46" s="1" t="s">
        <v>5120</v>
      </c>
      <c r="B46">
        <v>137</v>
      </c>
      <c r="C46">
        <v>850</v>
      </c>
      <c r="D46">
        <v>2024</v>
      </c>
      <c r="E46">
        <v>-1.123</v>
      </c>
      <c r="F46">
        <v>0.11899999999999999</v>
      </c>
      <c r="G46">
        <f t="shared" si="2"/>
        <v>-9.4369747899159666</v>
      </c>
      <c r="H46" s="27">
        <v>0</v>
      </c>
      <c r="I46">
        <v>1</v>
      </c>
      <c r="J46">
        <v>16982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1</v>
      </c>
      <c r="R46">
        <v>1</v>
      </c>
      <c r="S46">
        <v>0</v>
      </c>
      <c r="T46">
        <v>1</v>
      </c>
      <c r="U46">
        <v>1995</v>
      </c>
      <c r="V46">
        <v>1995</v>
      </c>
      <c r="W46">
        <f t="shared" si="1"/>
        <v>1995</v>
      </c>
      <c r="X46">
        <v>1</v>
      </c>
      <c r="Y46">
        <v>0</v>
      </c>
      <c r="Z46">
        <v>1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1</v>
      </c>
      <c r="AN46" s="21">
        <v>1</v>
      </c>
      <c r="AO46" s="21">
        <v>0</v>
      </c>
      <c r="AP46" s="21">
        <v>0</v>
      </c>
      <c r="AQ46">
        <v>0</v>
      </c>
      <c r="AR46">
        <v>0</v>
      </c>
      <c r="AS46">
        <v>0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 s="21">
        <v>1</v>
      </c>
      <c r="BA46" s="21">
        <v>0</v>
      </c>
      <c r="BB46" s="21">
        <v>0</v>
      </c>
      <c r="BC46">
        <v>1</v>
      </c>
      <c r="BD46">
        <v>1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1</v>
      </c>
    </row>
    <row r="47" spans="1:71">
      <c r="A47" s="1" t="s">
        <v>5120</v>
      </c>
      <c r="B47">
        <v>137</v>
      </c>
      <c r="C47">
        <v>851</v>
      </c>
      <c r="D47">
        <v>2024</v>
      </c>
      <c r="E47">
        <v>-1.2729999999999999</v>
      </c>
      <c r="F47">
        <v>0.125</v>
      </c>
      <c r="G47">
        <f t="shared" si="2"/>
        <v>-10.183999999999999</v>
      </c>
      <c r="H47" s="27">
        <v>0</v>
      </c>
      <c r="I47">
        <v>1</v>
      </c>
      <c r="J47">
        <v>16982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1</v>
      </c>
      <c r="S47">
        <v>0</v>
      </c>
      <c r="T47">
        <v>1</v>
      </c>
      <c r="U47">
        <v>2000</v>
      </c>
      <c r="V47">
        <v>2000</v>
      </c>
      <c r="W47">
        <f t="shared" si="1"/>
        <v>2000</v>
      </c>
      <c r="X47">
        <v>1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1</v>
      </c>
      <c r="AN47" s="21">
        <v>1</v>
      </c>
      <c r="AO47" s="21">
        <v>0</v>
      </c>
      <c r="AP47" s="21">
        <v>0</v>
      </c>
      <c r="AQ47">
        <v>0</v>
      </c>
      <c r="AR47">
        <v>0</v>
      </c>
      <c r="AS47">
        <v>0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 s="21">
        <v>1</v>
      </c>
      <c r="BA47" s="21">
        <v>0</v>
      </c>
      <c r="BB47" s="21">
        <v>0</v>
      </c>
      <c r="BC47">
        <v>1</v>
      </c>
      <c r="BD47">
        <v>1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</row>
    <row r="48" spans="1:71">
      <c r="A48" s="1" t="s">
        <v>5120</v>
      </c>
      <c r="B48">
        <v>137</v>
      </c>
      <c r="C48">
        <v>852</v>
      </c>
      <c r="D48">
        <v>2024</v>
      </c>
      <c r="E48">
        <v>-1.3380000000000001</v>
      </c>
      <c r="F48">
        <v>0.125</v>
      </c>
      <c r="G48">
        <f t="shared" si="2"/>
        <v>-10.704000000000001</v>
      </c>
      <c r="H48" s="27">
        <v>0</v>
      </c>
      <c r="I48">
        <v>1</v>
      </c>
      <c r="J48">
        <v>16982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1</v>
      </c>
      <c r="S48">
        <v>0</v>
      </c>
      <c r="T48">
        <v>1</v>
      </c>
      <c r="U48">
        <v>2005</v>
      </c>
      <c r="V48">
        <v>2005</v>
      </c>
      <c r="W48">
        <f t="shared" si="1"/>
        <v>2005</v>
      </c>
      <c r="X48">
        <v>1</v>
      </c>
      <c r="Y48">
        <v>0</v>
      </c>
      <c r="Z48">
        <v>1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1</v>
      </c>
      <c r="AN48" s="21">
        <v>1</v>
      </c>
      <c r="AO48" s="21">
        <v>0</v>
      </c>
      <c r="AP48" s="21">
        <v>0</v>
      </c>
      <c r="AQ48">
        <v>0</v>
      </c>
      <c r="AR48">
        <v>0</v>
      </c>
      <c r="AS48">
        <v>0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 s="21">
        <v>1</v>
      </c>
      <c r="BA48" s="21">
        <v>0</v>
      </c>
      <c r="BB48" s="21">
        <v>0</v>
      </c>
      <c r="BC48">
        <v>1</v>
      </c>
      <c r="BD48">
        <v>1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</row>
    <row r="49" spans="1:71">
      <c r="A49" s="1" t="s">
        <v>5120</v>
      </c>
      <c r="B49">
        <v>137</v>
      </c>
      <c r="C49">
        <v>853</v>
      </c>
      <c r="D49">
        <v>2024</v>
      </c>
      <c r="E49">
        <v>-1.3160000000000001</v>
      </c>
      <c r="F49">
        <v>0.126</v>
      </c>
      <c r="G49">
        <f t="shared" si="2"/>
        <v>-10.444444444444445</v>
      </c>
      <c r="H49" s="27">
        <v>0</v>
      </c>
      <c r="I49">
        <v>1</v>
      </c>
      <c r="J49">
        <v>16982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1</v>
      </c>
      <c r="S49">
        <v>0</v>
      </c>
      <c r="T49">
        <v>1</v>
      </c>
      <c r="U49">
        <v>2010</v>
      </c>
      <c r="V49">
        <v>2010</v>
      </c>
      <c r="W49">
        <f t="shared" si="1"/>
        <v>2010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1</v>
      </c>
      <c r="AN49" s="21">
        <v>1</v>
      </c>
      <c r="AO49" s="21">
        <v>0</v>
      </c>
      <c r="AP49" s="21">
        <v>0</v>
      </c>
      <c r="AQ49">
        <v>0</v>
      </c>
      <c r="AR49">
        <v>0</v>
      </c>
      <c r="AS49">
        <v>0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 s="21">
        <v>1</v>
      </c>
      <c r="BA49" s="21">
        <v>0</v>
      </c>
      <c r="BB49" s="21">
        <v>0</v>
      </c>
      <c r="BC49">
        <v>1</v>
      </c>
      <c r="BD49">
        <v>1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</row>
    <row r="50" spans="1:71">
      <c r="A50" s="1" t="s">
        <v>5120</v>
      </c>
      <c r="B50">
        <v>137</v>
      </c>
      <c r="C50">
        <v>854</v>
      </c>
      <c r="D50">
        <v>2024</v>
      </c>
      <c r="E50">
        <v>-1.2190000000000001</v>
      </c>
      <c r="F50">
        <v>0.13</v>
      </c>
      <c r="G50">
        <f t="shared" si="2"/>
        <v>-9.3769230769230774</v>
      </c>
      <c r="H50" s="27">
        <v>0</v>
      </c>
      <c r="I50">
        <v>1</v>
      </c>
      <c r="J50">
        <v>16982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1</v>
      </c>
      <c r="R50">
        <v>1</v>
      </c>
      <c r="S50">
        <v>0</v>
      </c>
      <c r="T50">
        <v>1</v>
      </c>
      <c r="U50">
        <v>2015</v>
      </c>
      <c r="V50">
        <v>2015</v>
      </c>
      <c r="W50">
        <f t="shared" si="1"/>
        <v>2015</v>
      </c>
      <c r="X50">
        <v>1</v>
      </c>
      <c r="Y50">
        <v>0</v>
      </c>
      <c r="Z50">
        <v>1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1</v>
      </c>
      <c r="AN50" s="21">
        <v>1</v>
      </c>
      <c r="AO50" s="21">
        <v>0</v>
      </c>
      <c r="AP50" s="21">
        <v>0</v>
      </c>
      <c r="AQ50">
        <v>0</v>
      </c>
      <c r="AR50">
        <v>0</v>
      </c>
      <c r="AS50">
        <v>0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 s="21">
        <v>1</v>
      </c>
      <c r="BA50" s="21">
        <v>0</v>
      </c>
      <c r="BB50" s="21">
        <v>0</v>
      </c>
      <c r="BC50">
        <v>1</v>
      </c>
      <c r="BD50">
        <v>1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</row>
    <row r="51" spans="1:71">
      <c r="A51" s="1" t="s">
        <v>5120</v>
      </c>
      <c r="B51">
        <v>137</v>
      </c>
      <c r="C51">
        <v>855</v>
      </c>
      <c r="D51">
        <v>2024</v>
      </c>
      <c r="E51">
        <v>-1.343</v>
      </c>
      <c r="F51">
        <v>0.14000000000000001</v>
      </c>
      <c r="G51">
        <f t="shared" si="2"/>
        <v>-9.5928571428571416</v>
      </c>
      <c r="H51" s="27">
        <v>0</v>
      </c>
      <c r="I51">
        <v>1</v>
      </c>
      <c r="J51">
        <v>16982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1</v>
      </c>
      <c r="S51">
        <v>0</v>
      </c>
      <c r="T51">
        <v>1</v>
      </c>
      <c r="U51">
        <v>2019</v>
      </c>
      <c r="V51">
        <v>2019</v>
      </c>
      <c r="W51">
        <f t="shared" si="1"/>
        <v>2019</v>
      </c>
      <c r="X51">
        <v>1</v>
      </c>
      <c r="Y51">
        <v>0</v>
      </c>
      <c r="Z51">
        <v>1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1</v>
      </c>
      <c r="AN51" s="21">
        <v>1</v>
      </c>
      <c r="AO51" s="21">
        <v>0</v>
      </c>
      <c r="AP51" s="21">
        <v>0</v>
      </c>
      <c r="AQ51">
        <v>0</v>
      </c>
      <c r="AR51">
        <v>0</v>
      </c>
      <c r="AS51">
        <v>0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 s="21">
        <v>1</v>
      </c>
      <c r="BA51" s="21">
        <v>0</v>
      </c>
      <c r="BB51" s="21">
        <v>0</v>
      </c>
      <c r="BC51">
        <v>1</v>
      </c>
      <c r="BD51">
        <v>1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</row>
    <row r="52" spans="1:71">
      <c r="A52" s="1" t="s">
        <v>5120</v>
      </c>
      <c r="B52">
        <v>137</v>
      </c>
      <c r="C52">
        <v>856</v>
      </c>
      <c r="D52">
        <v>2024</v>
      </c>
      <c r="E52">
        <v>-0.69399999999999995</v>
      </c>
      <c r="F52">
        <v>8.0500000000000002E-2</v>
      </c>
      <c r="G52">
        <f t="shared" si="2"/>
        <v>-8.6211180124223592</v>
      </c>
      <c r="H52" s="27">
        <v>0</v>
      </c>
      <c r="I52">
        <v>1</v>
      </c>
      <c r="J52">
        <v>94675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1</v>
      </c>
      <c r="R52">
        <v>1</v>
      </c>
      <c r="S52">
        <v>0</v>
      </c>
      <c r="T52">
        <v>1</v>
      </c>
      <c r="U52">
        <v>1995</v>
      </c>
      <c r="V52">
        <v>2019</v>
      </c>
      <c r="W52">
        <f t="shared" si="1"/>
        <v>2007</v>
      </c>
      <c r="X52">
        <v>1</v>
      </c>
      <c r="Y52">
        <v>0</v>
      </c>
      <c r="Z52">
        <v>1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 s="21">
        <v>1</v>
      </c>
      <c r="AO52" s="21">
        <v>1</v>
      </c>
      <c r="AP52" s="21">
        <v>1</v>
      </c>
      <c r="AQ52">
        <v>0</v>
      </c>
      <c r="AR52">
        <v>0</v>
      </c>
      <c r="AS52">
        <v>0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 s="21">
        <v>1</v>
      </c>
      <c r="BA52" s="21">
        <v>1</v>
      </c>
      <c r="BB52" s="21">
        <v>1</v>
      </c>
      <c r="BC52">
        <v>1</v>
      </c>
      <c r="BD52">
        <v>1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</row>
    <row r="53" spans="1:71">
      <c r="A53" s="1" t="s">
        <v>5120</v>
      </c>
      <c r="B53">
        <v>137</v>
      </c>
      <c r="C53">
        <v>857</v>
      </c>
      <c r="D53">
        <v>2024</v>
      </c>
      <c r="E53">
        <v>-0.53300000000000003</v>
      </c>
      <c r="F53">
        <v>8.8400000000000006E-2</v>
      </c>
      <c r="G53">
        <f t="shared" si="2"/>
        <v>-6.0294117647058822</v>
      </c>
      <c r="H53" s="27">
        <v>0</v>
      </c>
      <c r="I53">
        <v>1</v>
      </c>
      <c r="J53">
        <v>46555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1</v>
      </c>
      <c r="R53">
        <v>1</v>
      </c>
      <c r="S53">
        <v>0</v>
      </c>
      <c r="T53">
        <v>1</v>
      </c>
      <c r="U53">
        <v>1995</v>
      </c>
      <c r="V53">
        <v>2019</v>
      </c>
      <c r="W53">
        <f t="shared" si="1"/>
        <v>2007</v>
      </c>
      <c r="X53">
        <v>1</v>
      </c>
      <c r="Y53">
        <v>0</v>
      </c>
      <c r="Z53">
        <v>1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1</v>
      </c>
      <c r="AI53">
        <v>1</v>
      </c>
      <c r="AJ53">
        <v>0</v>
      </c>
      <c r="AK53">
        <v>1</v>
      </c>
      <c r="AL53">
        <v>1</v>
      </c>
      <c r="AM53">
        <v>1</v>
      </c>
      <c r="AN53" s="21">
        <v>0</v>
      </c>
      <c r="AO53" s="21">
        <v>0</v>
      </c>
      <c r="AP53" s="21">
        <v>1</v>
      </c>
      <c r="AQ53">
        <v>0</v>
      </c>
      <c r="AR53">
        <v>0</v>
      </c>
      <c r="AS53">
        <v>0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 s="21">
        <v>0</v>
      </c>
      <c r="BA53" s="21">
        <v>0</v>
      </c>
      <c r="BB53" s="21">
        <v>1</v>
      </c>
      <c r="BC53">
        <v>1</v>
      </c>
      <c r="BD53">
        <v>1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</row>
    <row r="54" spans="1:71">
      <c r="A54" s="1" t="s">
        <v>5120</v>
      </c>
      <c r="B54">
        <v>137</v>
      </c>
      <c r="C54">
        <v>858</v>
      </c>
      <c r="D54">
        <v>2024</v>
      </c>
      <c r="E54">
        <v>-1.1459999999999999</v>
      </c>
      <c r="F54">
        <v>6.3399999999999998E-2</v>
      </c>
      <c r="G54">
        <f t="shared" si="2"/>
        <v>-18.07570977917981</v>
      </c>
      <c r="H54" s="27">
        <v>0</v>
      </c>
      <c r="I54">
        <v>1</v>
      </c>
      <c r="J54">
        <v>30895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1</v>
      </c>
      <c r="R54">
        <v>1</v>
      </c>
      <c r="S54">
        <v>0</v>
      </c>
      <c r="T54">
        <v>1</v>
      </c>
      <c r="U54">
        <v>1995</v>
      </c>
      <c r="V54">
        <v>2019</v>
      </c>
      <c r="W54">
        <f t="shared" si="1"/>
        <v>2007</v>
      </c>
      <c r="X54">
        <v>1</v>
      </c>
      <c r="Y54">
        <v>0</v>
      </c>
      <c r="Z54">
        <v>1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1</v>
      </c>
      <c r="AL54">
        <v>1</v>
      </c>
      <c r="AM54">
        <v>1</v>
      </c>
      <c r="AN54" s="21">
        <v>0</v>
      </c>
      <c r="AO54" s="21">
        <v>1</v>
      </c>
      <c r="AP54" s="21">
        <v>0</v>
      </c>
      <c r="AQ54">
        <v>0</v>
      </c>
      <c r="AR54">
        <v>0</v>
      </c>
      <c r="AS54">
        <v>0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 s="21">
        <v>0</v>
      </c>
      <c r="BA54" s="21">
        <v>1</v>
      </c>
      <c r="BB54" s="21">
        <v>0</v>
      </c>
      <c r="BC54">
        <v>1</v>
      </c>
      <c r="BD54">
        <v>1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</row>
    <row r="55" spans="1:71">
      <c r="A55" s="1" t="s">
        <v>5120</v>
      </c>
      <c r="B55">
        <v>137</v>
      </c>
      <c r="C55">
        <v>859</v>
      </c>
      <c r="D55">
        <v>2024</v>
      </c>
      <c r="E55">
        <v>-1.319</v>
      </c>
      <c r="F55">
        <v>0.158</v>
      </c>
      <c r="G55">
        <f t="shared" si="2"/>
        <v>-8.348101265822784</v>
      </c>
      <c r="H55" s="27">
        <v>0</v>
      </c>
      <c r="I55">
        <v>1</v>
      </c>
      <c r="J55">
        <v>17169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1</v>
      </c>
      <c r="R55">
        <v>1</v>
      </c>
      <c r="S55">
        <v>0</v>
      </c>
      <c r="T55">
        <v>1</v>
      </c>
      <c r="U55">
        <v>1995</v>
      </c>
      <c r="V55">
        <v>2019</v>
      </c>
      <c r="W55">
        <f t="shared" si="1"/>
        <v>2007</v>
      </c>
      <c r="X55">
        <v>1</v>
      </c>
      <c r="Y55">
        <v>0</v>
      </c>
      <c r="Z55">
        <v>1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1</v>
      </c>
      <c r="AN55" s="21">
        <v>1</v>
      </c>
      <c r="AO55" s="21">
        <v>0</v>
      </c>
      <c r="AP55" s="21">
        <v>0</v>
      </c>
      <c r="AQ55">
        <v>0</v>
      </c>
      <c r="AR55">
        <v>0</v>
      </c>
      <c r="AS55">
        <v>0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 s="21">
        <v>1</v>
      </c>
      <c r="BA55" s="21">
        <v>0</v>
      </c>
      <c r="BB55" s="21">
        <v>0</v>
      </c>
      <c r="BC55">
        <v>1</v>
      </c>
      <c r="BD55">
        <v>1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</v>
      </c>
    </row>
    <row r="56" spans="1:71">
      <c r="A56" s="1" t="s">
        <v>4863</v>
      </c>
      <c r="B56">
        <v>138</v>
      </c>
      <c r="C56">
        <v>860</v>
      </c>
      <c r="D56">
        <v>2024</v>
      </c>
      <c r="E56">
        <v>-0.78100000000000003</v>
      </c>
      <c r="F56">
        <f>E56/G56</f>
        <v>0.27793594306049824</v>
      </c>
      <c r="G56">
        <v>-2.81</v>
      </c>
      <c r="H56" s="27">
        <v>0</v>
      </c>
      <c r="I56">
        <v>1</v>
      </c>
      <c r="J56">
        <v>111162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1</v>
      </c>
      <c r="U56">
        <v>1995</v>
      </c>
      <c r="V56">
        <v>2019</v>
      </c>
      <c r="W56">
        <f t="shared" si="1"/>
        <v>2007</v>
      </c>
      <c r="X56">
        <v>1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 s="21">
        <v>1</v>
      </c>
      <c r="AO56" s="21">
        <v>1</v>
      </c>
      <c r="AP56" s="21">
        <v>1</v>
      </c>
      <c r="AQ56">
        <v>1</v>
      </c>
      <c r="AR56">
        <v>0</v>
      </c>
      <c r="AS56">
        <v>0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 s="21">
        <v>1</v>
      </c>
      <c r="BA56" s="21">
        <v>1</v>
      </c>
      <c r="BB56" s="21">
        <v>1</v>
      </c>
      <c r="BC56">
        <v>0</v>
      </c>
      <c r="BD56">
        <v>0</v>
      </c>
      <c r="BE56">
        <v>1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1</v>
      </c>
    </row>
    <row r="57" spans="1:71">
      <c r="A57" s="1" t="s">
        <v>4863</v>
      </c>
      <c r="B57">
        <v>138</v>
      </c>
      <c r="C57">
        <v>861</v>
      </c>
      <c r="D57">
        <v>2024</v>
      </c>
      <c r="E57">
        <v>-0.77600000000000002</v>
      </c>
      <c r="F57">
        <f>E57/G57</f>
        <v>0.27615658362989326</v>
      </c>
      <c r="G57">
        <v>-2.81</v>
      </c>
      <c r="H57" s="27">
        <v>0</v>
      </c>
      <c r="I57">
        <v>1</v>
      </c>
      <c r="J57">
        <v>111162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1995</v>
      </c>
      <c r="V57">
        <v>2019</v>
      </c>
      <c r="W57">
        <f t="shared" si="1"/>
        <v>2007</v>
      </c>
      <c r="X57">
        <v>1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 s="21">
        <v>1</v>
      </c>
      <c r="AO57" s="21">
        <v>1</v>
      </c>
      <c r="AP57" s="21">
        <v>1</v>
      </c>
      <c r="AQ57">
        <v>1</v>
      </c>
      <c r="AR57">
        <v>0</v>
      </c>
      <c r="AS57">
        <v>0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 s="21">
        <v>1</v>
      </c>
      <c r="BA57" s="21">
        <v>1</v>
      </c>
      <c r="BB57" s="21">
        <v>1</v>
      </c>
      <c r="BC57">
        <v>0</v>
      </c>
      <c r="BD57">
        <v>0</v>
      </c>
      <c r="BE57">
        <v>1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1</v>
      </c>
    </row>
    <row r="58" spans="1:71">
      <c r="A58" s="1" t="s">
        <v>4863</v>
      </c>
      <c r="B58">
        <v>138</v>
      </c>
      <c r="C58">
        <v>862</v>
      </c>
      <c r="D58">
        <v>2024</v>
      </c>
      <c r="E58">
        <v>-0.77600000000000002</v>
      </c>
      <c r="F58">
        <f>E58/G58</f>
        <v>0.27615658362989326</v>
      </c>
      <c r="G58">
        <v>-2.81</v>
      </c>
      <c r="H58" s="27">
        <v>0</v>
      </c>
      <c r="I58">
        <v>1</v>
      </c>
      <c r="J58">
        <v>111162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1995</v>
      </c>
      <c r="V58">
        <v>2019</v>
      </c>
      <c r="W58">
        <f t="shared" si="1"/>
        <v>2007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 s="21">
        <v>1</v>
      </c>
      <c r="AO58" s="21">
        <v>1</v>
      </c>
      <c r="AP58" s="21">
        <v>1</v>
      </c>
      <c r="AQ58">
        <v>1</v>
      </c>
      <c r="AR58">
        <v>0</v>
      </c>
      <c r="AS58">
        <v>0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 s="21">
        <v>1</v>
      </c>
      <c r="BA58" s="21">
        <v>1</v>
      </c>
      <c r="BB58" s="21">
        <v>1</v>
      </c>
      <c r="BC58">
        <v>0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1</v>
      </c>
    </row>
    <row r="59" spans="1:71">
      <c r="A59" s="1" t="s">
        <v>4863</v>
      </c>
      <c r="B59">
        <v>138</v>
      </c>
      <c r="C59">
        <v>863</v>
      </c>
      <c r="D59">
        <v>2024</v>
      </c>
      <c r="E59">
        <v>-0.77400000000000002</v>
      </c>
      <c r="F59">
        <f>E59/G59</f>
        <v>0.27544483985765122</v>
      </c>
      <c r="G59">
        <v>-2.81</v>
      </c>
      <c r="H59" s="27">
        <v>0</v>
      </c>
      <c r="I59">
        <v>1</v>
      </c>
      <c r="J59">
        <v>111162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1995</v>
      </c>
      <c r="V59">
        <v>2019</v>
      </c>
      <c r="W59">
        <f t="shared" si="1"/>
        <v>2007</v>
      </c>
      <c r="X59">
        <v>1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 s="21">
        <v>1</v>
      </c>
      <c r="AO59" s="21">
        <v>1</v>
      </c>
      <c r="AP59" s="21">
        <v>1</v>
      </c>
      <c r="AQ59">
        <v>1</v>
      </c>
      <c r="AR59">
        <v>0</v>
      </c>
      <c r="AS59">
        <v>0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 s="21">
        <v>1</v>
      </c>
      <c r="BA59" s="21">
        <v>1</v>
      </c>
      <c r="BB59" s="21">
        <v>1</v>
      </c>
      <c r="BC59">
        <v>0</v>
      </c>
      <c r="BD59">
        <v>0</v>
      </c>
      <c r="BE59">
        <v>1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1</v>
      </c>
    </row>
    <row r="60" spans="1:71">
      <c r="A60" s="1" t="s">
        <v>5112</v>
      </c>
      <c r="B60" s="1">
        <v>104</v>
      </c>
      <c r="C60">
        <v>633</v>
      </c>
      <c r="D60" s="1">
        <v>2023</v>
      </c>
      <c r="E60" s="1">
        <v>-1.55</v>
      </c>
      <c r="F60" s="1">
        <v>0.108</v>
      </c>
      <c r="G60" s="1">
        <f>E60/F60</f>
        <v>-14.351851851851853</v>
      </c>
      <c r="H60" s="1">
        <v>0</v>
      </c>
      <c r="I60" s="1">
        <v>1</v>
      </c>
      <c r="J60">
        <v>645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2005</v>
      </c>
      <c r="V60">
        <v>2019</v>
      </c>
      <c r="W60">
        <f t="shared" si="1"/>
        <v>2012</v>
      </c>
      <c r="X60">
        <v>0</v>
      </c>
      <c r="Y60">
        <v>0</v>
      </c>
      <c r="Z60">
        <v>1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 s="21">
        <v>0</v>
      </c>
      <c r="AO60" s="21">
        <v>1</v>
      </c>
      <c r="AP60" s="21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 s="21">
        <v>1</v>
      </c>
      <c r="BA60" s="21">
        <v>1</v>
      </c>
      <c r="BB60" s="21">
        <v>1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0</v>
      </c>
      <c r="BO60">
        <v>0</v>
      </c>
      <c r="BP60">
        <v>0</v>
      </c>
      <c r="BQ60">
        <v>0</v>
      </c>
      <c r="BR60" s="21">
        <v>0</v>
      </c>
      <c r="BS60" s="21">
        <v>0</v>
      </c>
    </row>
    <row r="61" spans="1:71">
      <c r="A61" s="1" t="s">
        <v>5112</v>
      </c>
      <c r="B61" s="1">
        <v>104</v>
      </c>
      <c r="C61">
        <v>634</v>
      </c>
      <c r="D61" s="1">
        <v>2023</v>
      </c>
      <c r="E61" s="1">
        <v>-1.5489999999999999</v>
      </c>
      <c r="F61" s="1">
        <v>0.108</v>
      </c>
      <c r="G61" s="1">
        <f>E61/F61</f>
        <v>-14.342592592592592</v>
      </c>
      <c r="H61" s="1">
        <v>0</v>
      </c>
      <c r="I61" s="1">
        <v>1</v>
      </c>
      <c r="J61">
        <v>645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2005</v>
      </c>
      <c r="V61">
        <v>2019</v>
      </c>
      <c r="W61">
        <f t="shared" si="1"/>
        <v>2012</v>
      </c>
      <c r="X61">
        <v>0</v>
      </c>
      <c r="Y61">
        <v>0</v>
      </c>
      <c r="Z61">
        <v>1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 s="21">
        <v>0</v>
      </c>
      <c r="AO61" s="21">
        <v>1</v>
      </c>
      <c r="AP61" s="2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 s="21">
        <v>1</v>
      </c>
      <c r="BA61" s="21">
        <v>1</v>
      </c>
      <c r="BB61" s="21">
        <v>1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 s="21">
        <v>0</v>
      </c>
      <c r="BS61" s="21">
        <v>0</v>
      </c>
    </row>
    <row r="62" spans="1:71">
      <c r="A62" s="1" t="s">
        <v>5074</v>
      </c>
      <c r="B62">
        <v>121</v>
      </c>
      <c r="C62">
        <v>764</v>
      </c>
      <c r="D62">
        <v>2023</v>
      </c>
      <c r="E62">
        <v>-0.877</v>
      </c>
      <c r="F62">
        <v>0.03</v>
      </c>
      <c r="G62">
        <f>E62/F62</f>
        <v>-29.233333333333334</v>
      </c>
      <c r="H62" s="27">
        <v>0</v>
      </c>
      <c r="I62">
        <v>1</v>
      </c>
      <c r="J62">
        <v>660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2008</v>
      </c>
      <c r="V62">
        <v>2017</v>
      </c>
      <c r="W62">
        <f t="shared" si="1"/>
        <v>2013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1</v>
      </c>
      <c r="AL62">
        <v>0</v>
      </c>
      <c r="AM62">
        <v>0</v>
      </c>
      <c r="AN62" s="21">
        <v>0</v>
      </c>
      <c r="AO62" s="21">
        <v>1</v>
      </c>
      <c r="AP62" s="21">
        <v>1</v>
      </c>
      <c r="AQ62">
        <v>1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1</v>
      </c>
      <c r="AX62">
        <v>1</v>
      </c>
      <c r="AY62">
        <v>1</v>
      </c>
      <c r="AZ62" s="21">
        <v>0</v>
      </c>
      <c r="BA62" s="21">
        <v>1</v>
      </c>
      <c r="BB62" s="21">
        <v>1</v>
      </c>
      <c r="BC62">
        <v>0</v>
      </c>
      <c r="BD62">
        <v>1</v>
      </c>
      <c r="BE62">
        <v>1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</row>
    <row r="63" spans="1:71">
      <c r="A63" s="1" t="s">
        <v>5024</v>
      </c>
      <c r="B63">
        <v>122</v>
      </c>
      <c r="C63">
        <v>765</v>
      </c>
      <c r="D63">
        <v>2023</v>
      </c>
      <c r="E63">
        <v>-1.383</v>
      </c>
      <c r="F63">
        <v>0.06</v>
      </c>
      <c r="G63">
        <f>E63/F63</f>
        <v>-23.05</v>
      </c>
      <c r="H63" s="27">
        <v>0</v>
      </c>
      <c r="I63">
        <v>1</v>
      </c>
      <c r="J63">
        <v>600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1</v>
      </c>
      <c r="U63">
        <v>2012</v>
      </c>
      <c r="V63">
        <v>2021</v>
      </c>
      <c r="W63">
        <f t="shared" si="1"/>
        <v>2017</v>
      </c>
      <c r="X63">
        <v>1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1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 s="21">
        <v>0</v>
      </c>
      <c r="AO63" s="21">
        <v>1</v>
      </c>
      <c r="AP63" s="21">
        <v>1</v>
      </c>
      <c r="AQ63">
        <v>1</v>
      </c>
      <c r="AR63">
        <v>1</v>
      </c>
      <c r="AS63">
        <v>1</v>
      </c>
      <c r="AT63">
        <v>1</v>
      </c>
      <c r="AU63">
        <v>0</v>
      </c>
      <c r="AV63">
        <v>0</v>
      </c>
      <c r="AW63">
        <v>1</v>
      </c>
      <c r="AX63">
        <v>0</v>
      </c>
      <c r="AY63">
        <v>0</v>
      </c>
      <c r="AZ63" s="21">
        <v>0</v>
      </c>
      <c r="BA63" s="21">
        <v>1</v>
      </c>
      <c r="BB63" s="21">
        <v>1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</row>
    <row r="64" spans="1:71">
      <c r="A64" s="1" t="s">
        <v>4968</v>
      </c>
      <c r="B64">
        <v>123</v>
      </c>
      <c r="C64">
        <v>766</v>
      </c>
      <c r="D64">
        <v>2023</v>
      </c>
      <c r="E64">
        <v>-0.86499999999999999</v>
      </c>
      <c r="F64">
        <f>E64/G64</f>
        <v>0.10409145607701564</v>
      </c>
      <c r="G64">
        <v>-8.31</v>
      </c>
      <c r="H64" s="27">
        <v>0</v>
      </c>
      <c r="I64">
        <v>1</v>
      </c>
      <c r="J64">
        <v>308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1</v>
      </c>
      <c r="U64">
        <v>2003</v>
      </c>
      <c r="V64">
        <v>2015</v>
      </c>
      <c r="W64">
        <f t="shared" si="1"/>
        <v>2009</v>
      </c>
      <c r="X64">
        <v>1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 s="21">
        <v>1</v>
      </c>
      <c r="AO64" s="21">
        <v>0</v>
      </c>
      <c r="AP64" s="21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1</v>
      </c>
      <c r="AX64">
        <v>0</v>
      </c>
      <c r="AY64">
        <v>1</v>
      </c>
      <c r="AZ64" s="21">
        <v>1</v>
      </c>
      <c r="BA64" s="21">
        <v>1</v>
      </c>
      <c r="BB64" s="21">
        <v>1</v>
      </c>
      <c r="BC64">
        <v>0</v>
      </c>
      <c r="BD64">
        <v>1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</row>
    <row r="65" spans="1:71">
      <c r="A65" s="1" t="s">
        <v>4968</v>
      </c>
      <c r="B65">
        <v>123</v>
      </c>
      <c r="C65">
        <v>767</v>
      </c>
      <c r="D65">
        <v>2023</v>
      </c>
      <c r="E65">
        <v>-0.83499999999999996</v>
      </c>
      <c r="F65">
        <f>E65/G65</f>
        <v>0.2378917378917379</v>
      </c>
      <c r="G65">
        <v>-3.51</v>
      </c>
      <c r="H65" s="27">
        <v>0</v>
      </c>
      <c r="I65">
        <v>1</v>
      </c>
      <c r="J65">
        <v>66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1</v>
      </c>
      <c r="U65">
        <v>2016</v>
      </c>
      <c r="V65">
        <v>2019</v>
      </c>
      <c r="W65">
        <f t="shared" si="1"/>
        <v>2018</v>
      </c>
      <c r="X65">
        <v>1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 s="21">
        <v>1</v>
      </c>
      <c r="AO65" s="21">
        <v>0</v>
      </c>
      <c r="AP65" s="21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1</v>
      </c>
      <c r="AX65">
        <v>0</v>
      </c>
      <c r="AY65">
        <v>1</v>
      </c>
      <c r="AZ65" s="21">
        <v>1</v>
      </c>
      <c r="BA65" s="21">
        <v>1</v>
      </c>
      <c r="BB65" s="21">
        <v>1</v>
      </c>
      <c r="BC65">
        <v>0</v>
      </c>
      <c r="BD65">
        <v>1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</row>
    <row r="66" spans="1:71">
      <c r="A66" s="1" t="s">
        <v>4968</v>
      </c>
      <c r="B66">
        <v>123</v>
      </c>
      <c r="C66">
        <v>768</v>
      </c>
      <c r="D66">
        <v>2023</v>
      </c>
      <c r="E66">
        <v>-0.86199999999999999</v>
      </c>
      <c r="F66">
        <f>E66/G66</f>
        <v>0.10070093457943924</v>
      </c>
      <c r="G66">
        <v>-8.56</v>
      </c>
      <c r="H66" s="27">
        <v>0</v>
      </c>
      <c r="I66">
        <v>1</v>
      </c>
      <c r="J66">
        <v>374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1</v>
      </c>
      <c r="U66">
        <v>2003</v>
      </c>
      <c r="V66">
        <v>2019</v>
      </c>
      <c r="W66">
        <f t="shared" ref="W66:W129" si="3">ROUND(AVERAGE(U66:V66), 0)</f>
        <v>2011</v>
      </c>
      <c r="X66">
        <v>1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 s="21">
        <v>1</v>
      </c>
      <c r="AO66" s="21">
        <v>0</v>
      </c>
      <c r="AP66" s="21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1</v>
      </c>
      <c r="AX66">
        <v>0</v>
      </c>
      <c r="AY66">
        <v>1</v>
      </c>
      <c r="AZ66" s="21">
        <v>1</v>
      </c>
      <c r="BA66" s="21">
        <v>1</v>
      </c>
      <c r="BB66" s="21">
        <v>1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</row>
    <row r="67" spans="1:71">
      <c r="A67" s="1" t="s">
        <v>4968</v>
      </c>
      <c r="B67">
        <v>123</v>
      </c>
      <c r="C67">
        <v>769</v>
      </c>
      <c r="D67">
        <v>2023</v>
      </c>
      <c r="E67">
        <v>-0.623</v>
      </c>
      <c r="F67">
        <f>E67/G67</f>
        <v>0.17749287749287751</v>
      </c>
      <c r="G67">
        <v>-3.51</v>
      </c>
      <c r="H67" s="27">
        <v>0</v>
      </c>
      <c r="I67">
        <v>1</v>
      </c>
      <c r="J67">
        <v>255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1</v>
      </c>
      <c r="U67">
        <v>2003</v>
      </c>
      <c r="V67">
        <v>2019</v>
      </c>
      <c r="W67">
        <f t="shared" si="3"/>
        <v>2011</v>
      </c>
      <c r="X67">
        <v>1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 s="21">
        <v>1</v>
      </c>
      <c r="AO67" s="21">
        <v>0</v>
      </c>
      <c r="AP67" s="21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1</v>
      </c>
      <c r="AX67">
        <v>0</v>
      </c>
      <c r="AY67">
        <v>1</v>
      </c>
      <c r="AZ67" s="21">
        <v>1</v>
      </c>
      <c r="BA67" s="21">
        <v>1</v>
      </c>
      <c r="BB67" s="21">
        <v>1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</row>
    <row r="68" spans="1:71">
      <c r="A68" s="1" t="s">
        <v>5009</v>
      </c>
      <c r="B68">
        <v>124</v>
      </c>
      <c r="C68">
        <v>770</v>
      </c>
      <c r="D68">
        <v>2023</v>
      </c>
      <c r="E68">
        <v>-0.42799999999999999</v>
      </c>
      <c r="F68">
        <v>0.156</v>
      </c>
      <c r="G68">
        <f t="shared" ref="G68:G78" si="4">E68/F68</f>
        <v>-2.7435897435897436</v>
      </c>
      <c r="H68" s="27">
        <v>0</v>
      </c>
      <c r="I68">
        <v>1</v>
      </c>
      <c r="J68">
        <v>72445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1995</v>
      </c>
      <c r="V68">
        <v>2018</v>
      </c>
      <c r="W68">
        <f t="shared" si="3"/>
        <v>2007</v>
      </c>
      <c r="X68">
        <v>1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 s="21">
        <v>1</v>
      </c>
      <c r="AO68" s="21">
        <v>1</v>
      </c>
      <c r="AP68" s="21">
        <v>1</v>
      </c>
      <c r="AQ68">
        <v>0</v>
      </c>
      <c r="AR68">
        <v>0</v>
      </c>
      <c r="AS68">
        <v>0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0</v>
      </c>
      <c r="BG68">
        <v>0</v>
      </c>
      <c r="BH68">
        <v>0</v>
      </c>
      <c r="BI68">
        <v>1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</row>
    <row r="69" spans="1:71">
      <c r="A69" s="1" t="s">
        <v>5009</v>
      </c>
      <c r="B69">
        <v>124</v>
      </c>
      <c r="C69">
        <v>771</v>
      </c>
      <c r="D69">
        <v>2023</v>
      </c>
      <c r="E69">
        <v>-1.143</v>
      </c>
      <c r="F69">
        <v>0.128</v>
      </c>
      <c r="G69">
        <f t="shared" si="4"/>
        <v>-8.9296875</v>
      </c>
      <c r="H69" s="27">
        <v>0</v>
      </c>
      <c r="I69">
        <v>1</v>
      </c>
      <c r="J69">
        <v>72445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1</v>
      </c>
      <c r="U69">
        <v>1995</v>
      </c>
      <c r="V69">
        <v>2018</v>
      </c>
      <c r="W69">
        <f t="shared" si="3"/>
        <v>2007</v>
      </c>
      <c r="X69">
        <v>1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 s="21">
        <v>1</v>
      </c>
      <c r="AO69" s="21">
        <v>1</v>
      </c>
      <c r="AP69" s="21">
        <v>1</v>
      </c>
      <c r="AQ69">
        <v>0</v>
      </c>
      <c r="AR69">
        <v>0</v>
      </c>
      <c r="AS69">
        <v>0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</row>
    <row r="70" spans="1:71">
      <c r="A70" s="1" t="s">
        <v>5009</v>
      </c>
      <c r="B70">
        <v>124</v>
      </c>
      <c r="C70">
        <v>772</v>
      </c>
      <c r="D70">
        <v>2023</v>
      </c>
      <c r="E70">
        <v>-1.151</v>
      </c>
      <c r="F70">
        <v>0.11700000000000001</v>
      </c>
      <c r="G70">
        <f t="shared" si="4"/>
        <v>-9.8376068376068364</v>
      </c>
      <c r="H70" s="27">
        <v>0</v>
      </c>
      <c r="I70">
        <v>1</v>
      </c>
      <c r="J70">
        <v>72445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1</v>
      </c>
      <c r="U70">
        <v>1995</v>
      </c>
      <c r="V70">
        <v>2018</v>
      </c>
      <c r="W70">
        <f t="shared" si="3"/>
        <v>2007</v>
      </c>
      <c r="X70">
        <v>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 s="21">
        <v>1</v>
      </c>
      <c r="AO70" s="21">
        <v>1</v>
      </c>
      <c r="AP70" s="21">
        <v>1</v>
      </c>
      <c r="AQ70">
        <v>0</v>
      </c>
      <c r="AR70">
        <v>0</v>
      </c>
      <c r="AS70">
        <v>0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</row>
    <row r="71" spans="1:71">
      <c r="A71" s="1" t="s">
        <v>5009</v>
      </c>
      <c r="B71">
        <v>124</v>
      </c>
      <c r="C71">
        <v>773</v>
      </c>
      <c r="D71">
        <v>2023</v>
      </c>
      <c r="E71">
        <v>-0.38800000000000001</v>
      </c>
      <c r="F71">
        <v>0.159</v>
      </c>
      <c r="G71">
        <f t="shared" si="4"/>
        <v>-2.4402515723270439</v>
      </c>
      <c r="H71" s="27">
        <v>0</v>
      </c>
      <c r="I71">
        <v>1</v>
      </c>
      <c r="J71">
        <v>72445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1995</v>
      </c>
      <c r="V71">
        <v>2018</v>
      </c>
      <c r="W71">
        <f t="shared" si="3"/>
        <v>2007</v>
      </c>
      <c r="X71">
        <v>1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 s="21">
        <v>1</v>
      </c>
      <c r="AO71" s="21">
        <v>1</v>
      </c>
      <c r="AP71" s="21">
        <v>1</v>
      </c>
      <c r="AQ71">
        <v>0</v>
      </c>
      <c r="AR71">
        <v>0</v>
      </c>
      <c r="AS71">
        <v>0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0</v>
      </c>
      <c r="BG71">
        <v>0</v>
      </c>
      <c r="BH71">
        <v>0</v>
      </c>
      <c r="BI71">
        <v>1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</row>
    <row r="72" spans="1:71">
      <c r="A72" s="1" t="s">
        <v>5009</v>
      </c>
      <c r="B72">
        <v>124</v>
      </c>
      <c r="C72">
        <v>774</v>
      </c>
      <c r="D72">
        <v>2023</v>
      </c>
      <c r="E72">
        <v>-1.165</v>
      </c>
      <c r="F72">
        <v>0.13200000000000001</v>
      </c>
      <c r="G72">
        <f t="shared" si="4"/>
        <v>-8.8257575757575761</v>
      </c>
      <c r="H72" s="27">
        <v>0</v>
      </c>
      <c r="I72">
        <v>1</v>
      </c>
      <c r="J72">
        <v>72445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1</v>
      </c>
      <c r="U72">
        <v>1995</v>
      </c>
      <c r="V72">
        <v>2018</v>
      </c>
      <c r="W72">
        <f t="shared" si="3"/>
        <v>2007</v>
      </c>
      <c r="X72">
        <v>1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 s="21">
        <v>1</v>
      </c>
      <c r="AO72" s="21">
        <v>1</v>
      </c>
      <c r="AP72" s="21">
        <v>1</v>
      </c>
      <c r="AQ72">
        <v>0</v>
      </c>
      <c r="AR72">
        <v>0</v>
      </c>
      <c r="AS72">
        <v>0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</row>
    <row r="73" spans="1:71">
      <c r="A73" s="18" t="s">
        <v>5009</v>
      </c>
      <c r="B73">
        <v>124</v>
      </c>
      <c r="C73">
        <v>775</v>
      </c>
      <c r="D73">
        <v>2023</v>
      </c>
      <c r="E73">
        <v>-1.1719999999999999</v>
      </c>
      <c r="F73">
        <v>0.126</v>
      </c>
      <c r="G73">
        <f t="shared" si="4"/>
        <v>-9.3015873015873005</v>
      </c>
      <c r="H73" s="27">
        <v>0</v>
      </c>
      <c r="I73">
        <v>1</v>
      </c>
      <c r="J73">
        <v>72445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1</v>
      </c>
      <c r="U73">
        <v>1995</v>
      </c>
      <c r="V73">
        <v>2018</v>
      </c>
      <c r="W73">
        <f t="shared" si="3"/>
        <v>2007</v>
      </c>
      <c r="X73">
        <v>1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 s="21">
        <v>1</v>
      </c>
      <c r="AO73" s="21">
        <v>1</v>
      </c>
      <c r="AP73" s="21">
        <v>1</v>
      </c>
      <c r="AQ73">
        <v>0</v>
      </c>
      <c r="AR73">
        <v>0</v>
      </c>
      <c r="AS73">
        <v>0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</row>
    <row r="74" spans="1:71">
      <c r="A74" s="18" t="s">
        <v>5009</v>
      </c>
      <c r="B74">
        <v>124</v>
      </c>
      <c r="C74">
        <v>776</v>
      </c>
      <c r="D74">
        <v>2023</v>
      </c>
      <c r="E74">
        <v>-1.375</v>
      </c>
      <c r="F74">
        <v>0.106</v>
      </c>
      <c r="G74">
        <f t="shared" si="4"/>
        <v>-12.971698113207548</v>
      </c>
      <c r="H74" s="27">
        <v>0</v>
      </c>
      <c r="I74">
        <v>1</v>
      </c>
      <c r="J74">
        <v>72445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1</v>
      </c>
      <c r="U74">
        <v>1995</v>
      </c>
      <c r="V74">
        <v>2018</v>
      </c>
      <c r="W74">
        <f t="shared" si="3"/>
        <v>2007</v>
      </c>
      <c r="X74">
        <v>1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 s="21">
        <v>1</v>
      </c>
      <c r="AO74" s="21">
        <v>1</v>
      </c>
      <c r="AP74" s="21">
        <v>1</v>
      </c>
      <c r="AQ74">
        <v>0</v>
      </c>
      <c r="AR74">
        <v>0</v>
      </c>
      <c r="AS74">
        <v>0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</row>
    <row r="75" spans="1:71">
      <c r="A75" s="18" t="s">
        <v>5009</v>
      </c>
      <c r="B75">
        <v>124</v>
      </c>
      <c r="C75">
        <v>777</v>
      </c>
      <c r="D75">
        <v>2023</v>
      </c>
      <c r="E75">
        <v>-1.3879999999999999</v>
      </c>
      <c r="F75">
        <v>0.13600000000000001</v>
      </c>
      <c r="G75">
        <f t="shared" si="4"/>
        <v>-10.205882352941176</v>
      </c>
      <c r="H75" s="27">
        <v>0</v>
      </c>
      <c r="I75">
        <v>1</v>
      </c>
      <c r="J75">
        <v>72445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1</v>
      </c>
      <c r="U75">
        <v>1995</v>
      </c>
      <c r="V75">
        <v>2018</v>
      </c>
      <c r="W75">
        <f t="shared" si="3"/>
        <v>2007</v>
      </c>
      <c r="X75">
        <v>1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 s="21">
        <v>1</v>
      </c>
      <c r="AO75" s="21">
        <v>1</v>
      </c>
      <c r="AP75" s="21">
        <v>1</v>
      </c>
      <c r="AQ75">
        <v>0</v>
      </c>
      <c r="AR75">
        <v>0</v>
      </c>
      <c r="AS75">
        <v>0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</row>
    <row r="76" spans="1:71">
      <c r="A76" s="18" t="s">
        <v>5009</v>
      </c>
      <c r="B76">
        <v>124</v>
      </c>
      <c r="C76">
        <v>778</v>
      </c>
      <c r="D76">
        <v>2023</v>
      </c>
      <c r="E76">
        <v>-1.35</v>
      </c>
      <c r="F76">
        <v>0.14000000000000001</v>
      </c>
      <c r="G76">
        <f t="shared" si="4"/>
        <v>-9.6428571428571423</v>
      </c>
      <c r="H76" s="27">
        <v>0</v>
      </c>
      <c r="I76">
        <v>1</v>
      </c>
      <c r="J76">
        <v>72445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1</v>
      </c>
      <c r="U76">
        <v>1995</v>
      </c>
      <c r="V76">
        <v>2018</v>
      </c>
      <c r="W76">
        <f t="shared" si="3"/>
        <v>2007</v>
      </c>
      <c r="X76">
        <v>1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 s="21">
        <v>1</v>
      </c>
      <c r="AO76" s="21">
        <v>1</v>
      </c>
      <c r="AP76" s="21">
        <v>1</v>
      </c>
      <c r="AQ76">
        <v>0</v>
      </c>
      <c r="AR76">
        <v>0</v>
      </c>
      <c r="AS76">
        <v>0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0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</row>
    <row r="77" spans="1:71">
      <c r="A77" s="18" t="s">
        <v>5009</v>
      </c>
      <c r="B77">
        <v>124</v>
      </c>
      <c r="C77">
        <v>779</v>
      </c>
      <c r="D77">
        <v>2023</v>
      </c>
      <c r="E77">
        <v>-0.63300000000000001</v>
      </c>
      <c r="F77">
        <v>0.125</v>
      </c>
      <c r="G77">
        <f t="shared" si="4"/>
        <v>-5.0640000000000001</v>
      </c>
      <c r="H77" s="27">
        <v>0</v>
      </c>
      <c r="I77">
        <v>1</v>
      </c>
      <c r="J77">
        <v>72445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1</v>
      </c>
      <c r="U77">
        <v>1995</v>
      </c>
      <c r="V77">
        <v>2018</v>
      </c>
      <c r="W77">
        <f t="shared" si="3"/>
        <v>2007</v>
      </c>
      <c r="X77">
        <v>1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 s="21">
        <v>1</v>
      </c>
      <c r="AO77" s="21">
        <v>1</v>
      </c>
      <c r="AP77" s="21">
        <v>1</v>
      </c>
      <c r="AQ77">
        <v>0</v>
      </c>
      <c r="AR77">
        <v>0</v>
      </c>
      <c r="AS77">
        <v>0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</row>
    <row r="78" spans="1:71">
      <c r="A78" s="18" t="s">
        <v>5009</v>
      </c>
      <c r="B78">
        <v>124</v>
      </c>
      <c r="C78">
        <v>780</v>
      </c>
      <c r="D78">
        <v>2023</v>
      </c>
      <c r="E78">
        <v>0.436</v>
      </c>
      <c r="F78">
        <v>0.58599999999999997</v>
      </c>
      <c r="G78">
        <f t="shared" si="4"/>
        <v>0.74402730375426629</v>
      </c>
      <c r="H78" s="27">
        <v>0</v>
      </c>
      <c r="I78">
        <v>1</v>
      </c>
      <c r="J78">
        <v>72445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1</v>
      </c>
      <c r="U78">
        <v>1995</v>
      </c>
      <c r="V78">
        <v>2018</v>
      </c>
      <c r="W78">
        <f t="shared" si="3"/>
        <v>2007</v>
      </c>
      <c r="X78">
        <v>1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 s="21">
        <v>1</v>
      </c>
      <c r="AO78" s="21">
        <v>1</v>
      </c>
      <c r="AP78" s="21">
        <v>1</v>
      </c>
      <c r="AQ78">
        <v>0</v>
      </c>
      <c r="AR78">
        <v>0</v>
      </c>
      <c r="AS78">
        <v>0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</row>
    <row r="79" spans="1:71">
      <c r="A79" s="18" t="s">
        <v>4892</v>
      </c>
      <c r="B79">
        <v>125</v>
      </c>
      <c r="C79">
        <v>781</v>
      </c>
      <c r="D79">
        <v>2023</v>
      </c>
      <c r="E79">
        <v>-0.59899999999999998</v>
      </c>
      <c r="F79">
        <f>E79/G79</f>
        <v>0.12125506072874492</v>
      </c>
      <c r="G79">
        <v>-4.9400000000000004</v>
      </c>
      <c r="H79" s="27">
        <v>0</v>
      </c>
      <c r="I79">
        <v>1</v>
      </c>
      <c r="J79">
        <v>432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1</v>
      </c>
      <c r="U79">
        <v>2007</v>
      </c>
      <c r="V79">
        <v>2015</v>
      </c>
      <c r="W79">
        <f t="shared" si="3"/>
        <v>2011</v>
      </c>
      <c r="X79">
        <v>1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 s="21">
        <v>0</v>
      </c>
      <c r="AO79" s="21">
        <v>1</v>
      </c>
      <c r="AP79" s="21">
        <v>0</v>
      </c>
      <c r="AQ79">
        <v>1</v>
      </c>
      <c r="AR79">
        <v>0</v>
      </c>
      <c r="AS79">
        <v>0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</row>
    <row r="80" spans="1:71">
      <c r="A80" s="18" t="s">
        <v>4892</v>
      </c>
      <c r="B80">
        <v>125</v>
      </c>
      <c r="C80">
        <v>782</v>
      </c>
      <c r="D80">
        <v>2023</v>
      </c>
      <c r="E80">
        <v>-0.59899999999999998</v>
      </c>
      <c r="F80">
        <f>E80/G80</f>
        <v>0.12130417172944512</v>
      </c>
      <c r="G80">
        <v>-4.9379999999999997</v>
      </c>
      <c r="H80" s="27">
        <v>0</v>
      </c>
      <c r="I80">
        <v>1</v>
      </c>
      <c r="J80">
        <v>432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1</v>
      </c>
      <c r="U80">
        <v>2007</v>
      </c>
      <c r="V80">
        <v>2015</v>
      </c>
      <c r="W80">
        <f t="shared" si="3"/>
        <v>2011</v>
      </c>
      <c r="X80">
        <v>1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 s="21">
        <v>0</v>
      </c>
      <c r="AO80" s="21">
        <v>1</v>
      </c>
      <c r="AP80" s="21">
        <v>0</v>
      </c>
      <c r="AQ80">
        <v>1</v>
      </c>
      <c r="AR80">
        <v>0</v>
      </c>
      <c r="AS80">
        <v>0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</row>
    <row r="81" spans="1:71">
      <c r="A81" s="18" t="s">
        <v>4892</v>
      </c>
      <c r="B81">
        <v>125</v>
      </c>
      <c r="C81">
        <v>783</v>
      </c>
      <c r="D81">
        <v>2023</v>
      </c>
      <c r="E81">
        <v>-0.59899999999999998</v>
      </c>
      <c r="F81">
        <f>E81/G81</f>
        <v>0.12130417172944512</v>
      </c>
      <c r="G81">
        <v>-4.9379999999999997</v>
      </c>
      <c r="H81" s="27">
        <v>0</v>
      </c>
      <c r="I81">
        <v>1</v>
      </c>
      <c r="J81">
        <v>432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1</v>
      </c>
      <c r="U81">
        <v>2007</v>
      </c>
      <c r="V81">
        <v>2015</v>
      </c>
      <c r="W81">
        <f t="shared" si="3"/>
        <v>2011</v>
      </c>
      <c r="X81">
        <v>1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 s="21">
        <v>0</v>
      </c>
      <c r="AO81" s="21">
        <v>1</v>
      </c>
      <c r="AP81" s="21">
        <v>0</v>
      </c>
      <c r="AQ81">
        <v>1</v>
      </c>
      <c r="AR81">
        <v>0</v>
      </c>
      <c r="AS81">
        <v>0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</row>
    <row r="82" spans="1:71">
      <c r="A82" s="18" t="s">
        <v>4892</v>
      </c>
      <c r="B82">
        <v>125</v>
      </c>
      <c r="C82">
        <v>784</v>
      </c>
      <c r="D82">
        <v>2023</v>
      </c>
      <c r="E82">
        <v>-0.24099999999999999</v>
      </c>
      <c r="F82">
        <f>E82/G82</f>
        <v>0.12467666839110191</v>
      </c>
      <c r="G82">
        <v>-1.9330000000000001</v>
      </c>
      <c r="H82" s="27">
        <v>0</v>
      </c>
      <c r="I82">
        <v>1</v>
      </c>
      <c r="J82">
        <v>432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1</v>
      </c>
      <c r="U82">
        <v>2007</v>
      </c>
      <c r="V82">
        <v>2015</v>
      </c>
      <c r="W82">
        <f t="shared" si="3"/>
        <v>2011</v>
      </c>
      <c r="X82">
        <v>1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 s="21">
        <v>0</v>
      </c>
      <c r="AO82" s="21">
        <v>1</v>
      </c>
      <c r="AP82" s="21">
        <v>0</v>
      </c>
      <c r="AQ82">
        <v>1</v>
      </c>
      <c r="AR82">
        <v>0</v>
      </c>
      <c r="AS82">
        <v>0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</row>
    <row r="83" spans="1:71">
      <c r="A83" s="18" t="s">
        <v>4892</v>
      </c>
      <c r="B83">
        <v>125</v>
      </c>
      <c r="C83">
        <v>785</v>
      </c>
      <c r="D83">
        <v>2023</v>
      </c>
      <c r="E83">
        <v>-0.59899999999999998</v>
      </c>
      <c r="F83">
        <f>E83/G83</f>
        <v>0.30956072351421188</v>
      </c>
      <c r="G83">
        <v>-1.9350000000000001</v>
      </c>
      <c r="H83" s="27">
        <v>0</v>
      </c>
      <c r="I83">
        <v>1</v>
      </c>
      <c r="J83">
        <v>432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1</v>
      </c>
      <c r="U83">
        <v>2007</v>
      </c>
      <c r="V83">
        <v>2015</v>
      </c>
      <c r="W83">
        <f t="shared" si="3"/>
        <v>2011</v>
      </c>
      <c r="X83">
        <v>1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 s="21">
        <v>0</v>
      </c>
      <c r="AO83" s="21">
        <v>1</v>
      </c>
      <c r="AP83" s="21">
        <v>0</v>
      </c>
      <c r="AQ83">
        <v>1</v>
      </c>
      <c r="AR83">
        <v>0</v>
      </c>
      <c r="AS83">
        <v>0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</row>
    <row r="84" spans="1:71">
      <c r="A84" s="18" t="s">
        <v>5090</v>
      </c>
      <c r="B84">
        <v>129</v>
      </c>
      <c r="C84">
        <v>795</v>
      </c>
      <c r="D84">
        <v>2023</v>
      </c>
      <c r="E84">
        <v>-0.86599999999999999</v>
      </c>
      <c r="F84">
        <v>8.1799999999999998E-2</v>
      </c>
      <c r="G84">
        <f t="shared" ref="G84:G118" si="5">E84/F84</f>
        <v>-10.58679706601467</v>
      </c>
      <c r="H84" s="27">
        <v>0</v>
      </c>
      <c r="I84">
        <v>1</v>
      </c>
      <c r="J84">
        <v>339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1</v>
      </c>
      <c r="U84">
        <v>2007</v>
      </c>
      <c r="V84">
        <v>2019</v>
      </c>
      <c r="W84">
        <f t="shared" si="3"/>
        <v>2013</v>
      </c>
      <c r="X84">
        <v>1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 s="21">
        <v>1</v>
      </c>
      <c r="AO84" s="21">
        <v>0</v>
      </c>
      <c r="AP84" s="21">
        <v>0</v>
      </c>
      <c r="AQ84">
        <v>0</v>
      </c>
      <c r="AR84">
        <v>1</v>
      </c>
      <c r="AS84">
        <v>1</v>
      </c>
      <c r="AT84">
        <v>1</v>
      </c>
      <c r="AU84">
        <v>1</v>
      </c>
      <c r="AV84">
        <v>0</v>
      </c>
      <c r="AW84">
        <v>1</v>
      </c>
      <c r="AX84">
        <v>0</v>
      </c>
      <c r="AY84">
        <v>1</v>
      </c>
      <c r="AZ84">
        <v>1</v>
      </c>
      <c r="BA84">
        <v>1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</row>
    <row r="85" spans="1:71">
      <c r="A85" s="18" t="s">
        <v>5090</v>
      </c>
      <c r="B85">
        <v>129</v>
      </c>
      <c r="C85">
        <v>796</v>
      </c>
      <c r="D85">
        <v>2023</v>
      </c>
      <c r="E85">
        <v>-0.92900000000000005</v>
      </c>
      <c r="F85">
        <v>9.6000000000000002E-2</v>
      </c>
      <c r="G85">
        <f t="shared" si="5"/>
        <v>-9.6770833333333339</v>
      </c>
      <c r="H85" s="27">
        <v>0</v>
      </c>
      <c r="I85">
        <v>1</v>
      </c>
      <c r="J85">
        <v>339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1</v>
      </c>
      <c r="U85">
        <v>2007</v>
      </c>
      <c r="V85">
        <v>2019</v>
      </c>
      <c r="W85">
        <f t="shared" si="3"/>
        <v>2013</v>
      </c>
      <c r="X85">
        <v>1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1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 s="21">
        <v>1</v>
      </c>
      <c r="AO85" s="21">
        <v>0</v>
      </c>
      <c r="AP85" s="21">
        <v>0</v>
      </c>
      <c r="AQ85">
        <v>0</v>
      </c>
      <c r="AR85">
        <v>1</v>
      </c>
      <c r="AS85">
        <v>1</v>
      </c>
      <c r="AT85">
        <v>1</v>
      </c>
      <c r="AU85">
        <v>1</v>
      </c>
      <c r="AV85">
        <v>0</v>
      </c>
      <c r="AW85">
        <v>1</v>
      </c>
      <c r="AX85">
        <v>0</v>
      </c>
      <c r="AY85">
        <v>1</v>
      </c>
      <c r="AZ85">
        <v>1</v>
      </c>
      <c r="BA85">
        <v>1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</row>
    <row r="86" spans="1:71">
      <c r="A86" s="18" t="s">
        <v>5090</v>
      </c>
      <c r="B86">
        <v>129</v>
      </c>
      <c r="C86">
        <v>797</v>
      </c>
      <c r="D86">
        <v>2023</v>
      </c>
      <c r="E86">
        <v>-1.119</v>
      </c>
      <c r="F86">
        <v>0.16500000000000001</v>
      </c>
      <c r="G86">
        <f t="shared" si="5"/>
        <v>-6.7818181818181813</v>
      </c>
      <c r="H86" s="27">
        <v>0</v>
      </c>
      <c r="I86">
        <v>1</v>
      </c>
      <c r="J86">
        <v>339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1</v>
      </c>
      <c r="U86">
        <v>2007</v>
      </c>
      <c r="V86">
        <v>2019</v>
      </c>
      <c r="W86">
        <f t="shared" si="3"/>
        <v>2013</v>
      </c>
      <c r="X86">
        <v>1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1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 s="21">
        <v>1</v>
      </c>
      <c r="AO86" s="21">
        <v>0</v>
      </c>
      <c r="AP86" s="21">
        <v>0</v>
      </c>
      <c r="AQ86">
        <v>0</v>
      </c>
      <c r="AR86">
        <v>1</v>
      </c>
      <c r="AS86">
        <v>1</v>
      </c>
      <c r="AT86">
        <v>1</v>
      </c>
      <c r="AU86">
        <v>1</v>
      </c>
      <c r="AV86">
        <v>0</v>
      </c>
      <c r="AW86">
        <v>1</v>
      </c>
      <c r="AX86">
        <v>0</v>
      </c>
      <c r="AY86">
        <v>1</v>
      </c>
      <c r="AZ86">
        <v>1</v>
      </c>
      <c r="BA86">
        <v>1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</row>
    <row r="87" spans="1:71">
      <c r="A87" s="20" t="s">
        <v>5090</v>
      </c>
      <c r="B87">
        <v>129</v>
      </c>
      <c r="C87">
        <v>798</v>
      </c>
      <c r="D87">
        <v>2023</v>
      </c>
      <c r="E87">
        <v>-0.81200000000000006</v>
      </c>
      <c r="F87">
        <v>0.14899999999999999</v>
      </c>
      <c r="G87">
        <f t="shared" si="5"/>
        <v>-5.4496644295302019</v>
      </c>
      <c r="H87" s="27">
        <v>0</v>
      </c>
      <c r="I87">
        <v>1</v>
      </c>
      <c r="J87">
        <v>339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1</v>
      </c>
      <c r="U87">
        <v>2007</v>
      </c>
      <c r="V87">
        <v>2019</v>
      </c>
      <c r="W87">
        <f t="shared" si="3"/>
        <v>2013</v>
      </c>
      <c r="X87">
        <v>1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1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 s="21">
        <v>1</v>
      </c>
      <c r="AO87" s="21">
        <v>0</v>
      </c>
      <c r="AP87">
        <v>0</v>
      </c>
      <c r="AQ87">
        <v>0</v>
      </c>
      <c r="AR87">
        <v>1</v>
      </c>
      <c r="AS87">
        <v>1</v>
      </c>
      <c r="AT87">
        <v>1</v>
      </c>
      <c r="AU87">
        <v>1</v>
      </c>
      <c r="AV87">
        <v>0</v>
      </c>
      <c r="AW87">
        <v>1</v>
      </c>
      <c r="AX87">
        <v>0</v>
      </c>
      <c r="AY87">
        <v>1</v>
      </c>
      <c r="AZ87">
        <v>1</v>
      </c>
      <c r="BA87">
        <v>1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</row>
    <row r="88" spans="1:71">
      <c r="A88" s="20" t="s">
        <v>4955</v>
      </c>
      <c r="B88">
        <v>134</v>
      </c>
      <c r="C88">
        <v>815</v>
      </c>
      <c r="D88">
        <v>2023</v>
      </c>
      <c r="E88">
        <v>-1.5609999999999999</v>
      </c>
      <c r="F88">
        <v>4.0800000000000003E-2</v>
      </c>
      <c r="G88">
        <f t="shared" si="5"/>
        <v>-38.259803921568626</v>
      </c>
      <c r="H88" s="27">
        <v>0</v>
      </c>
      <c r="I88">
        <v>1</v>
      </c>
      <c r="J88">
        <v>2860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1</v>
      </c>
      <c r="U88">
        <v>2007</v>
      </c>
      <c r="V88">
        <v>2019</v>
      </c>
      <c r="W88">
        <f t="shared" si="3"/>
        <v>2013</v>
      </c>
      <c r="X88">
        <v>1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 s="21">
        <v>1</v>
      </c>
      <c r="AO88" s="21">
        <v>1</v>
      </c>
      <c r="AP88" s="21">
        <v>0</v>
      </c>
      <c r="AQ88">
        <v>1</v>
      </c>
      <c r="AR88">
        <v>0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 s="21">
        <v>1</v>
      </c>
      <c r="BA88" s="21">
        <v>1</v>
      </c>
      <c r="BB88" s="21">
        <v>1</v>
      </c>
      <c r="BC88">
        <v>0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</row>
    <row r="89" spans="1:71">
      <c r="A89" s="20" t="s">
        <v>4955</v>
      </c>
      <c r="B89">
        <v>134</v>
      </c>
      <c r="C89">
        <v>816</v>
      </c>
      <c r="D89">
        <v>2023</v>
      </c>
      <c r="E89">
        <v>-1.5629999999999999</v>
      </c>
      <c r="F89">
        <v>4.0300000000000002E-2</v>
      </c>
      <c r="G89">
        <f t="shared" si="5"/>
        <v>-38.784119106699748</v>
      </c>
      <c r="H89" s="27">
        <v>0</v>
      </c>
      <c r="I89">
        <v>1</v>
      </c>
      <c r="J89">
        <v>2860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1</v>
      </c>
      <c r="U89">
        <v>2007</v>
      </c>
      <c r="V89">
        <v>2019</v>
      </c>
      <c r="W89">
        <f t="shared" si="3"/>
        <v>2013</v>
      </c>
      <c r="X89">
        <v>1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 s="21">
        <v>1</v>
      </c>
      <c r="AO89" s="21">
        <v>1</v>
      </c>
      <c r="AP89" s="21">
        <v>0</v>
      </c>
      <c r="AQ89">
        <v>1</v>
      </c>
      <c r="AR89">
        <v>0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 s="21">
        <v>1</v>
      </c>
      <c r="BA89" s="21">
        <v>1</v>
      </c>
      <c r="BB89" s="21">
        <v>1</v>
      </c>
      <c r="BC89">
        <v>0</v>
      </c>
      <c r="BD89">
        <v>0</v>
      </c>
      <c r="BE89">
        <v>0</v>
      </c>
      <c r="BF89">
        <v>1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1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</row>
    <row r="90" spans="1:71">
      <c r="A90" s="20" t="s">
        <v>4955</v>
      </c>
      <c r="B90">
        <v>134</v>
      </c>
      <c r="C90">
        <v>817</v>
      </c>
      <c r="D90">
        <v>2023</v>
      </c>
      <c r="E90">
        <v>-1.42</v>
      </c>
      <c r="F90">
        <v>5.1900000000000002E-2</v>
      </c>
      <c r="G90">
        <f t="shared" si="5"/>
        <v>-27.360308285163775</v>
      </c>
      <c r="H90" s="27">
        <v>0</v>
      </c>
      <c r="I90">
        <v>1</v>
      </c>
      <c r="J90">
        <v>2860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1</v>
      </c>
      <c r="U90">
        <v>2007</v>
      </c>
      <c r="V90">
        <v>2019</v>
      </c>
      <c r="W90">
        <f t="shared" si="3"/>
        <v>2013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 s="21">
        <v>1</v>
      </c>
      <c r="AO90" s="21">
        <v>1</v>
      </c>
      <c r="AP90" s="21">
        <v>0</v>
      </c>
      <c r="AQ90">
        <v>1</v>
      </c>
      <c r="AR90">
        <v>0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 s="21">
        <v>1</v>
      </c>
      <c r="BA90" s="21">
        <v>1</v>
      </c>
      <c r="BB90" s="21">
        <v>1</v>
      </c>
      <c r="BC90">
        <v>0</v>
      </c>
      <c r="BD90">
        <v>0</v>
      </c>
      <c r="BE90">
        <v>0</v>
      </c>
      <c r="BF90">
        <v>1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</row>
    <row r="91" spans="1:71">
      <c r="A91" s="18" t="s">
        <v>4955</v>
      </c>
      <c r="B91">
        <v>134</v>
      </c>
      <c r="C91">
        <v>818</v>
      </c>
      <c r="D91">
        <v>2023</v>
      </c>
      <c r="E91">
        <v>-1.43</v>
      </c>
      <c r="F91">
        <v>5.2200000000000003E-2</v>
      </c>
      <c r="G91">
        <f t="shared" si="5"/>
        <v>-27.394636015325666</v>
      </c>
      <c r="H91" s="27">
        <v>0</v>
      </c>
      <c r="I91">
        <v>1</v>
      </c>
      <c r="J91">
        <v>2860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1</v>
      </c>
      <c r="U91">
        <v>2007</v>
      </c>
      <c r="V91">
        <v>2019</v>
      </c>
      <c r="W91">
        <f t="shared" si="3"/>
        <v>2013</v>
      </c>
      <c r="X91">
        <v>1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 s="21">
        <v>1</v>
      </c>
      <c r="AO91" s="21">
        <v>1</v>
      </c>
      <c r="AP91" s="21">
        <v>0</v>
      </c>
      <c r="AQ91">
        <v>1</v>
      </c>
      <c r="AR91">
        <v>0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 s="21">
        <v>1</v>
      </c>
      <c r="BA91" s="21">
        <v>1</v>
      </c>
      <c r="BB91" s="21">
        <v>1</v>
      </c>
      <c r="BC91">
        <v>0</v>
      </c>
      <c r="BD91">
        <v>0</v>
      </c>
      <c r="BE91">
        <v>0</v>
      </c>
      <c r="BF91">
        <v>1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</row>
    <row r="92" spans="1:71">
      <c r="A92" s="18" t="s">
        <v>4955</v>
      </c>
      <c r="B92">
        <v>134</v>
      </c>
      <c r="C92">
        <v>819</v>
      </c>
      <c r="D92">
        <v>2023</v>
      </c>
      <c r="E92">
        <v>-1.42</v>
      </c>
      <c r="F92">
        <v>5.1900000000000002E-2</v>
      </c>
      <c r="G92">
        <f t="shared" si="5"/>
        <v>-27.360308285163775</v>
      </c>
      <c r="H92" s="27">
        <v>0</v>
      </c>
      <c r="I92">
        <v>1</v>
      </c>
      <c r="J92">
        <v>2860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1</v>
      </c>
      <c r="U92">
        <v>2007</v>
      </c>
      <c r="V92">
        <v>2019</v>
      </c>
      <c r="W92">
        <f t="shared" si="3"/>
        <v>2013</v>
      </c>
      <c r="X92">
        <v>1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 s="21">
        <v>1</v>
      </c>
      <c r="AO92" s="21">
        <v>1</v>
      </c>
      <c r="AP92" s="21">
        <v>0</v>
      </c>
      <c r="AQ92">
        <v>1</v>
      </c>
      <c r="AR92">
        <v>0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 s="21">
        <v>1</v>
      </c>
      <c r="BA92" s="21">
        <v>1</v>
      </c>
      <c r="BB92" s="21">
        <v>1</v>
      </c>
      <c r="BC92">
        <v>0</v>
      </c>
      <c r="BD92">
        <v>0</v>
      </c>
      <c r="BE92">
        <v>0</v>
      </c>
      <c r="BF92">
        <v>1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</row>
    <row r="93" spans="1:71">
      <c r="A93" s="20" t="s">
        <v>4955</v>
      </c>
      <c r="B93">
        <v>134</v>
      </c>
      <c r="C93">
        <v>820</v>
      </c>
      <c r="D93">
        <v>2023</v>
      </c>
      <c r="E93">
        <v>-1.143</v>
      </c>
      <c r="F93">
        <v>5.21E-2</v>
      </c>
      <c r="G93">
        <f t="shared" si="5"/>
        <v>-21.938579654510558</v>
      </c>
      <c r="H93" s="27">
        <v>0</v>
      </c>
      <c r="I93">
        <v>1</v>
      </c>
      <c r="J93">
        <v>2860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1</v>
      </c>
      <c r="U93">
        <v>2007</v>
      </c>
      <c r="V93">
        <v>2019</v>
      </c>
      <c r="W93">
        <f t="shared" si="3"/>
        <v>2013</v>
      </c>
      <c r="X93">
        <v>1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 s="21">
        <v>1</v>
      </c>
      <c r="AO93" s="21">
        <v>1</v>
      </c>
      <c r="AP93" s="21">
        <v>0</v>
      </c>
      <c r="AQ93">
        <v>1</v>
      </c>
      <c r="AR93">
        <v>0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 s="21">
        <v>1</v>
      </c>
      <c r="BA93" s="21">
        <v>1</v>
      </c>
      <c r="BB93" s="21">
        <v>1</v>
      </c>
      <c r="BC93">
        <v>0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</row>
    <row r="94" spans="1:71">
      <c r="A94" s="20" t="s">
        <v>5064</v>
      </c>
      <c r="B94">
        <v>135</v>
      </c>
      <c r="C94">
        <v>821</v>
      </c>
      <c r="D94">
        <v>2023</v>
      </c>
      <c r="E94">
        <v>-1.302</v>
      </c>
      <c r="F94">
        <v>4.2999999999999997E-2</v>
      </c>
      <c r="G94">
        <f t="shared" si="5"/>
        <v>-30.279069767441865</v>
      </c>
      <c r="H94" s="27">
        <v>0</v>
      </c>
      <c r="I94">
        <v>1</v>
      </c>
      <c r="J94">
        <v>128763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  <c r="U94">
        <v>2005</v>
      </c>
      <c r="V94">
        <v>2015</v>
      </c>
      <c r="W94">
        <f t="shared" si="3"/>
        <v>2010</v>
      </c>
      <c r="X94">
        <v>1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 s="21">
        <v>1</v>
      </c>
      <c r="AO94" s="21">
        <v>1</v>
      </c>
      <c r="AP94" s="21">
        <v>1</v>
      </c>
      <c r="AQ94">
        <v>0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 s="21">
        <v>1</v>
      </c>
      <c r="BA94" s="21">
        <v>1</v>
      </c>
      <c r="BB94" s="21">
        <v>1</v>
      </c>
      <c r="BC94">
        <v>1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</row>
    <row r="95" spans="1:71">
      <c r="A95" s="20" t="s">
        <v>5064</v>
      </c>
      <c r="B95">
        <v>135</v>
      </c>
      <c r="C95">
        <v>822</v>
      </c>
      <c r="D95">
        <v>2023</v>
      </c>
      <c r="E95">
        <v>-1.302</v>
      </c>
      <c r="F95">
        <v>4.2999999999999997E-2</v>
      </c>
      <c r="G95">
        <f t="shared" si="5"/>
        <v>-30.279069767441865</v>
      </c>
      <c r="H95" s="27">
        <v>0</v>
      </c>
      <c r="I95">
        <v>1</v>
      </c>
      <c r="J95">
        <v>128893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1</v>
      </c>
      <c r="U95">
        <v>2005</v>
      </c>
      <c r="V95">
        <v>2015</v>
      </c>
      <c r="W95">
        <f t="shared" si="3"/>
        <v>2010</v>
      </c>
      <c r="X95">
        <v>1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 s="21">
        <v>1</v>
      </c>
      <c r="AO95" s="21">
        <v>1</v>
      </c>
      <c r="AP95" s="21">
        <v>1</v>
      </c>
      <c r="AQ95">
        <v>0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 s="21">
        <v>1</v>
      </c>
      <c r="BA95" s="21">
        <v>1</v>
      </c>
      <c r="BB95" s="21">
        <v>1</v>
      </c>
      <c r="BC95">
        <v>1</v>
      </c>
      <c r="BD95">
        <v>1</v>
      </c>
      <c r="BE95">
        <v>1</v>
      </c>
      <c r="BF95">
        <v>0</v>
      </c>
      <c r="BG95">
        <v>1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</row>
    <row r="96" spans="1:71">
      <c r="A96" s="20" t="s">
        <v>5064</v>
      </c>
      <c r="B96">
        <v>135</v>
      </c>
      <c r="C96">
        <v>823</v>
      </c>
      <c r="D96">
        <v>2023</v>
      </c>
      <c r="E96">
        <v>-1.304</v>
      </c>
      <c r="F96">
        <v>4.2999999999999997E-2</v>
      </c>
      <c r="G96">
        <f t="shared" si="5"/>
        <v>-30.325581395348841</v>
      </c>
      <c r="H96" s="27">
        <v>0</v>
      </c>
      <c r="I96">
        <v>1</v>
      </c>
      <c r="J96">
        <v>128760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1</v>
      </c>
      <c r="U96">
        <v>2005</v>
      </c>
      <c r="V96">
        <v>2015</v>
      </c>
      <c r="W96">
        <f t="shared" si="3"/>
        <v>2010</v>
      </c>
      <c r="X96">
        <v>1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 s="21">
        <v>1</v>
      </c>
      <c r="AO96" s="21">
        <v>1</v>
      </c>
      <c r="AP96" s="21">
        <v>1</v>
      </c>
      <c r="AQ96">
        <v>0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 s="21">
        <v>1</v>
      </c>
      <c r="BA96" s="21">
        <v>1</v>
      </c>
      <c r="BB96" s="21">
        <v>1</v>
      </c>
      <c r="BC96">
        <v>1</v>
      </c>
      <c r="BD96">
        <v>1</v>
      </c>
      <c r="BE96">
        <v>1</v>
      </c>
      <c r="BF96">
        <v>0</v>
      </c>
      <c r="BG96">
        <v>1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</v>
      </c>
    </row>
    <row r="97" spans="1:71">
      <c r="A97" s="20" t="s">
        <v>5064</v>
      </c>
      <c r="B97">
        <v>135</v>
      </c>
      <c r="C97">
        <v>824</v>
      </c>
      <c r="D97">
        <v>2023</v>
      </c>
      <c r="E97">
        <v>-1.3</v>
      </c>
      <c r="F97">
        <v>4.2999999999999997E-2</v>
      </c>
      <c r="G97">
        <f t="shared" si="5"/>
        <v>-30.232558139534888</v>
      </c>
      <c r="H97" s="27">
        <v>0</v>
      </c>
      <c r="I97">
        <v>1</v>
      </c>
      <c r="J97">
        <v>128896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1</v>
      </c>
      <c r="U97">
        <v>2005</v>
      </c>
      <c r="V97">
        <v>2015</v>
      </c>
      <c r="W97">
        <f t="shared" si="3"/>
        <v>2010</v>
      </c>
      <c r="X97">
        <v>1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 s="21">
        <v>1</v>
      </c>
      <c r="AO97" s="21">
        <v>1</v>
      </c>
      <c r="AP97" s="21">
        <v>1</v>
      </c>
      <c r="AQ97">
        <v>0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 s="21">
        <v>1</v>
      </c>
      <c r="BA97" s="21">
        <v>1</v>
      </c>
      <c r="BB97" s="21">
        <v>1</v>
      </c>
      <c r="BC97">
        <v>1</v>
      </c>
      <c r="BD97">
        <v>1</v>
      </c>
      <c r="BE97">
        <v>1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</v>
      </c>
    </row>
    <row r="98" spans="1:71">
      <c r="A98" s="20" t="s">
        <v>5064</v>
      </c>
      <c r="B98">
        <v>135</v>
      </c>
      <c r="C98">
        <v>825</v>
      </c>
      <c r="D98">
        <v>2023</v>
      </c>
      <c r="E98">
        <v>-1.2969999999999999</v>
      </c>
      <c r="F98">
        <v>4.2999999999999997E-2</v>
      </c>
      <c r="G98">
        <f t="shared" si="5"/>
        <v>-30.162790697674421</v>
      </c>
      <c r="H98" s="27">
        <v>0</v>
      </c>
      <c r="I98">
        <v>1</v>
      </c>
      <c r="J98">
        <v>115794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1</v>
      </c>
      <c r="U98">
        <v>2005</v>
      </c>
      <c r="V98">
        <v>2015</v>
      </c>
      <c r="W98">
        <f t="shared" si="3"/>
        <v>2010</v>
      </c>
      <c r="X98">
        <v>1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 s="21">
        <v>1</v>
      </c>
      <c r="AO98" s="21">
        <v>1</v>
      </c>
      <c r="AP98" s="21">
        <v>1</v>
      </c>
      <c r="AQ98">
        <v>0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 s="21">
        <v>1</v>
      </c>
      <c r="BA98" s="21">
        <v>1</v>
      </c>
      <c r="BB98" s="21">
        <v>1</v>
      </c>
      <c r="BC98">
        <v>1</v>
      </c>
      <c r="BD98">
        <v>1</v>
      </c>
      <c r="BE98">
        <v>1</v>
      </c>
      <c r="BF98">
        <v>0</v>
      </c>
      <c r="BG98">
        <v>1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</v>
      </c>
    </row>
    <row r="99" spans="1:71">
      <c r="A99" s="20" t="s">
        <v>5064</v>
      </c>
      <c r="B99">
        <v>135</v>
      </c>
      <c r="C99">
        <v>826</v>
      </c>
      <c r="D99">
        <v>2023</v>
      </c>
      <c r="E99">
        <v>-1.2969999999999999</v>
      </c>
      <c r="F99">
        <v>4.2999999999999997E-2</v>
      </c>
      <c r="G99">
        <f t="shared" si="5"/>
        <v>-30.162790697674421</v>
      </c>
      <c r="H99" s="27">
        <v>0</v>
      </c>
      <c r="I99">
        <v>1</v>
      </c>
      <c r="J99">
        <v>115923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1</v>
      </c>
      <c r="U99">
        <v>2005</v>
      </c>
      <c r="V99">
        <v>2015</v>
      </c>
      <c r="W99">
        <f t="shared" si="3"/>
        <v>2010</v>
      </c>
      <c r="X99">
        <v>1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 s="21">
        <v>1</v>
      </c>
      <c r="AO99" s="21">
        <v>1</v>
      </c>
      <c r="AP99" s="21">
        <v>1</v>
      </c>
      <c r="AQ99">
        <v>0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 s="21">
        <v>1</v>
      </c>
      <c r="BA99" s="21">
        <v>1</v>
      </c>
      <c r="BB99" s="21">
        <v>1</v>
      </c>
      <c r="BC99">
        <v>1</v>
      </c>
      <c r="BD99">
        <v>1</v>
      </c>
      <c r="BE99">
        <v>1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</row>
    <row r="100" spans="1:71">
      <c r="A100" s="20" t="s">
        <v>5064</v>
      </c>
      <c r="B100">
        <v>135</v>
      </c>
      <c r="C100">
        <v>827</v>
      </c>
      <c r="D100">
        <v>2023</v>
      </c>
      <c r="E100">
        <v>-1.2989999999999999</v>
      </c>
      <c r="F100">
        <v>4.2999999999999997E-2</v>
      </c>
      <c r="G100">
        <f t="shared" si="5"/>
        <v>-30.209302325581397</v>
      </c>
      <c r="H100" s="27">
        <v>0</v>
      </c>
      <c r="I100">
        <v>1</v>
      </c>
      <c r="J100">
        <v>115791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</v>
      </c>
      <c r="U100">
        <v>2005</v>
      </c>
      <c r="V100">
        <v>2015</v>
      </c>
      <c r="W100">
        <f t="shared" si="3"/>
        <v>2010</v>
      </c>
      <c r="X100">
        <v>1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 s="21">
        <v>1</v>
      </c>
      <c r="AO100" s="21">
        <v>1</v>
      </c>
      <c r="AP100" s="21">
        <v>1</v>
      </c>
      <c r="AQ100">
        <v>0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 s="21">
        <v>1</v>
      </c>
      <c r="BA100" s="21">
        <v>1</v>
      </c>
      <c r="BB100" s="21">
        <v>1</v>
      </c>
      <c r="BC100">
        <v>1</v>
      </c>
      <c r="BD100">
        <v>1</v>
      </c>
      <c r="BE100">
        <v>1</v>
      </c>
      <c r="BF100">
        <v>0</v>
      </c>
      <c r="BG100">
        <v>1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</row>
    <row r="101" spans="1:71">
      <c r="A101" s="20" t="s">
        <v>5064</v>
      </c>
      <c r="B101">
        <v>135</v>
      </c>
      <c r="C101">
        <v>828</v>
      </c>
      <c r="D101">
        <v>2023</v>
      </c>
      <c r="E101">
        <v>-1.2949999999999999</v>
      </c>
      <c r="F101">
        <v>4.2999999999999997E-2</v>
      </c>
      <c r="G101">
        <f t="shared" si="5"/>
        <v>-30.116279069767444</v>
      </c>
      <c r="H101" s="27">
        <v>0</v>
      </c>
      <c r="I101">
        <v>1</v>
      </c>
      <c r="J101">
        <v>115926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1</v>
      </c>
      <c r="U101">
        <v>2005</v>
      </c>
      <c r="V101">
        <v>2015</v>
      </c>
      <c r="W101">
        <f t="shared" si="3"/>
        <v>2010</v>
      </c>
      <c r="X101">
        <v>1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 s="21">
        <v>1</v>
      </c>
      <c r="AO101" s="21">
        <v>1</v>
      </c>
      <c r="AP101" s="21">
        <v>1</v>
      </c>
      <c r="AQ101">
        <v>0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 s="21">
        <v>1</v>
      </c>
      <c r="BA101" s="21">
        <v>1</v>
      </c>
      <c r="BB101" s="21">
        <v>1</v>
      </c>
      <c r="BC101">
        <v>1</v>
      </c>
      <c r="BD101">
        <v>1</v>
      </c>
      <c r="BE101">
        <v>1</v>
      </c>
      <c r="BF101">
        <v>0</v>
      </c>
      <c r="BG101">
        <v>1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</row>
    <row r="102" spans="1:71">
      <c r="A102" s="45" t="s">
        <v>5032</v>
      </c>
      <c r="B102">
        <v>3</v>
      </c>
      <c r="C102">
        <v>13</v>
      </c>
      <c r="D102">
        <v>2022</v>
      </c>
      <c r="E102" s="14">
        <v>-0.35</v>
      </c>
      <c r="F102" s="14">
        <v>0.06</v>
      </c>
      <c r="G102" s="14">
        <f t="shared" si="5"/>
        <v>-5.833333333333333</v>
      </c>
      <c r="H102" s="27">
        <v>0</v>
      </c>
      <c r="I102">
        <v>0</v>
      </c>
      <c r="J102">
        <v>432964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1</v>
      </c>
      <c r="U102">
        <v>2017</v>
      </c>
      <c r="V102">
        <v>2020</v>
      </c>
      <c r="W102">
        <f t="shared" si="3"/>
        <v>2019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</v>
      </c>
      <c r="BR102">
        <v>0</v>
      </c>
      <c r="BS102">
        <v>0</v>
      </c>
    </row>
    <row r="103" spans="1:71">
      <c r="A103" s="20" t="s">
        <v>4981</v>
      </c>
      <c r="B103">
        <v>19</v>
      </c>
      <c r="C103">
        <v>116</v>
      </c>
      <c r="D103">
        <v>2022</v>
      </c>
      <c r="E103" s="14">
        <v>-1.42</v>
      </c>
      <c r="F103" s="14">
        <v>0.05</v>
      </c>
      <c r="G103" s="14">
        <f t="shared" si="5"/>
        <v>-28.4</v>
      </c>
      <c r="H103" s="27">
        <v>0</v>
      </c>
      <c r="I103">
        <v>1</v>
      </c>
      <c r="J103">
        <v>262820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1995</v>
      </c>
      <c r="V103">
        <v>2015</v>
      </c>
      <c r="W103">
        <f t="shared" si="3"/>
        <v>2005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0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0</v>
      </c>
    </row>
    <row r="104" spans="1:71">
      <c r="A104" s="20" t="s">
        <v>4981</v>
      </c>
      <c r="B104">
        <v>19</v>
      </c>
      <c r="C104">
        <v>117</v>
      </c>
      <c r="D104">
        <v>2022</v>
      </c>
      <c r="E104" s="14">
        <v>-1.39</v>
      </c>
      <c r="F104" s="14">
        <v>0.01</v>
      </c>
      <c r="G104" s="14">
        <f t="shared" si="5"/>
        <v>-139</v>
      </c>
      <c r="H104" s="27">
        <v>0</v>
      </c>
      <c r="I104">
        <v>1</v>
      </c>
      <c r="J104">
        <v>262820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1</v>
      </c>
      <c r="U104">
        <v>1995</v>
      </c>
      <c r="V104">
        <v>2015</v>
      </c>
      <c r="W104">
        <f t="shared" si="3"/>
        <v>2005</v>
      </c>
      <c r="X104">
        <v>1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0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0</v>
      </c>
    </row>
    <row r="105" spans="1:71">
      <c r="A105" s="20" t="s">
        <v>4981</v>
      </c>
      <c r="B105">
        <v>19</v>
      </c>
      <c r="C105">
        <v>118</v>
      </c>
      <c r="D105">
        <v>2022</v>
      </c>
      <c r="E105" s="14">
        <v>-1.44</v>
      </c>
      <c r="F105" s="14">
        <v>0.01</v>
      </c>
      <c r="G105" s="14">
        <f t="shared" si="5"/>
        <v>-144</v>
      </c>
      <c r="H105" s="27">
        <v>0</v>
      </c>
      <c r="I105">
        <v>1</v>
      </c>
      <c r="J105">
        <v>284441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1995</v>
      </c>
      <c r="V105">
        <v>2015</v>
      </c>
      <c r="W105">
        <f t="shared" si="3"/>
        <v>2005</v>
      </c>
      <c r="X105">
        <v>1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0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0</v>
      </c>
    </row>
    <row r="106" spans="1:71">
      <c r="A106" s="20" t="s">
        <v>4981</v>
      </c>
      <c r="B106">
        <v>19</v>
      </c>
      <c r="C106">
        <v>119</v>
      </c>
      <c r="D106">
        <v>2022</v>
      </c>
      <c r="E106" s="14">
        <v>-1.36</v>
      </c>
      <c r="F106" s="14">
        <v>0.01</v>
      </c>
      <c r="G106" s="14">
        <f t="shared" si="5"/>
        <v>-136</v>
      </c>
      <c r="H106" s="27">
        <v>0</v>
      </c>
      <c r="I106">
        <v>1</v>
      </c>
      <c r="J106">
        <v>284441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</v>
      </c>
      <c r="U106">
        <v>1995</v>
      </c>
      <c r="V106">
        <v>2015</v>
      </c>
      <c r="W106">
        <f t="shared" si="3"/>
        <v>2005</v>
      </c>
      <c r="X106">
        <v>1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0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0</v>
      </c>
    </row>
    <row r="107" spans="1:71">
      <c r="A107" s="20" t="s">
        <v>4981</v>
      </c>
      <c r="B107">
        <v>19</v>
      </c>
      <c r="C107">
        <v>120</v>
      </c>
      <c r="D107">
        <v>2022</v>
      </c>
      <c r="E107" s="14">
        <v>-1.36</v>
      </c>
      <c r="F107" s="14">
        <v>0.01</v>
      </c>
      <c r="G107" s="14">
        <f t="shared" si="5"/>
        <v>-136</v>
      </c>
      <c r="H107" s="27">
        <v>0</v>
      </c>
      <c r="I107">
        <v>1</v>
      </c>
      <c r="J107">
        <v>284441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1</v>
      </c>
      <c r="U107">
        <v>1995</v>
      </c>
      <c r="V107">
        <v>2015</v>
      </c>
      <c r="W107">
        <f t="shared" si="3"/>
        <v>2005</v>
      </c>
      <c r="X107">
        <v>1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0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0</v>
      </c>
    </row>
    <row r="108" spans="1:71">
      <c r="A108" s="20" t="s">
        <v>4981</v>
      </c>
      <c r="B108">
        <v>19</v>
      </c>
      <c r="C108">
        <v>121</v>
      </c>
      <c r="D108">
        <v>2022</v>
      </c>
      <c r="E108" s="14">
        <v>-1.68</v>
      </c>
      <c r="F108" s="14">
        <v>0.01</v>
      </c>
      <c r="G108" s="14">
        <f t="shared" si="5"/>
        <v>-168</v>
      </c>
      <c r="H108" s="27">
        <v>0</v>
      </c>
      <c r="I108">
        <v>1</v>
      </c>
      <c r="J108">
        <v>173196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1995</v>
      </c>
      <c r="V108">
        <v>2015</v>
      </c>
      <c r="W108">
        <f t="shared" si="3"/>
        <v>2005</v>
      </c>
      <c r="X108">
        <v>1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0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0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</row>
    <row r="109" spans="1:71">
      <c r="A109" s="20" t="s">
        <v>4981</v>
      </c>
      <c r="B109">
        <v>19</v>
      </c>
      <c r="C109">
        <v>122</v>
      </c>
      <c r="D109">
        <v>2022</v>
      </c>
      <c r="E109" s="14">
        <v>-1.67</v>
      </c>
      <c r="F109" s="14">
        <v>0.01</v>
      </c>
      <c r="G109" s="14">
        <f t="shared" si="5"/>
        <v>-167</v>
      </c>
      <c r="H109" s="27">
        <v>0</v>
      </c>
      <c r="I109">
        <v>1</v>
      </c>
      <c r="J109">
        <v>173196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1</v>
      </c>
      <c r="U109">
        <v>1995</v>
      </c>
      <c r="V109">
        <v>2015</v>
      </c>
      <c r="W109">
        <f t="shared" si="3"/>
        <v>2005</v>
      </c>
      <c r="X109">
        <v>1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0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0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</row>
    <row r="110" spans="1:71">
      <c r="A110" s="20" t="s">
        <v>4981</v>
      </c>
      <c r="B110">
        <v>19</v>
      </c>
      <c r="C110">
        <v>123</v>
      </c>
      <c r="D110">
        <v>2022</v>
      </c>
      <c r="E110" s="14">
        <v>-1.81</v>
      </c>
      <c r="F110" s="14">
        <v>0.01</v>
      </c>
      <c r="G110" s="14">
        <f t="shared" si="5"/>
        <v>-181</v>
      </c>
      <c r="H110" s="27">
        <v>0</v>
      </c>
      <c r="I110">
        <v>1</v>
      </c>
      <c r="J110">
        <v>168124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1</v>
      </c>
      <c r="U110">
        <v>1995</v>
      </c>
      <c r="V110">
        <v>2015</v>
      </c>
      <c r="W110">
        <f t="shared" si="3"/>
        <v>2005</v>
      </c>
      <c r="X110">
        <v>1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0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0</v>
      </c>
    </row>
    <row r="111" spans="1:71">
      <c r="A111" s="20" t="s">
        <v>4981</v>
      </c>
      <c r="B111">
        <v>19</v>
      </c>
      <c r="C111">
        <v>124</v>
      </c>
      <c r="D111">
        <v>2022</v>
      </c>
      <c r="E111" s="14">
        <v>-1.61</v>
      </c>
      <c r="F111" s="14">
        <v>0.01</v>
      </c>
      <c r="G111" s="14">
        <f t="shared" si="5"/>
        <v>-161</v>
      </c>
      <c r="H111" s="27">
        <v>0</v>
      </c>
      <c r="I111">
        <v>1</v>
      </c>
      <c r="J111">
        <v>168124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1995</v>
      </c>
      <c r="V111">
        <v>2015</v>
      </c>
      <c r="W111">
        <f t="shared" si="3"/>
        <v>2005</v>
      </c>
      <c r="X111">
        <v>1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0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0</v>
      </c>
    </row>
    <row r="112" spans="1:71">
      <c r="A112" s="20" t="s">
        <v>4981</v>
      </c>
      <c r="B112">
        <v>19</v>
      </c>
      <c r="C112">
        <v>125</v>
      </c>
      <c r="D112">
        <v>2022</v>
      </c>
      <c r="E112" s="14">
        <v>-1.61</v>
      </c>
      <c r="F112" s="14">
        <v>0.01</v>
      </c>
      <c r="G112" s="14">
        <f t="shared" si="5"/>
        <v>-161</v>
      </c>
      <c r="H112" s="27">
        <v>0</v>
      </c>
      <c r="I112">
        <v>1</v>
      </c>
      <c r="J112">
        <v>168124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1995</v>
      </c>
      <c r="V112">
        <v>2015</v>
      </c>
      <c r="W112">
        <f t="shared" si="3"/>
        <v>2005</v>
      </c>
      <c r="X112">
        <v>1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0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0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0</v>
      </c>
    </row>
    <row r="113" spans="1:71">
      <c r="A113" s="20" t="s">
        <v>4981</v>
      </c>
      <c r="B113">
        <v>19</v>
      </c>
      <c r="C113">
        <v>126</v>
      </c>
      <c r="D113">
        <v>2022</v>
      </c>
      <c r="E113" s="14">
        <v>-1.1100000000000001</v>
      </c>
      <c r="F113" s="14">
        <v>0.04</v>
      </c>
      <c r="G113" s="14">
        <f t="shared" si="5"/>
        <v>-27.750000000000004</v>
      </c>
      <c r="H113" s="27">
        <v>0</v>
      </c>
      <c r="I113">
        <v>1</v>
      </c>
      <c r="J113">
        <v>49442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1</v>
      </c>
      <c r="U113">
        <v>1995</v>
      </c>
      <c r="V113">
        <v>2015</v>
      </c>
      <c r="W113">
        <f t="shared" si="3"/>
        <v>2005</v>
      </c>
      <c r="X113">
        <v>1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1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1</v>
      </c>
      <c r="AQ113">
        <v>0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0</v>
      </c>
    </row>
    <row r="114" spans="1:71">
      <c r="A114" s="20" t="s">
        <v>4981</v>
      </c>
      <c r="B114">
        <v>19</v>
      </c>
      <c r="C114">
        <v>127</v>
      </c>
      <c r="D114">
        <v>2022</v>
      </c>
      <c r="E114" s="14">
        <v>-1.6</v>
      </c>
      <c r="F114" s="14">
        <v>0.04</v>
      </c>
      <c r="G114" s="14">
        <f t="shared" si="5"/>
        <v>-40</v>
      </c>
      <c r="H114" s="27">
        <v>0</v>
      </c>
      <c r="I114">
        <v>1</v>
      </c>
      <c r="J114">
        <v>61046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1995</v>
      </c>
      <c r="V114">
        <v>2015</v>
      </c>
      <c r="W114">
        <f t="shared" si="3"/>
        <v>2005</v>
      </c>
      <c r="X114">
        <v>1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1</v>
      </c>
      <c r="AL114">
        <v>1</v>
      </c>
      <c r="AM114">
        <v>0</v>
      </c>
      <c r="AN114">
        <v>1</v>
      </c>
      <c r="AO114">
        <v>1</v>
      </c>
      <c r="AP114">
        <v>1</v>
      </c>
      <c r="AQ114">
        <v>0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1</v>
      </c>
      <c r="BS114">
        <v>0</v>
      </c>
    </row>
    <row r="115" spans="1:71">
      <c r="A115" s="20" t="s">
        <v>4981</v>
      </c>
      <c r="B115">
        <v>19</v>
      </c>
      <c r="C115">
        <v>128</v>
      </c>
      <c r="D115">
        <v>2022</v>
      </c>
      <c r="E115" s="14">
        <v>-1.39</v>
      </c>
      <c r="F115" s="14">
        <v>0.02</v>
      </c>
      <c r="G115" s="14">
        <f t="shared" si="5"/>
        <v>-69.5</v>
      </c>
      <c r="H115" s="27">
        <v>0</v>
      </c>
      <c r="I115">
        <v>1</v>
      </c>
      <c r="J115">
        <v>93194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1995</v>
      </c>
      <c r="V115">
        <v>2015</v>
      </c>
      <c r="W115">
        <f t="shared" si="3"/>
        <v>2005</v>
      </c>
      <c r="X115">
        <v>1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1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1</v>
      </c>
      <c r="AN115">
        <v>1</v>
      </c>
      <c r="AO115">
        <v>1</v>
      </c>
      <c r="AP115">
        <v>1</v>
      </c>
      <c r="AQ115">
        <v>0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1</v>
      </c>
      <c r="BS115">
        <v>0</v>
      </c>
    </row>
    <row r="116" spans="1:71">
      <c r="A116" s="20" t="s">
        <v>4981</v>
      </c>
      <c r="B116">
        <v>19</v>
      </c>
      <c r="C116">
        <v>129</v>
      </c>
      <c r="D116">
        <v>2022</v>
      </c>
      <c r="E116" s="14">
        <v>-1.85</v>
      </c>
      <c r="F116" s="14">
        <v>0.05</v>
      </c>
      <c r="G116" s="14">
        <f t="shared" si="5"/>
        <v>-37</v>
      </c>
      <c r="H116" s="27">
        <v>0</v>
      </c>
      <c r="I116">
        <v>1</v>
      </c>
      <c r="J116">
        <v>44759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</v>
      </c>
      <c r="U116">
        <v>1995</v>
      </c>
      <c r="V116">
        <v>2015</v>
      </c>
      <c r="W116">
        <f t="shared" si="3"/>
        <v>2005</v>
      </c>
      <c r="X116">
        <v>1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1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1</v>
      </c>
      <c r="AQ116">
        <v>0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0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1</v>
      </c>
      <c r="BS116">
        <v>0</v>
      </c>
    </row>
    <row r="117" spans="1:71">
      <c r="A117" s="20" t="s">
        <v>4981</v>
      </c>
      <c r="B117">
        <v>19</v>
      </c>
      <c r="C117">
        <v>130</v>
      </c>
      <c r="D117">
        <v>2022</v>
      </c>
      <c r="E117" s="14">
        <v>-1.1000000000000001</v>
      </c>
      <c r="F117" s="14">
        <v>0.04</v>
      </c>
      <c r="G117" s="14">
        <f t="shared" si="5"/>
        <v>-27.5</v>
      </c>
      <c r="H117" s="27">
        <v>0</v>
      </c>
      <c r="I117">
        <v>1</v>
      </c>
      <c r="J117">
        <v>49442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1</v>
      </c>
      <c r="U117">
        <v>1995</v>
      </c>
      <c r="V117">
        <v>2015</v>
      </c>
      <c r="W117">
        <f t="shared" si="3"/>
        <v>2005</v>
      </c>
      <c r="X117">
        <v>1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1</v>
      </c>
      <c r="AQ117">
        <v>0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0</v>
      </c>
    </row>
    <row r="118" spans="1:71">
      <c r="A118" s="20" t="s">
        <v>4981</v>
      </c>
      <c r="B118">
        <v>19</v>
      </c>
      <c r="C118">
        <v>131</v>
      </c>
      <c r="D118">
        <v>2022</v>
      </c>
      <c r="E118" s="14">
        <v>-1.6</v>
      </c>
      <c r="F118" s="14">
        <v>0.03</v>
      </c>
      <c r="G118" s="14">
        <f t="shared" si="5"/>
        <v>-53.333333333333336</v>
      </c>
      <c r="H118" s="27">
        <v>0</v>
      </c>
      <c r="I118">
        <v>1</v>
      </c>
      <c r="J118">
        <v>61046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1995</v>
      </c>
      <c r="V118">
        <v>2015</v>
      </c>
      <c r="W118">
        <f t="shared" si="3"/>
        <v>2005</v>
      </c>
      <c r="X118">
        <v>1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1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1</v>
      </c>
      <c r="AO118">
        <v>1</v>
      </c>
      <c r="AP118">
        <v>1</v>
      </c>
      <c r="AQ118">
        <v>0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</row>
    <row r="119" spans="1:71">
      <c r="A119" s="20" t="s">
        <v>4981</v>
      </c>
      <c r="B119">
        <v>19</v>
      </c>
      <c r="C119">
        <v>132</v>
      </c>
      <c r="D119">
        <v>2022</v>
      </c>
      <c r="E119" s="14">
        <v>-1.36</v>
      </c>
      <c r="F119" s="14">
        <v>0.02</v>
      </c>
      <c r="G119" s="14">
        <v>0.02</v>
      </c>
      <c r="H119" s="27">
        <v>0</v>
      </c>
      <c r="I119">
        <v>1</v>
      </c>
      <c r="J119">
        <v>93194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1</v>
      </c>
      <c r="U119">
        <v>1995</v>
      </c>
      <c r="V119">
        <v>2015</v>
      </c>
      <c r="W119">
        <f t="shared" si="3"/>
        <v>2005</v>
      </c>
      <c r="X119">
        <v>1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1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1</v>
      </c>
      <c r="AN119">
        <v>1</v>
      </c>
      <c r="AO119">
        <v>1</v>
      </c>
      <c r="AP119">
        <v>1</v>
      </c>
      <c r="AQ119">
        <v>0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0</v>
      </c>
      <c r="BH119">
        <v>0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1</v>
      </c>
      <c r="BS119">
        <v>0</v>
      </c>
    </row>
    <row r="120" spans="1:71">
      <c r="A120" s="20" t="s">
        <v>4981</v>
      </c>
      <c r="B120">
        <v>19</v>
      </c>
      <c r="C120">
        <v>133</v>
      </c>
      <c r="D120">
        <v>2022</v>
      </c>
      <c r="E120" s="14">
        <v>-1.67</v>
      </c>
      <c r="F120" s="14">
        <v>0.05</v>
      </c>
      <c r="G120" s="14">
        <f t="shared" ref="G120:G162" si="6">E120/F120</f>
        <v>-33.4</v>
      </c>
      <c r="H120" s="27">
        <v>0</v>
      </c>
      <c r="I120">
        <v>1</v>
      </c>
      <c r="J120">
        <v>44759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1995</v>
      </c>
      <c r="V120">
        <v>2015</v>
      </c>
      <c r="W120">
        <f t="shared" si="3"/>
        <v>2005</v>
      </c>
      <c r="X120">
        <v>1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1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1</v>
      </c>
      <c r="AQ120">
        <v>0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1</v>
      </c>
      <c r="BS120">
        <v>0</v>
      </c>
    </row>
    <row r="121" spans="1:71">
      <c r="A121" s="20" t="s">
        <v>5158</v>
      </c>
      <c r="B121">
        <v>58</v>
      </c>
      <c r="C121">
        <v>379</v>
      </c>
      <c r="D121">
        <v>2022</v>
      </c>
      <c r="E121">
        <v>-1.8560000000000001</v>
      </c>
      <c r="F121">
        <v>0.01</v>
      </c>
      <c r="G121">
        <f t="shared" si="6"/>
        <v>-185.6</v>
      </c>
      <c r="H121" s="27">
        <v>0</v>
      </c>
      <c r="I121">
        <v>1</v>
      </c>
      <c r="J121">
        <v>161255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 s="21">
        <v>0</v>
      </c>
      <c r="S121">
        <v>0</v>
      </c>
      <c r="T121">
        <v>1</v>
      </c>
      <c r="U121">
        <v>2000</v>
      </c>
      <c r="V121">
        <v>2015</v>
      </c>
      <c r="W121">
        <f t="shared" si="3"/>
        <v>2008</v>
      </c>
      <c r="X121">
        <v>1</v>
      </c>
      <c r="Y121">
        <v>0</v>
      </c>
      <c r="Z121">
        <v>1</v>
      </c>
      <c r="AA121">
        <v>0</v>
      </c>
      <c r="AB121">
        <v>0</v>
      </c>
      <c r="AC121">
        <v>0</v>
      </c>
      <c r="AD121" s="21">
        <v>0</v>
      </c>
      <c r="AE121">
        <v>0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 s="21">
        <v>1</v>
      </c>
      <c r="AO121" s="21">
        <v>1</v>
      </c>
      <c r="AP121" s="21">
        <v>1</v>
      </c>
      <c r="AQ121">
        <v>0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 s="21">
        <v>1</v>
      </c>
      <c r="BA121" s="21">
        <v>1</v>
      </c>
      <c r="BB121" s="21">
        <v>1</v>
      </c>
      <c r="BC121">
        <v>1</v>
      </c>
      <c r="BD121">
        <v>0</v>
      </c>
      <c r="BE121">
        <v>1</v>
      </c>
      <c r="BF121">
        <v>0</v>
      </c>
      <c r="BG121" s="21">
        <v>1</v>
      </c>
      <c r="BH121">
        <v>0</v>
      </c>
      <c r="BI121" s="21">
        <v>1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1</v>
      </c>
      <c r="BS121" s="21">
        <v>0</v>
      </c>
    </row>
    <row r="122" spans="1:71">
      <c r="A122" s="20" t="s">
        <v>5158</v>
      </c>
      <c r="B122">
        <v>58</v>
      </c>
      <c r="C122">
        <v>380</v>
      </c>
      <c r="D122">
        <v>2022</v>
      </c>
      <c r="E122">
        <v>-1.849</v>
      </c>
      <c r="F122">
        <v>0.01</v>
      </c>
      <c r="G122">
        <f t="shared" si="6"/>
        <v>-184.9</v>
      </c>
      <c r="H122" s="27">
        <v>0</v>
      </c>
      <c r="I122">
        <v>1</v>
      </c>
      <c r="J122">
        <v>160650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 s="21">
        <v>0</v>
      </c>
      <c r="S122">
        <v>0</v>
      </c>
      <c r="T122">
        <v>1</v>
      </c>
      <c r="U122">
        <v>2000</v>
      </c>
      <c r="V122">
        <v>2015</v>
      </c>
      <c r="W122">
        <f t="shared" si="3"/>
        <v>2008</v>
      </c>
      <c r="X122">
        <v>1</v>
      </c>
      <c r="Y122">
        <v>0</v>
      </c>
      <c r="Z122">
        <v>1</v>
      </c>
      <c r="AA122">
        <v>0</v>
      </c>
      <c r="AB122">
        <v>0</v>
      </c>
      <c r="AC122">
        <v>0</v>
      </c>
      <c r="AD122" s="21">
        <v>0</v>
      </c>
      <c r="AE122">
        <v>0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 s="21">
        <v>1</v>
      </c>
      <c r="AO122" s="21">
        <v>1</v>
      </c>
      <c r="AP122" s="21">
        <v>1</v>
      </c>
      <c r="AQ122">
        <v>0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 s="21">
        <v>1</v>
      </c>
      <c r="BA122" s="21">
        <v>1</v>
      </c>
      <c r="BB122" s="21">
        <v>1</v>
      </c>
      <c r="BC122">
        <v>1</v>
      </c>
      <c r="BD122">
        <v>0</v>
      </c>
      <c r="BE122">
        <v>1</v>
      </c>
      <c r="BF122">
        <v>0</v>
      </c>
      <c r="BG122" s="21">
        <v>1</v>
      </c>
      <c r="BH122">
        <v>0</v>
      </c>
      <c r="BI122" s="21">
        <v>1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1</v>
      </c>
      <c r="BS122" s="21">
        <v>0</v>
      </c>
    </row>
    <row r="123" spans="1:71">
      <c r="A123" s="20" t="s">
        <v>5158</v>
      </c>
      <c r="B123">
        <v>58</v>
      </c>
      <c r="C123">
        <v>381</v>
      </c>
      <c r="D123">
        <v>2022</v>
      </c>
      <c r="E123">
        <v>-1.8720000000000001</v>
      </c>
      <c r="F123">
        <v>0.01</v>
      </c>
      <c r="G123">
        <f t="shared" si="6"/>
        <v>-187.20000000000002</v>
      </c>
      <c r="H123" s="27">
        <v>0</v>
      </c>
      <c r="I123">
        <v>1</v>
      </c>
      <c r="J123">
        <v>161264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 s="21">
        <v>0</v>
      </c>
      <c r="S123">
        <v>0</v>
      </c>
      <c r="T123">
        <v>1</v>
      </c>
      <c r="U123">
        <v>2000</v>
      </c>
      <c r="V123">
        <v>2015</v>
      </c>
      <c r="W123">
        <f t="shared" si="3"/>
        <v>2008</v>
      </c>
      <c r="X123">
        <v>1</v>
      </c>
      <c r="Y123">
        <v>0</v>
      </c>
      <c r="Z123">
        <v>1</v>
      </c>
      <c r="AA123">
        <v>0</v>
      </c>
      <c r="AB123">
        <v>0</v>
      </c>
      <c r="AC123">
        <v>0</v>
      </c>
      <c r="AD123" s="21">
        <v>0</v>
      </c>
      <c r="AE123">
        <v>0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 s="21">
        <v>1</v>
      </c>
      <c r="AO123" s="21">
        <v>1</v>
      </c>
      <c r="AP123" s="21">
        <v>1</v>
      </c>
      <c r="AQ123">
        <v>0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 s="21">
        <v>1</v>
      </c>
      <c r="BA123" s="21">
        <v>1</v>
      </c>
      <c r="BB123" s="21">
        <v>1</v>
      </c>
      <c r="BC123">
        <v>1</v>
      </c>
      <c r="BD123">
        <v>0</v>
      </c>
      <c r="BE123">
        <v>1</v>
      </c>
      <c r="BF123">
        <v>0</v>
      </c>
      <c r="BG123" s="21">
        <v>1</v>
      </c>
      <c r="BH123">
        <v>0</v>
      </c>
      <c r="BI123" s="21">
        <v>1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1</v>
      </c>
      <c r="BS123" s="21">
        <v>0</v>
      </c>
    </row>
    <row r="124" spans="1:71">
      <c r="A124" s="20" t="s">
        <v>5158</v>
      </c>
      <c r="B124">
        <v>58</v>
      </c>
      <c r="C124">
        <v>382</v>
      </c>
      <c r="D124">
        <v>2022</v>
      </c>
      <c r="E124">
        <v>-1.8540000000000001</v>
      </c>
      <c r="F124">
        <v>0.01</v>
      </c>
      <c r="G124">
        <f t="shared" si="6"/>
        <v>-185.4</v>
      </c>
      <c r="H124" s="27">
        <v>0</v>
      </c>
      <c r="I124">
        <v>1</v>
      </c>
      <c r="J124">
        <v>161271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 s="21">
        <v>0</v>
      </c>
      <c r="S124">
        <v>0</v>
      </c>
      <c r="T124">
        <v>1</v>
      </c>
      <c r="U124">
        <v>2000</v>
      </c>
      <c r="V124">
        <v>2015</v>
      </c>
      <c r="W124">
        <f t="shared" si="3"/>
        <v>2008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 s="21">
        <v>1</v>
      </c>
      <c r="AO124" s="21">
        <v>1</v>
      </c>
      <c r="AP124" s="21">
        <v>1</v>
      </c>
      <c r="AQ124">
        <v>0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 s="21">
        <v>1</v>
      </c>
      <c r="BA124" s="21">
        <v>1</v>
      </c>
      <c r="BB124" s="21">
        <v>1</v>
      </c>
      <c r="BC124">
        <v>1</v>
      </c>
      <c r="BD124">
        <v>0</v>
      </c>
      <c r="BE124">
        <v>1</v>
      </c>
      <c r="BF124">
        <v>0</v>
      </c>
      <c r="BG124" s="21">
        <v>1</v>
      </c>
      <c r="BH124">
        <v>0</v>
      </c>
      <c r="BI124" s="21">
        <v>1</v>
      </c>
      <c r="BJ124" s="21">
        <v>0</v>
      </c>
      <c r="BK124" s="21">
        <v>0</v>
      </c>
      <c r="BL124" s="21">
        <v>0</v>
      </c>
      <c r="BM124" s="21">
        <v>0</v>
      </c>
      <c r="BN124" s="21">
        <v>0</v>
      </c>
      <c r="BO124" s="21">
        <v>0</v>
      </c>
      <c r="BP124" s="21">
        <v>0</v>
      </c>
      <c r="BQ124" s="21">
        <v>0</v>
      </c>
      <c r="BR124" s="21">
        <v>1</v>
      </c>
      <c r="BS124" s="21">
        <v>0</v>
      </c>
    </row>
    <row r="125" spans="1:71">
      <c r="A125" s="20" t="s">
        <v>5158</v>
      </c>
      <c r="B125">
        <v>58</v>
      </c>
      <c r="C125">
        <v>383</v>
      </c>
      <c r="D125">
        <v>2022</v>
      </c>
      <c r="E125">
        <v>-1.8520000000000001</v>
      </c>
      <c r="F125">
        <v>0.01</v>
      </c>
      <c r="G125">
        <f t="shared" si="6"/>
        <v>-185.20000000000002</v>
      </c>
      <c r="H125" s="27">
        <v>0</v>
      </c>
      <c r="I125">
        <v>1</v>
      </c>
      <c r="J125">
        <v>161271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 s="21">
        <v>0</v>
      </c>
      <c r="S125">
        <v>0</v>
      </c>
      <c r="T125">
        <v>1</v>
      </c>
      <c r="U125">
        <v>2000</v>
      </c>
      <c r="V125">
        <v>2015</v>
      </c>
      <c r="W125">
        <f t="shared" si="3"/>
        <v>2008</v>
      </c>
      <c r="X125">
        <v>1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 s="21">
        <v>1</v>
      </c>
      <c r="AO125" s="21">
        <v>1</v>
      </c>
      <c r="AP125" s="21">
        <v>1</v>
      </c>
      <c r="AQ125">
        <v>0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 s="21">
        <v>1</v>
      </c>
      <c r="BA125" s="21">
        <v>1</v>
      </c>
      <c r="BB125" s="21">
        <v>1</v>
      </c>
      <c r="BC125">
        <v>1</v>
      </c>
      <c r="BD125">
        <v>0</v>
      </c>
      <c r="BE125">
        <v>1</v>
      </c>
      <c r="BF125">
        <v>0</v>
      </c>
      <c r="BG125" s="21">
        <v>1</v>
      </c>
      <c r="BH125">
        <v>0</v>
      </c>
      <c r="BI125" s="21">
        <v>1</v>
      </c>
      <c r="BJ125" s="21">
        <v>0</v>
      </c>
      <c r="BK125" s="21">
        <v>0</v>
      </c>
      <c r="BL125" s="21">
        <v>0</v>
      </c>
      <c r="BM125" s="21">
        <v>0</v>
      </c>
      <c r="BN125" s="21">
        <v>0</v>
      </c>
      <c r="BO125" s="21">
        <v>0</v>
      </c>
      <c r="BP125" s="21">
        <v>0</v>
      </c>
      <c r="BQ125" s="21">
        <v>0</v>
      </c>
      <c r="BR125" s="21">
        <v>1</v>
      </c>
      <c r="BS125" s="21">
        <v>0</v>
      </c>
    </row>
    <row r="126" spans="1:71">
      <c r="A126" s="20" t="s">
        <v>5158</v>
      </c>
      <c r="B126">
        <v>58</v>
      </c>
      <c r="C126">
        <v>384</v>
      </c>
      <c r="D126">
        <v>2022</v>
      </c>
      <c r="E126">
        <v>-1.867</v>
      </c>
      <c r="F126">
        <v>0.01</v>
      </c>
      <c r="G126">
        <f t="shared" si="6"/>
        <v>-186.7</v>
      </c>
      <c r="H126" s="27">
        <v>0</v>
      </c>
      <c r="I126">
        <v>1</v>
      </c>
      <c r="J126">
        <v>161271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 s="21">
        <v>0</v>
      </c>
      <c r="S126">
        <v>0</v>
      </c>
      <c r="T126">
        <v>1</v>
      </c>
      <c r="U126">
        <v>2000</v>
      </c>
      <c r="V126">
        <v>2015</v>
      </c>
      <c r="W126">
        <f t="shared" si="3"/>
        <v>2008</v>
      </c>
      <c r="X126">
        <v>1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 s="21">
        <v>1</v>
      </c>
      <c r="AO126" s="21">
        <v>1</v>
      </c>
      <c r="AP126" s="21">
        <v>1</v>
      </c>
      <c r="AQ126">
        <v>0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 s="21">
        <v>1</v>
      </c>
      <c r="BA126" s="21">
        <v>1</v>
      </c>
      <c r="BB126" s="21">
        <v>1</v>
      </c>
      <c r="BC126">
        <v>1</v>
      </c>
      <c r="BD126">
        <v>0</v>
      </c>
      <c r="BE126">
        <v>1</v>
      </c>
      <c r="BF126">
        <v>0</v>
      </c>
      <c r="BG126" s="21">
        <v>1</v>
      </c>
      <c r="BH126">
        <v>0</v>
      </c>
      <c r="BI126" s="21">
        <v>1</v>
      </c>
      <c r="BJ126" s="21">
        <v>0</v>
      </c>
      <c r="BK126" s="21">
        <v>0</v>
      </c>
      <c r="BL126" s="21">
        <v>0</v>
      </c>
      <c r="BM126" s="21">
        <v>0</v>
      </c>
      <c r="BN126" s="21">
        <v>0</v>
      </c>
      <c r="BO126" s="21">
        <v>0</v>
      </c>
      <c r="BP126" s="21">
        <v>0</v>
      </c>
      <c r="BQ126" s="21">
        <v>0</v>
      </c>
      <c r="BR126" s="21">
        <v>1</v>
      </c>
      <c r="BS126" s="21">
        <v>0</v>
      </c>
    </row>
    <row r="127" spans="1:71">
      <c r="A127" s="20" t="s">
        <v>4827</v>
      </c>
      <c r="B127">
        <v>66</v>
      </c>
      <c r="C127">
        <v>425</v>
      </c>
      <c r="D127">
        <v>2022</v>
      </c>
      <c r="E127">
        <v>-0.22800000000000001</v>
      </c>
      <c r="F127">
        <v>6.0000000000000001E-3</v>
      </c>
      <c r="G127">
        <f t="shared" si="6"/>
        <v>-38</v>
      </c>
      <c r="H127" s="27">
        <v>0</v>
      </c>
      <c r="I127">
        <v>1</v>
      </c>
      <c r="J127">
        <v>224019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</v>
      </c>
      <c r="U127">
        <v>1995</v>
      </c>
      <c r="V127">
        <v>2017</v>
      </c>
      <c r="W127">
        <f t="shared" si="3"/>
        <v>2006</v>
      </c>
      <c r="X127">
        <v>1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 s="21">
        <v>1</v>
      </c>
      <c r="AO127" s="21">
        <v>1</v>
      </c>
      <c r="AP127" s="21">
        <v>1</v>
      </c>
      <c r="AQ127">
        <v>1</v>
      </c>
      <c r="AR127">
        <v>0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 s="21">
        <v>1</v>
      </c>
      <c r="BA127" s="21">
        <v>1</v>
      </c>
      <c r="BB127" s="21">
        <v>1</v>
      </c>
      <c r="BC127">
        <v>1</v>
      </c>
      <c r="BD127">
        <v>1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 s="21">
        <v>0</v>
      </c>
      <c r="BS127" s="21">
        <v>0</v>
      </c>
    </row>
    <row r="128" spans="1:71">
      <c r="A128" s="20" t="s">
        <v>4827</v>
      </c>
      <c r="B128">
        <v>66</v>
      </c>
      <c r="C128">
        <v>426</v>
      </c>
      <c r="D128">
        <v>2022</v>
      </c>
      <c r="E128">
        <v>-0.23200000000000001</v>
      </c>
      <c r="F128">
        <v>4.0000000000000001E-3</v>
      </c>
      <c r="G128">
        <f t="shared" si="6"/>
        <v>-58</v>
      </c>
      <c r="H128" s="27">
        <v>0</v>
      </c>
      <c r="I128">
        <v>1</v>
      </c>
      <c r="J128">
        <v>215589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1</v>
      </c>
      <c r="U128">
        <v>1995</v>
      </c>
      <c r="V128">
        <v>2017</v>
      </c>
      <c r="W128">
        <f t="shared" si="3"/>
        <v>2006</v>
      </c>
      <c r="X128">
        <v>1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 s="21">
        <v>1</v>
      </c>
      <c r="AO128" s="21">
        <v>1</v>
      </c>
      <c r="AP128" s="21">
        <v>1</v>
      </c>
      <c r="AQ128">
        <v>1</v>
      </c>
      <c r="AR128">
        <v>0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 s="21">
        <v>1</v>
      </c>
      <c r="BA128" s="21">
        <v>1</v>
      </c>
      <c r="BB128" s="21">
        <v>1</v>
      </c>
      <c r="BC128">
        <v>1</v>
      </c>
      <c r="BD128">
        <v>1</v>
      </c>
      <c r="BE128">
        <v>1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1</v>
      </c>
      <c r="BR128" s="21">
        <v>0</v>
      </c>
      <c r="BS128" s="21">
        <v>0</v>
      </c>
    </row>
    <row r="129" spans="1:71">
      <c r="A129" s="20" t="s">
        <v>4827</v>
      </c>
      <c r="B129">
        <v>66</v>
      </c>
      <c r="C129">
        <v>427</v>
      </c>
      <c r="D129">
        <v>2022</v>
      </c>
      <c r="E129">
        <v>-0.23100000000000001</v>
      </c>
      <c r="F129">
        <v>4.0000000000000001E-3</v>
      </c>
      <c r="G129">
        <f t="shared" si="6"/>
        <v>-57.75</v>
      </c>
      <c r="H129" s="27">
        <v>0</v>
      </c>
      <c r="I129">
        <v>1</v>
      </c>
      <c r="J129">
        <v>215589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1</v>
      </c>
      <c r="U129">
        <v>1995</v>
      </c>
      <c r="V129">
        <v>2017</v>
      </c>
      <c r="W129">
        <f t="shared" si="3"/>
        <v>2006</v>
      </c>
      <c r="X129">
        <v>1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 s="21">
        <v>1</v>
      </c>
      <c r="AO129" s="21">
        <v>1</v>
      </c>
      <c r="AP129" s="21">
        <v>1</v>
      </c>
      <c r="AQ129">
        <v>1</v>
      </c>
      <c r="AR129">
        <v>0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 s="21">
        <v>1</v>
      </c>
      <c r="BA129" s="21">
        <v>1</v>
      </c>
      <c r="BB129" s="21">
        <v>1</v>
      </c>
      <c r="BC129">
        <v>1</v>
      </c>
      <c r="BD129">
        <v>1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</v>
      </c>
      <c r="BR129" s="21">
        <v>0</v>
      </c>
      <c r="BS129" s="21">
        <v>0</v>
      </c>
    </row>
    <row r="130" spans="1:71">
      <c r="A130" s="20" t="s">
        <v>4827</v>
      </c>
      <c r="B130">
        <v>66</v>
      </c>
      <c r="C130">
        <v>428</v>
      </c>
      <c r="D130">
        <v>2022</v>
      </c>
      <c r="E130">
        <v>-0.23200000000000001</v>
      </c>
      <c r="F130">
        <v>4.0000000000000001E-3</v>
      </c>
      <c r="G130">
        <f t="shared" si="6"/>
        <v>-58</v>
      </c>
      <c r="H130" s="27">
        <v>0</v>
      </c>
      <c r="I130">
        <v>1</v>
      </c>
      <c r="J130">
        <v>215589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</v>
      </c>
      <c r="U130">
        <v>1995</v>
      </c>
      <c r="V130">
        <v>2017</v>
      </c>
      <c r="W130">
        <f t="shared" ref="W130:W193" si="7">ROUND(AVERAGE(U130:V130), 0)</f>
        <v>2006</v>
      </c>
      <c r="X130">
        <v>1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 s="21">
        <v>1</v>
      </c>
      <c r="AO130" s="21">
        <v>1</v>
      </c>
      <c r="AP130" s="21">
        <v>1</v>
      </c>
      <c r="AQ130">
        <v>1</v>
      </c>
      <c r="AR130">
        <v>0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 s="21">
        <v>1</v>
      </c>
      <c r="BA130" s="21">
        <v>1</v>
      </c>
      <c r="BB130" s="21">
        <v>1</v>
      </c>
      <c r="BC130">
        <v>1</v>
      </c>
      <c r="BD130">
        <v>1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</v>
      </c>
      <c r="BR130" s="21">
        <v>0</v>
      </c>
      <c r="BS130" s="21">
        <v>0</v>
      </c>
    </row>
    <row r="131" spans="1:71">
      <c r="A131" s="20" t="s">
        <v>4827</v>
      </c>
      <c r="B131">
        <v>66</v>
      </c>
      <c r="C131">
        <v>429</v>
      </c>
      <c r="D131">
        <v>2022</v>
      </c>
      <c r="E131">
        <v>-0.22900000000000001</v>
      </c>
      <c r="F131">
        <v>4.0000000000000001E-3</v>
      </c>
      <c r="G131">
        <f t="shared" si="6"/>
        <v>-57.25</v>
      </c>
      <c r="H131" s="27">
        <v>0</v>
      </c>
      <c r="I131">
        <v>1</v>
      </c>
      <c r="J131">
        <v>219132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</v>
      </c>
      <c r="U131">
        <v>1995</v>
      </c>
      <c r="V131">
        <v>2017</v>
      </c>
      <c r="W131">
        <f t="shared" si="7"/>
        <v>2006</v>
      </c>
      <c r="X131">
        <v>1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 s="21">
        <v>1</v>
      </c>
      <c r="AO131" s="21">
        <v>1</v>
      </c>
      <c r="AP131" s="21">
        <v>1</v>
      </c>
      <c r="AQ131">
        <v>1</v>
      </c>
      <c r="AR131">
        <v>0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 s="21">
        <v>1</v>
      </c>
      <c r="BA131" s="21">
        <v>1</v>
      </c>
      <c r="BB131" s="21">
        <v>1</v>
      </c>
      <c r="BC131">
        <v>1</v>
      </c>
      <c r="BD131">
        <v>1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</v>
      </c>
      <c r="BR131" s="21">
        <v>0</v>
      </c>
      <c r="BS131" s="21">
        <v>0</v>
      </c>
    </row>
    <row r="132" spans="1:71">
      <c r="A132" s="20" t="s">
        <v>4827</v>
      </c>
      <c r="B132">
        <v>66</v>
      </c>
      <c r="C132">
        <v>430</v>
      </c>
      <c r="D132">
        <v>2022</v>
      </c>
      <c r="E132">
        <v>-1.7170000000000001</v>
      </c>
      <c r="F132">
        <v>1.4999999999999999E-2</v>
      </c>
      <c r="G132">
        <f t="shared" si="6"/>
        <v>-114.46666666666668</v>
      </c>
      <c r="H132" s="27">
        <v>0</v>
      </c>
      <c r="I132">
        <v>1</v>
      </c>
      <c r="J132">
        <v>210221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1</v>
      </c>
      <c r="U132">
        <v>1995</v>
      </c>
      <c r="V132">
        <v>2017</v>
      </c>
      <c r="W132">
        <f t="shared" si="7"/>
        <v>2006</v>
      </c>
      <c r="X132">
        <v>1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 s="21">
        <v>1</v>
      </c>
      <c r="AO132" s="21">
        <v>1</v>
      </c>
      <c r="AP132" s="21">
        <v>1</v>
      </c>
      <c r="AQ132">
        <v>1</v>
      </c>
      <c r="AR132">
        <v>0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 s="21">
        <v>1</v>
      </c>
      <c r="BA132" s="21">
        <v>1</v>
      </c>
      <c r="BB132" s="21">
        <v>1</v>
      </c>
      <c r="BC132">
        <v>1</v>
      </c>
      <c r="BD132">
        <v>1</v>
      </c>
      <c r="BE132">
        <v>1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 s="21">
        <v>0</v>
      </c>
      <c r="BS132" s="21">
        <v>0</v>
      </c>
    </row>
    <row r="133" spans="1:71">
      <c r="A133" s="20" t="s">
        <v>4827</v>
      </c>
      <c r="B133">
        <v>66</v>
      </c>
      <c r="C133">
        <v>431</v>
      </c>
      <c r="D133">
        <v>2022</v>
      </c>
      <c r="E133">
        <v>-1.7170000000000001</v>
      </c>
      <c r="F133">
        <v>1.4999999999999999E-2</v>
      </c>
      <c r="G133">
        <f t="shared" si="6"/>
        <v>-114.46666666666668</v>
      </c>
      <c r="H133" s="27">
        <v>0</v>
      </c>
      <c r="I133">
        <v>1</v>
      </c>
      <c r="J133">
        <v>210221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1995</v>
      </c>
      <c r="V133">
        <v>2017</v>
      </c>
      <c r="W133">
        <f t="shared" si="7"/>
        <v>2006</v>
      </c>
      <c r="X133">
        <v>1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 s="21">
        <v>1</v>
      </c>
      <c r="AO133" s="21">
        <v>1</v>
      </c>
      <c r="AP133" s="21">
        <v>1</v>
      </c>
      <c r="AQ133">
        <v>1</v>
      </c>
      <c r="AR133">
        <v>0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 s="21">
        <v>1</v>
      </c>
      <c r="BA133" s="21">
        <v>1</v>
      </c>
      <c r="BB133" s="21">
        <v>1</v>
      </c>
      <c r="BC133">
        <v>1</v>
      </c>
      <c r="BD133">
        <v>1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1</v>
      </c>
      <c r="BR133" s="21">
        <v>0</v>
      </c>
      <c r="BS133" s="21">
        <v>0</v>
      </c>
    </row>
    <row r="134" spans="1:71">
      <c r="A134" s="20" t="s">
        <v>4827</v>
      </c>
      <c r="B134">
        <v>66</v>
      </c>
      <c r="C134">
        <v>432</v>
      </c>
      <c r="D134">
        <v>2022</v>
      </c>
      <c r="E134">
        <v>-1.716</v>
      </c>
      <c r="F134">
        <v>1.4999999999999999E-2</v>
      </c>
      <c r="G134">
        <f t="shared" si="6"/>
        <v>-114.4</v>
      </c>
      <c r="H134" s="27">
        <v>0</v>
      </c>
      <c r="I134">
        <v>1</v>
      </c>
      <c r="J134">
        <v>210221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</v>
      </c>
      <c r="U134">
        <v>1995</v>
      </c>
      <c r="V134">
        <v>2017</v>
      </c>
      <c r="W134">
        <f t="shared" si="7"/>
        <v>2006</v>
      </c>
      <c r="X134">
        <v>1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 s="21">
        <v>1</v>
      </c>
      <c r="AO134" s="21">
        <v>1</v>
      </c>
      <c r="AP134" s="21">
        <v>1</v>
      </c>
      <c r="AQ134">
        <v>1</v>
      </c>
      <c r="AR134">
        <v>0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 s="21">
        <v>1</v>
      </c>
      <c r="BA134" s="21">
        <v>1</v>
      </c>
      <c r="BB134" s="21">
        <v>1</v>
      </c>
      <c r="BC134">
        <v>1</v>
      </c>
      <c r="BD134">
        <v>1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1</v>
      </c>
      <c r="BR134" s="21">
        <v>0</v>
      </c>
      <c r="BS134" s="21">
        <v>0</v>
      </c>
    </row>
    <row r="135" spans="1:71">
      <c r="A135" s="20" t="s">
        <v>4827</v>
      </c>
      <c r="B135">
        <v>66</v>
      </c>
      <c r="C135">
        <v>433</v>
      </c>
      <c r="D135">
        <v>2022</v>
      </c>
      <c r="E135">
        <v>-1.7170000000000001</v>
      </c>
      <c r="F135">
        <v>1.4999999999999999E-2</v>
      </c>
      <c r="G135">
        <f t="shared" si="6"/>
        <v>-114.46666666666668</v>
      </c>
      <c r="H135" s="27">
        <v>0</v>
      </c>
      <c r="I135">
        <v>1</v>
      </c>
      <c r="J135">
        <v>213645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</v>
      </c>
      <c r="U135">
        <v>1995</v>
      </c>
      <c r="V135">
        <v>2017</v>
      </c>
      <c r="W135">
        <f t="shared" si="7"/>
        <v>2006</v>
      </c>
      <c r="X135">
        <v>1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 s="21">
        <v>1</v>
      </c>
      <c r="AO135" s="21">
        <v>1</v>
      </c>
      <c r="AP135" s="21">
        <v>1</v>
      </c>
      <c r="AQ135">
        <v>1</v>
      </c>
      <c r="AR135">
        <v>0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 s="21">
        <v>1</v>
      </c>
      <c r="BA135" s="21">
        <v>1</v>
      </c>
      <c r="BB135" s="21">
        <v>1</v>
      </c>
      <c r="BC135">
        <v>1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</v>
      </c>
      <c r="BR135" s="21">
        <v>0</v>
      </c>
      <c r="BS135" s="21">
        <v>0</v>
      </c>
    </row>
    <row r="136" spans="1:71">
      <c r="A136" s="20" t="s">
        <v>4827</v>
      </c>
      <c r="B136">
        <v>66</v>
      </c>
      <c r="C136">
        <v>434</v>
      </c>
      <c r="D136">
        <v>2022</v>
      </c>
      <c r="E136">
        <v>-1.6319999999999999</v>
      </c>
      <c r="F136">
        <v>1.4999999999999999E-2</v>
      </c>
      <c r="G136">
        <f t="shared" si="6"/>
        <v>-108.8</v>
      </c>
      <c r="H136" s="27">
        <v>0</v>
      </c>
      <c r="I136">
        <v>1</v>
      </c>
      <c r="J136">
        <v>179489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1995</v>
      </c>
      <c r="V136">
        <v>2017</v>
      </c>
      <c r="W136">
        <f t="shared" si="7"/>
        <v>2006</v>
      </c>
      <c r="X136">
        <v>1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 s="21">
        <v>1</v>
      </c>
      <c r="AO136" s="21">
        <v>1</v>
      </c>
      <c r="AP136" s="21">
        <v>1</v>
      </c>
      <c r="AQ136">
        <v>1</v>
      </c>
      <c r="AR136">
        <v>0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 s="21">
        <v>1</v>
      </c>
      <c r="BA136" s="21">
        <v>1</v>
      </c>
      <c r="BB136" s="21">
        <v>1</v>
      </c>
      <c r="BC136">
        <v>1</v>
      </c>
      <c r="BD136">
        <v>1</v>
      </c>
      <c r="BE136">
        <v>1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</v>
      </c>
      <c r="BR136" s="21">
        <v>0</v>
      </c>
      <c r="BS136" s="21">
        <v>0</v>
      </c>
    </row>
    <row r="137" spans="1:71">
      <c r="A137" s="20" t="s">
        <v>4827</v>
      </c>
      <c r="B137">
        <v>66</v>
      </c>
      <c r="C137">
        <v>435</v>
      </c>
      <c r="D137">
        <v>2022</v>
      </c>
      <c r="E137">
        <v>-1.6879999999999999</v>
      </c>
      <c r="F137">
        <v>2.1000000000000001E-2</v>
      </c>
      <c r="G137">
        <f t="shared" si="6"/>
        <v>-80.38095238095238</v>
      </c>
      <c r="H137" s="27">
        <v>0</v>
      </c>
      <c r="I137">
        <v>1</v>
      </c>
      <c r="J137">
        <v>96416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1995</v>
      </c>
      <c r="V137">
        <v>2007</v>
      </c>
      <c r="W137">
        <f t="shared" si="7"/>
        <v>2001</v>
      </c>
      <c r="X137">
        <v>1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 s="21">
        <v>1</v>
      </c>
      <c r="AO137" s="21">
        <v>1</v>
      </c>
      <c r="AP137" s="21">
        <v>1</v>
      </c>
      <c r="AQ137">
        <v>1</v>
      </c>
      <c r="AR137">
        <v>0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 s="21">
        <v>1</v>
      </c>
      <c r="BA137" s="21">
        <v>1</v>
      </c>
      <c r="BB137" s="21">
        <v>1</v>
      </c>
      <c r="BC137">
        <v>1</v>
      </c>
      <c r="BD137">
        <v>1</v>
      </c>
      <c r="BE137">
        <v>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</v>
      </c>
      <c r="BR137" s="21">
        <v>0</v>
      </c>
      <c r="BS137" s="21">
        <v>0</v>
      </c>
    </row>
    <row r="138" spans="1:71">
      <c r="A138" s="20" t="s">
        <v>4827</v>
      </c>
      <c r="B138">
        <v>66</v>
      </c>
      <c r="C138">
        <v>436</v>
      </c>
      <c r="D138">
        <v>2022</v>
      </c>
      <c r="E138">
        <v>-1.704</v>
      </c>
      <c r="F138">
        <v>1.7999999999999999E-2</v>
      </c>
      <c r="G138">
        <f t="shared" si="6"/>
        <v>-94.666666666666671</v>
      </c>
      <c r="H138" s="27">
        <v>0</v>
      </c>
      <c r="I138">
        <v>1</v>
      </c>
      <c r="J138">
        <v>111519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1995</v>
      </c>
      <c r="V138">
        <v>2017</v>
      </c>
      <c r="W138">
        <f t="shared" si="7"/>
        <v>2006</v>
      </c>
      <c r="X138">
        <v>1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 s="21">
        <v>1</v>
      </c>
      <c r="AO138" s="21">
        <v>1</v>
      </c>
      <c r="AP138" s="21">
        <v>1</v>
      </c>
      <c r="AQ138">
        <v>1</v>
      </c>
      <c r="AR138">
        <v>0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 s="21">
        <v>1</v>
      </c>
      <c r="BA138" s="21">
        <v>1</v>
      </c>
      <c r="BB138" s="21">
        <v>1</v>
      </c>
      <c r="BC138">
        <v>1</v>
      </c>
      <c r="BD138">
        <v>1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</v>
      </c>
      <c r="BR138" s="21">
        <v>0</v>
      </c>
      <c r="BS138" s="21">
        <v>0</v>
      </c>
    </row>
    <row r="139" spans="1:71">
      <c r="A139" s="20" t="s">
        <v>4827</v>
      </c>
      <c r="B139">
        <v>66</v>
      </c>
      <c r="C139">
        <v>437</v>
      </c>
      <c r="D139">
        <v>2022</v>
      </c>
      <c r="E139">
        <v>-1.351</v>
      </c>
      <c r="F139">
        <v>2.5999999999999999E-2</v>
      </c>
      <c r="G139">
        <f t="shared" si="6"/>
        <v>-51.96153846153846</v>
      </c>
      <c r="H139" s="27">
        <v>0</v>
      </c>
      <c r="I139">
        <v>1</v>
      </c>
      <c r="J139">
        <v>111519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1</v>
      </c>
      <c r="U139">
        <v>1995</v>
      </c>
      <c r="V139">
        <v>2017</v>
      </c>
      <c r="W139">
        <f t="shared" si="7"/>
        <v>2006</v>
      </c>
      <c r="X139">
        <v>1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 s="21">
        <v>1</v>
      </c>
      <c r="AO139" s="21">
        <v>1</v>
      </c>
      <c r="AP139" s="21">
        <v>1</v>
      </c>
      <c r="AQ139">
        <v>1</v>
      </c>
      <c r="AR139">
        <v>0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 s="21">
        <v>1</v>
      </c>
      <c r="BA139" s="21">
        <v>1</v>
      </c>
      <c r="BB139" s="21">
        <v>1</v>
      </c>
      <c r="BC139">
        <v>1</v>
      </c>
      <c r="BD139">
        <v>1</v>
      </c>
      <c r="BE139">
        <v>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1</v>
      </c>
      <c r="BR139" s="21">
        <v>0</v>
      </c>
      <c r="BS139" s="21">
        <v>0</v>
      </c>
    </row>
    <row r="140" spans="1:71">
      <c r="A140" s="44" t="s">
        <v>4827</v>
      </c>
      <c r="B140">
        <v>66</v>
      </c>
      <c r="C140">
        <v>438</v>
      </c>
      <c r="D140">
        <v>2022</v>
      </c>
      <c r="E140">
        <v>-1.821</v>
      </c>
      <c r="F140">
        <v>1.9E-2</v>
      </c>
      <c r="G140">
        <f t="shared" si="6"/>
        <v>-95.84210526315789</v>
      </c>
      <c r="H140" s="27">
        <v>0</v>
      </c>
      <c r="I140">
        <v>1</v>
      </c>
      <c r="J140">
        <v>111519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1</v>
      </c>
      <c r="U140">
        <v>1995</v>
      </c>
      <c r="V140">
        <v>2017</v>
      </c>
      <c r="W140">
        <f t="shared" si="7"/>
        <v>2006</v>
      </c>
      <c r="X140">
        <v>1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 s="21">
        <v>1</v>
      </c>
      <c r="AO140" s="21">
        <v>1</v>
      </c>
      <c r="AP140" s="21">
        <v>1</v>
      </c>
      <c r="AQ140">
        <v>1</v>
      </c>
      <c r="AR140">
        <v>0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 s="21">
        <v>1</v>
      </c>
      <c r="BA140" s="21">
        <v>1</v>
      </c>
      <c r="BB140" s="21">
        <v>1</v>
      </c>
      <c r="BC140">
        <v>1</v>
      </c>
      <c r="BD140">
        <v>1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</v>
      </c>
      <c r="BR140" s="21">
        <v>0</v>
      </c>
      <c r="BS140" s="21">
        <v>0</v>
      </c>
    </row>
    <row r="141" spans="1:71">
      <c r="A141" s="44" t="s">
        <v>4827</v>
      </c>
      <c r="B141">
        <v>66</v>
      </c>
      <c r="C141">
        <v>439</v>
      </c>
      <c r="D141">
        <v>2022</v>
      </c>
      <c r="E141">
        <v>-1.512</v>
      </c>
      <c r="F141">
        <v>5.2999999999999999E-2</v>
      </c>
      <c r="G141">
        <f t="shared" si="6"/>
        <v>-28.528301886792455</v>
      </c>
      <c r="H141" s="27">
        <v>0</v>
      </c>
      <c r="I141">
        <v>1</v>
      </c>
      <c r="J141">
        <v>111519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</v>
      </c>
      <c r="U141">
        <v>1995</v>
      </c>
      <c r="V141">
        <v>2017</v>
      </c>
      <c r="W141">
        <f t="shared" si="7"/>
        <v>2006</v>
      </c>
      <c r="X141">
        <v>1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1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 s="21">
        <v>1</v>
      </c>
      <c r="AO141" s="21">
        <v>1</v>
      </c>
      <c r="AP141" s="21">
        <v>1</v>
      </c>
      <c r="AQ141">
        <v>1</v>
      </c>
      <c r="AR141">
        <v>0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 s="21">
        <v>1</v>
      </c>
      <c r="BA141" s="21">
        <v>1</v>
      </c>
      <c r="BB141" s="21">
        <v>1</v>
      </c>
      <c r="BC141">
        <v>1</v>
      </c>
      <c r="BD141">
        <v>1</v>
      </c>
      <c r="BE141">
        <v>1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</v>
      </c>
      <c r="BR141" s="21">
        <v>0</v>
      </c>
      <c r="BS141" s="21">
        <v>0</v>
      </c>
    </row>
    <row r="142" spans="1:71">
      <c r="A142" s="44" t="s">
        <v>4827</v>
      </c>
      <c r="B142">
        <v>66</v>
      </c>
      <c r="C142">
        <v>440</v>
      </c>
      <c r="D142">
        <v>2022</v>
      </c>
      <c r="E142">
        <v>-1.9319999999999999</v>
      </c>
      <c r="F142">
        <v>7.6999999999999999E-2</v>
      </c>
      <c r="G142">
        <f t="shared" si="6"/>
        <v>-25.09090909090909</v>
      </c>
      <c r="H142" s="27">
        <v>0</v>
      </c>
      <c r="I142">
        <v>1</v>
      </c>
      <c r="J142">
        <v>111519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</v>
      </c>
      <c r="U142">
        <v>1995</v>
      </c>
      <c r="V142">
        <v>2017</v>
      </c>
      <c r="W142">
        <f t="shared" si="7"/>
        <v>2006</v>
      </c>
      <c r="X142">
        <v>1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 s="21">
        <v>1</v>
      </c>
      <c r="AO142" s="21">
        <v>1</v>
      </c>
      <c r="AP142" s="21">
        <v>1</v>
      </c>
      <c r="AQ142">
        <v>1</v>
      </c>
      <c r="AR142">
        <v>0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 s="21">
        <v>1</v>
      </c>
      <c r="BA142" s="21">
        <v>1</v>
      </c>
      <c r="BB142" s="21">
        <v>1</v>
      </c>
      <c r="BC142">
        <v>1</v>
      </c>
      <c r="BD142">
        <v>1</v>
      </c>
      <c r="BE142">
        <v>1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</v>
      </c>
      <c r="BR142" s="21">
        <v>0</v>
      </c>
      <c r="BS142" s="21">
        <v>0</v>
      </c>
    </row>
    <row r="143" spans="1:71">
      <c r="A143" s="44" t="s">
        <v>4827</v>
      </c>
      <c r="B143">
        <v>66</v>
      </c>
      <c r="C143">
        <v>441</v>
      </c>
      <c r="D143">
        <v>2022</v>
      </c>
      <c r="E143">
        <v>-1.518</v>
      </c>
      <c r="F143">
        <v>8.5000000000000006E-2</v>
      </c>
      <c r="G143">
        <f t="shared" si="6"/>
        <v>-17.858823529411765</v>
      </c>
      <c r="H143" s="27">
        <v>0</v>
      </c>
      <c r="I143">
        <v>1</v>
      </c>
      <c r="J143">
        <v>111519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1</v>
      </c>
      <c r="U143">
        <v>1995</v>
      </c>
      <c r="V143">
        <v>2017</v>
      </c>
      <c r="W143">
        <f t="shared" si="7"/>
        <v>2006</v>
      </c>
      <c r="X143">
        <v>1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1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 s="21">
        <v>1</v>
      </c>
      <c r="AO143" s="21">
        <v>1</v>
      </c>
      <c r="AP143" s="21">
        <v>1</v>
      </c>
      <c r="AQ143">
        <v>1</v>
      </c>
      <c r="AR143">
        <v>0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 s="21">
        <v>1</v>
      </c>
      <c r="BA143" s="21">
        <v>1</v>
      </c>
      <c r="BB143" s="21">
        <v>1</v>
      </c>
      <c r="BC143">
        <v>1</v>
      </c>
      <c r="BD143">
        <v>1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</v>
      </c>
      <c r="BR143" s="21">
        <v>0</v>
      </c>
      <c r="BS143" s="21">
        <v>0</v>
      </c>
    </row>
    <row r="144" spans="1:71">
      <c r="A144" s="44" t="s">
        <v>4827</v>
      </c>
      <c r="B144">
        <v>66</v>
      </c>
      <c r="C144">
        <v>442</v>
      </c>
      <c r="D144">
        <v>2022</v>
      </c>
      <c r="E144">
        <v>-1.7370000000000001</v>
      </c>
      <c r="F144">
        <v>5.0999999999999997E-2</v>
      </c>
      <c r="G144">
        <f t="shared" si="6"/>
        <v>-34.058823529411768</v>
      </c>
      <c r="H144" s="27">
        <v>0</v>
      </c>
      <c r="I144">
        <v>1</v>
      </c>
      <c r="J144">
        <v>111519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1</v>
      </c>
      <c r="U144">
        <v>1995</v>
      </c>
      <c r="V144">
        <v>2017</v>
      </c>
      <c r="W144">
        <f t="shared" si="7"/>
        <v>2006</v>
      </c>
      <c r="X144">
        <v>1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 s="21">
        <v>1</v>
      </c>
      <c r="AO144" s="21">
        <v>1</v>
      </c>
      <c r="AP144" s="21">
        <v>1</v>
      </c>
      <c r="AQ144">
        <v>1</v>
      </c>
      <c r="AR144">
        <v>0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 s="21">
        <v>1</v>
      </c>
      <c r="BA144" s="21">
        <v>1</v>
      </c>
      <c r="BB144" s="21">
        <v>1</v>
      </c>
      <c r="BC144">
        <v>1</v>
      </c>
      <c r="BD144">
        <v>1</v>
      </c>
      <c r="BE144">
        <v>1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</v>
      </c>
      <c r="BR144" s="21">
        <v>0</v>
      </c>
      <c r="BS144" s="21">
        <v>0</v>
      </c>
    </row>
    <row r="145" spans="1:71">
      <c r="A145" s="44" t="s">
        <v>4827</v>
      </c>
      <c r="B145">
        <v>66</v>
      </c>
      <c r="C145">
        <v>443</v>
      </c>
      <c r="D145">
        <v>2022</v>
      </c>
      <c r="E145">
        <v>-1.482</v>
      </c>
      <c r="F145">
        <v>7.1999999999999995E-2</v>
      </c>
      <c r="G145">
        <f t="shared" si="6"/>
        <v>-20.583333333333336</v>
      </c>
      <c r="H145" s="27">
        <v>0</v>
      </c>
      <c r="I145">
        <v>1</v>
      </c>
      <c r="J145">
        <v>111519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1995</v>
      </c>
      <c r="V145">
        <v>2017</v>
      </c>
      <c r="W145">
        <f t="shared" si="7"/>
        <v>2006</v>
      </c>
      <c r="X145">
        <v>1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 s="21">
        <v>1</v>
      </c>
      <c r="AO145" s="21">
        <v>1</v>
      </c>
      <c r="AP145" s="21">
        <v>1</v>
      </c>
      <c r="AQ145">
        <v>1</v>
      </c>
      <c r="AR145">
        <v>0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 s="21">
        <v>1</v>
      </c>
      <c r="BA145" s="21">
        <v>1</v>
      </c>
      <c r="BB145" s="21">
        <v>1</v>
      </c>
      <c r="BC145">
        <v>1</v>
      </c>
      <c r="BD145">
        <v>1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</v>
      </c>
      <c r="BR145" s="21">
        <v>0</v>
      </c>
      <c r="BS145" s="21">
        <v>0</v>
      </c>
    </row>
    <row r="146" spans="1:71">
      <c r="A146" s="44" t="s">
        <v>5162</v>
      </c>
      <c r="B146" s="1">
        <v>100</v>
      </c>
      <c r="C146">
        <v>614</v>
      </c>
      <c r="D146" s="1">
        <v>2022</v>
      </c>
      <c r="E146">
        <v>-0.43099999999999999</v>
      </c>
      <c r="F146">
        <v>8.4000000000000005E-2</v>
      </c>
      <c r="G146">
        <f t="shared" si="6"/>
        <v>-5.1309523809523805</v>
      </c>
      <c r="H146" s="1">
        <v>0</v>
      </c>
      <c r="I146" s="1">
        <v>1</v>
      </c>
      <c r="J146" s="1">
        <v>285</v>
      </c>
      <c r="K146" s="1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1991</v>
      </c>
      <c r="V146">
        <v>2019</v>
      </c>
      <c r="W146">
        <f t="shared" si="7"/>
        <v>2005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 s="21">
        <v>1</v>
      </c>
      <c r="AO146" s="21">
        <v>0</v>
      </c>
      <c r="AP146" s="21">
        <v>0</v>
      </c>
      <c r="AQ146">
        <v>1</v>
      </c>
      <c r="AR146">
        <v>0</v>
      </c>
      <c r="AS146">
        <v>0</v>
      </c>
      <c r="AT146">
        <v>1</v>
      </c>
      <c r="AU146">
        <v>1</v>
      </c>
      <c r="AV146">
        <v>0</v>
      </c>
      <c r="AW146">
        <v>1</v>
      </c>
      <c r="AX146">
        <v>0</v>
      </c>
      <c r="AY146">
        <v>1</v>
      </c>
      <c r="AZ146" s="21">
        <v>1</v>
      </c>
      <c r="BA146" s="21">
        <v>1</v>
      </c>
      <c r="BB146" s="21">
        <v>1</v>
      </c>
      <c r="BC146">
        <v>0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 s="21">
        <v>1</v>
      </c>
      <c r="BS146" s="21">
        <v>0</v>
      </c>
    </row>
    <row r="147" spans="1:71">
      <c r="A147" s="44" t="s">
        <v>5162</v>
      </c>
      <c r="B147" s="1">
        <v>100</v>
      </c>
      <c r="C147">
        <v>615</v>
      </c>
      <c r="D147" s="1">
        <v>2022</v>
      </c>
      <c r="E147">
        <v>-0.78200000000000003</v>
      </c>
      <c r="F147">
        <v>0.40100000000000002</v>
      </c>
      <c r="G147">
        <f t="shared" si="6"/>
        <v>-1.9501246882793017</v>
      </c>
      <c r="H147" s="1">
        <v>0</v>
      </c>
      <c r="I147" s="1">
        <v>1</v>
      </c>
      <c r="J147" s="1">
        <v>285</v>
      </c>
      <c r="K147" s="1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1991</v>
      </c>
      <c r="V147">
        <v>2019</v>
      </c>
      <c r="W147">
        <f t="shared" si="7"/>
        <v>2005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 s="21">
        <v>1</v>
      </c>
      <c r="AO147" s="21">
        <v>0</v>
      </c>
      <c r="AP147" s="21">
        <v>0</v>
      </c>
      <c r="AQ147">
        <v>1</v>
      </c>
      <c r="AR147">
        <v>0</v>
      </c>
      <c r="AS147">
        <v>0</v>
      </c>
      <c r="AT147">
        <v>1</v>
      </c>
      <c r="AU147">
        <v>1</v>
      </c>
      <c r="AV147">
        <v>0</v>
      </c>
      <c r="AW147">
        <v>1</v>
      </c>
      <c r="AX147">
        <v>0</v>
      </c>
      <c r="AY147">
        <v>1</v>
      </c>
      <c r="AZ147" s="21">
        <v>1</v>
      </c>
      <c r="BA147" s="21">
        <v>1</v>
      </c>
      <c r="BB147" s="21">
        <v>1</v>
      </c>
      <c r="BC147">
        <v>0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 s="21">
        <v>1</v>
      </c>
      <c r="BS147" s="21">
        <v>0</v>
      </c>
    </row>
    <row r="148" spans="1:71">
      <c r="A148" s="44" t="s">
        <v>5078</v>
      </c>
      <c r="B148">
        <v>101</v>
      </c>
      <c r="C148">
        <v>616</v>
      </c>
      <c r="D148">
        <v>2022</v>
      </c>
      <c r="E148">
        <v>-0.84199999999999997</v>
      </c>
      <c r="F148">
        <v>5.7200000000000001E-2</v>
      </c>
      <c r="G148">
        <f t="shared" si="6"/>
        <v>-14.72027972027972</v>
      </c>
      <c r="H148" s="27">
        <v>0</v>
      </c>
      <c r="I148">
        <v>1</v>
      </c>
      <c r="J148">
        <v>73493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0</v>
      </c>
      <c r="T148">
        <v>1</v>
      </c>
      <c r="U148">
        <v>2005</v>
      </c>
      <c r="V148">
        <v>2019</v>
      </c>
      <c r="W148">
        <f t="shared" si="7"/>
        <v>2012</v>
      </c>
      <c r="X148">
        <v>1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 s="21">
        <v>1</v>
      </c>
      <c r="AO148" s="21">
        <v>1</v>
      </c>
      <c r="AP148" s="21">
        <v>1</v>
      </c>
      <c r="AQ148">
        <v>0</v>
      </c>
      <c r="AR148">
        <v>0</v>
      </c>
      <c r="AS148">
        <v>0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 s="21">
        <v>1</v>
      </c>
      <c r="BA148" s="21">
        <v>1</v>
      </c>
      <c r="BB148" s="21">
        <v>1</v>
      </c>
      <c r="BC148">
        <v>1</v>
      </c>
      <c r="BD148">
        <v>0</v>
      </c>
      <c r="BE148">
        <v>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</v>
      </c>
      <c r="BM148">
        <v>0</v>
      </c>
      <c r="BN148">
        <v>0</v>
      </c>
      <c r="BO148">
        <v>0</v>
      </c>
      <c r="BP148">
        <v>0</v>
      </c>
      <c r="BQ148">
        <v>0</v>
      </c>
      <c r="BR148" s="21">
        <v>0</v>
      </c>
      <c r="BS148" s="21">
        <v>1</v>
      </c>
    </row>
    <row r="149" spans="1:71">
      <c r="A149" s="44" t="s">
        <v>5078</v>
      </c>
      <c r="B149">
        <v>101</v>
      </c>
      <c r="C149">
        <v>617</v>
      </c>
      <c r="D149">
        <v>2022</v>
      </c>
      <c r="E149">
        <v>-0.83599999999999997</v>
      </c>
      <c r="F149">
        <v>6.08E-2</v>
      </c>
      <c r="G149">
        <f t="shared" si="6"/>
        <v>-13.75</v>
      </c>
      <c r="H149" s="27">
        <v>0</v>
      </c>
      <c r="I149">
        <v>1</v>
      </c>
      <c r="J149">
        <v>68810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1</v>
      </c>
      <c r="S149">
        <v>0</v>
      </c>
      <c r="T149">
        <v>1</v>
      </c>
      <c r="U149">
        <v>2005</v>
      </c>
      <c r="V149">
        <v>2019</v>
      </c>
      <c r="W149">
        <f t="shared" si="7"/>
        <v>2012</v>
      </c>
      <c r="X149">
        <v>1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 s="21">
        <v>1</v>
      </c>
      <c r="AO149" s="21">
        <v>1</v>
      </c>
      <c r="AP149" s="21">
        <v>1</v>
      </c>
      <c r="AQ149">
        <v>0</v>
      </c>
      <c r="AR149">
        <v>0</v>
      </c>
      <c r="AS149">
        <v>0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 s="21">
        <v>1</v>
      </c>
      <c r="BA149" s="21">
        <v>1</v>
      </c>
      <c r="BB149" s="21">
        <v>1</v>
      </c>
      <c r="BC149">
        <v>1</v>
      </c>
      <c r="BD149">
        <v>0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0</v>
      </c>
      <c r="BR149" s="21">
        <v>0</v>
      </c>
      <c r="BS149" s="21">
        <v>1</v>
      </c>
    </row>
    <row r="150" spans="1:71">
      <c r="A150" s="44" t="s">
        <v>5078</v>
      </c>
      <c r="B150">
        <v>101</v>
      </c>
      <c r="C150">
        <v>618</v>
      </c>
      <c r="D150">
        <v>2022</v>
      </c>
      <c r="E150">
        <v>-0.89300000000000002</v>
      </c>
      <c r="F150">
        <v>5.0700000000000002E-2</v>
      </c>
      <c r="G150">
        <f t="shared" si="6"/>
        <v>-17.613412228796843</v>
      </c>
      <c r="H150" s="27">
        <v>0</v>
      </c>
      <c r="I150">
        <v>1</v>
      </c>
      <c r="J150">
        <v>115935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0</v>
      </c>
      <c r="T150">
        <v>1</v>
      </c>
      <c r="U150">
        <v>2005</v>
      </c>
      <c r="V150">
        <v>2019</v>
      </c>
      <c r="W150">
        <f t="shared" si="7"/>
        <v>2012</v>
      </c>
      <c r="X150">
        <v>1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 s="21">
        <v>1</v>
      </c>
      <c r="AO150" s="21">
        <v>1</v>
      </c>
      <c r="AP150" s="21">
        <v>1</v>
      </c>
      <c r="AQ150">
        <v>0</v>
      </c>
      <c r="AR150">
        <v>0</v>
      </c>
      <c r="AS150">
        <v>0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 s="21">
        <v>1</v>
      </c>
      <c r="BA150" s="21">
        <v>1</v>
      </c>
      <c r="BB150" s="21">
        <v>1</v>
      </c>
      <c r="BC150">
        <v>1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0</v>
      </c>
      <c r="BN150">
        <v>0</v>
      </c>
      <c r="BO150">
        <v>0</v>
      </c>
      <c r="BP150">
        <v>0</v>
      </c>
      <c r="BQ150">
        <v>0</v>
      </c>
      <c r="BR150" s="21">
        <v>0</v>
      </c>
      <c r="BS150" s="21">
        <v>1</v>
      </c>
    </row>
    <row r="151" spans="1:71">
      <c r="A151" s="44" t="s">
        <v>5078</v>
      </c>
      <c r="B151">
        <v>101</v>
      </c>
      <c r="C151">
        <v>619</v>
      </c>
      <c r="D151">
        <v>2022</v>
      </c>
      <c r="E151">
        <v>-0.91800000000000004</v>
      </c>
      <c r="F151">
        <v>5.8000000000000003E-2</v>
      </c>
      <c r="G151">
        <f t="shared" si="6"/>
        <v>-15.827586206896552</v>
      </c>
      <c r="H151" s="27">
        <v>0</v>
      </c>
      <c r="I151">
        <v>1</v>
      </c>
      <c r="J151">
        <v>104471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0</v>
      </c>
      <c r="T151">
        <v>1</v>
      </c>
      <c r="U151">
        <v>2005</v>
      </c>
      <c r="V151">
        <v>2019</v>
      </c>
      <c r="W151">
        <f t="shared" si="7"/>
        <v>2012</v>
      </c>
      <c r="X151">
        <v>1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 s="21">
        <v>1</v>
      </c>
      <c r="AO151" s="21">
        <v>1</v>
      </c>
      <c r="AP151" s="21">
        <v>1</v>
      </c>
      <c r="AQ151">
        <v>0</v>
      </c>
      <c r="AR151">
        <v>0</v>
      </c>
      <c r="AS151">
        <v>0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 s="21">
        <v>1</v>
      </c>
      <c r="BA151" s="21">
        <v>1</v>
      </c>
      <c r="BB151" s="21">
        <v>1</v>
      </c>
      <c r="BC151">
        <v>1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0</v>
      </c>
      <c r="BR151" s="21">
        <v>0</v>
      </c>
      <c r="BS151" s="21">
        <v>1</v>
      </c>
    </row>
    <row r="152" spans="1:71">
      <c r="A152" s="44" t="s">
        <v>5078</v>
      </c>
      <c r="B152">
        <v>101</v>
      </c>
      <c r="C152">
        <v>620</v>
      </c>
      <c r="D152">
        <v>2022</v>
      </c>
      <c r="E152">
        <v>-0.93600000000000005</v>
      </c>
      <c r="F152">
        <v>6.0499999999999998E-2</v>
      </c>
      <c r="G152">
        <f t="shared" si="6"/>
        <v>-15.471074380165291</v>
      </c>
      <c r="H152" s="27">
        <v>0</v>
      </c>
      <c r="I152">
        <v>1</v>
      </c>
      <c r="J152">
        <v>68851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0</v>
      </c>
      <c r="T152">
        <v>1</v>
      </c>
      <c r="U152">
        <v>2005</v>
      </c>
      <c r="V152">
        <v>2019</v>
      </c>
      <c r="W152">
        <f t="shared" si="7"/>
        <v>2012</v>
      </c>
      <c r="X152">
        <v>1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 s="21">
        <v>1</v>
      </c>
      <c r="AO152" s="21">
        <v>1</v>
      </c>
      <c r="AP152" s="21">
        <v>1</v>
      </c>
      <c r="AQ152">
        <v>0</v>
      </c>
      <c r="AR152">
        <v>0</v>
      </c>
      <c r="AS152">
        <v>0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 s="21">
        <v>1</v>
      </c>
      <c r="BA152" s="21">
        <v>1</v>
      </c>
      <c r="BB152" s="21">
        <v>1</v>
      </c>
      <c r="BC152">
        <v>1</v>
      </c>
      <c r="BD152">
        <v>0</v>
      </c>
      <c r="BE152">
        <v>1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1</v>
      </c>
      <c r="BM152">
        <v>0</v>
      </c>
      <c r="BN152">
        <v>0</v>
      </c>
      <c r="BO152">
        <v>0</v>
      </c>
      <c r="BP152">
        <v>0</v>
      </c>
      <c r="BQ152">
        <v>0</v>
      </c>
      <c r="BR152" s="21">
        <v>0</v>
      </c>
      <c r="BS152" s="21">
        <v>1</v>
      </c>
    </row>
    <row r="153" spans="1:71">
      <c r="A153" s="44" t="s">
        <v>5078</v>
      </c>
      <c r="B153">
        <v>101</v>
      </c>
      <c r="C153">
        <v>621</v>
      </c>
      <c r="D153">
        <v>2022</v>
      </c>
      <c r="E153">
        <v>-0.58699999999999997</v>
      </c>
      <c r="F153">
        <v>0.13700000000000001</v>
      </c>
      <c r="G153">
        <f t="shared" si="6"/>
        <v>-4.2846715328467146</v>
      </c>
      <c r="H153" s="27">
        <v>0</v>
      </c>
      <c r="I153">
        <v>1</v>
      </c>
      <c r="J153">
        <v>133763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1</v>
      </c>
      <c r="R153">
        <v>1</v>
      </c>
      <c r="S153">
        <v>0</v>
      </c>
      <c r="T153">
        <v>1</v>
      </c>
      <c r="U153">
        <v>2005</v>
      </c>
      <c r="V153">
        <v>2019</v>
      </c>
      <c r="W153">
        <f t="shared" si="7"/>
        <v>2012</v>
      </c>
      <c r="X153">
        <v>1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 s="21">
        <v>1</v>
      </c>
      <c r="AO153" s="21">
        <v>1</v>
      </c>
      <c r="AP153" s="21">
        <v>1</v>
      </c>
      <c r="AQ153">
        <v>0</v>
      </c>
      <c r="AR153">
        <v>0</v>
      </c>
      <c r="AS153">
        <v>0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 s="21">
        <v>1</v>
      </c>
      <c r="BA153" s="21">
        <v>1</v>
      </c>
      <c r="BB153" s="21">
        <v>1</v>
      </c>
      <c r="BC153">
        <v>1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</v>
      </c>
      <c r="BM153">
        <v>0</v>
      </c>
      <c r="BN153">
        <v>0</v>
      </c>
      <c r="BO153">
        <v>0</v>
      </c>
      <c r="BP153">
        <v>0</v>
      </c>
      <c r="BQ153">
        <v>0</v>
      </c>
      <c r="BR153" s="21">
        <v>0</v>
      </c>
      <c r="BS153" s="21">
        <v>1</v>
      </c>
    </row>
    <row r="154" spans="1:71">
      <c r="A154" s="44" t="s">
        <v>5078</v>
      </c>
      <c r="B154">
        <v>101</v>
      </c>
      <c r="C154">
        <v>622</v>
      </c>
      <c r="D154">
        <v>2022</v>
      </c>
      <c r="E154">
        <v>-0.71799999999999997</v>
      </c>
      <c r="F154">
        <v>6.7699999999999996E-2</v>
      </c>
      <c r="G154">
        <f t="shared" si="6"/>
        <v>-10.605612998522895</v>
      </c>
      <c r="H154" s="27">
        <v>0</v>
      </c>
      <c r="I154">
        <v>1</v>
      </c>
      <c r="J154">
        <v>119442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1</v>
      </c>
      <c r="S154">
        <v>0</v>
      </c>
      <c r="T154">
        <v>1</v>
      </c>
      <c r="U154">
        <v>2005</v>
      </c>
      <c r="V154">
        <v>2019</v>
      </c>
      <c r="W154">
        <f t="shared" si="7"/>
        <v>2012</v>
      </c>
      <c r="X154">
        <v>1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 s="21">
        <v>1</v>
      </c>
      <c r="AO154" s="21">
        <v>1</v>
      </c>
      <c r="AP154" s="21">
        <v>1</v>
      </c>
      <c r="AQ154">
        <v>0</v>
      </c>
      <c r="AR154">
        <v>0</v>
      </c>
      <c r="AS154">
        <v>0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 s="21">
        <v>1</v>
      </c>
      <c r="BA154" s="21">
        <v>1</v>
      </c>
      <c r="BB154" s="21">
        <v>1</v>
      </c>
      <c r="BC154">
        <v>1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</v>
      </c>
      <c r="BM154">
        <v>0</v>
      </c>
      <c r="BN154">
        <v>0</v>
      </c>
      <c r="BO154">
        <v>0</v>
      </c>
      <c r="BP154">
        <v>0</v>
      </c>
      <c r="BQ154">
        <v>0</v>
      </c>
      <c r="BR154" s="21">
        <v>0</v>
      </c>
      <c r="BS154" s="21">
        <v>1</v>
      </c>
    </row>
    <row r="155" spans="1:71">
      <c r="A155" s="44" t="s">
        <v>5078</v>
      </c>
      <c r="B155">
        <v>101</v>
      </c>
      <c r="C155">
        <v>623</v>
      </c>
      <c r="D155">
        <v>2022</v>
      </c>
      <c r="E155">
        <v>-0.80700000000000005</v>
      </c>
      <c r="F155">
        <v>6.8699999999999997E-2</v>
      </c>
      <c r="G155">
        <f t="shared" si="6"/>
        <v>-11.746724890829695</v>
      </c>
      <c r="H155" s="27">
        <v>0</v>
      </c>
      <c r="I155">
        <v>1</v>
      </c>
      <c r="J155">
        <v>68909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1</v>
      </c>
      <c r="U155">
        <v>2005</v>
      </c>
      <c r="V155">
        <v>2019</v>
      </c>
      <c r="W155">
        <f t="shared" si="7"/>
        <v>2012</v>
      </c>
      <c r="X155">
        <v>1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 s="21">
        <v>1</v>
      </c>
      <c r="AO155" s="21">
        <v>1</v>
      </c>
      <c r="AP155" s="21">
        <v>1</v>
      </c>
      <c r="AQ155">
        <v>0</v>
      </c>
      <c r="AR155">
        <v>0</v>
      </c>
      <c r="AS155">
        <v>0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 s="21">
        <v>1</v>
      </c>
      <c r="BA155" s="21">
        <v>1</v>
      </c>
      <c r="BB155" s="21">
        <v>1</v>
      </c>
      <c r="BC155">
        <v>1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 s="21">
        <v>0</v>
      </c>
      <c r="BS155" s="21">
        <v>1</v>
      </c>
    </row>
    <row r="156" spans="1:71">
      <c r="A156" s="44" t="s">
        <v>5183</v>
      </c>
      <c r="B156">
        <v>105</v>
      </c>
      <c r="C156">
        <v>635</v>
      </c>
      <c r="D156">
        <v>2022</v>
      </c>
      <c r="E156">
        <v>-1.2113</v>
      </c>
      <c r="F156">
        <v>9.9599999999999994E-2</v>
      </c>
      <c r="G156">
        <f t="shared" si="6"/>
        <v>-12.161646586345382</v>
      </c>
      <c r="H156" s="27">
        <v>0</v>
      </c>
      <c r="I156">
        <v>1</v>
      </c>
      <c r="J156">
        <v>1348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2017</v>
      </c>
      <c r="V156">
        <v>2017</v>
      </c>
      <c r="W156">
        <f t="shared" si="7"/>
        <v>2017</v>
      </c>
      <c r="X156">
        <v>1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 s="21">
        <v>1</v>
      </c>
      <c r="AO156" s="21">
        <v>1</v>
      </c>
      <c r="AP156" s="21">
        <v>1</v>
      </c>
      <c r="AQ156">
        <v>1</v>
      </c>
      <c r="AR156">
        <v>0</v>
      </c>
      <c r="AS156">
        <v>1</v>
      </c>
      <c r="AT156">
        <v>0</v>
      </c>
      <c r="AU156">
        <v>0</v>
      </c>
      <c r="AV156">
        <v>1</v>
      </c>
      <c r="AW156">
        <v>0</v>
      </c>
      <c r="AX156">
        <v>1</v>
      </c>
      <c r="AY156">
        <v>1</v>
      </c>
      <c r="AZ156" s="21">
        <v>1</v>
      </c>
      <c r="BA156" s="21">
        <v>1</v>
      </c>
      <c r="BB156" s="21">
        <v>1</v>
      </c>
      <c r="BC156">
        <v>0</v>
      </c>
      <c r="BD156">
        <v>1</v>
      </c>
      <c r="BE156">
        <v>1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 s="21">
        <v>0</v>
      </c>
      <c r="BS156" s="21">
        <v>0</v>
      </c>
    </row>
    <row r="157" spans="1:71">
      <c r="A157" s="44" t="s">
        <v>5183</v>
      </c>
      <c r="B157">
        <v>105</v>
      </c>
      <c r="C157">
        <v>636</v>
      </c>
      <c r="D157">
        <v>2022</v>
      </c>
      <c r="E157">
        <v>-1.0723</v>
      </c>
      <c r="F157">
        <v>9.9199999999999997E-2</v>
      </c>
      <c r="G157">
        <f t="shared" si="6"/>
        <v>-10.809475806451614</v>
      </c>
      <c r="H157" s="27">
        <v>0</v>
      </c>
      <c r="I157">
        <v>1</v>
      </c>
      <c r="J157">
        <v>1251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2017</v>
      </c>
      <c r="V157">
        <v>2017</v>
      </c>
      <c r="W157">
        <f t="shared" si="7"/>
        <v>2017</v>
      </c>
      <c r="X157">
        <v>1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 s="21">
        <v>1</v>
      </c>
      <c r="AO157" s="21">
        <v>1</v>
      </c>
      <c r="AP157" s="21">
        <v>1</v>
      </c>
      <c r="AQ157">
        <v>1</v>
      </c>
      <c r="AR157">
        <v>0</v>
      </c>
      <c r="AS157">
        <v>1</v>
      </c>
      <c r="AT157">
        <v>0</v>
      </c>
      <c r="AU157">
        <v>0</v>
      </c>
      <c r="AV157">
        <v>1</v>
      </c>
      <c r="AW157">
        <v>0</v>
      </c>
      <c r="AX157">
        <v>1</v>
      </c>
      <c r="AY157">
        <v>1</v>
      </c>
      <c r="AZ157" s="21">
        <v>1</v>
      </c>
      <c r="BA157" s="21">
        <v>1</v>
      </c>
      <c r="BB157" s="21">
        <v>1</v>
      </c>
      <c r="BC157">
        <v>0</v>
      </c>
      <c r="BD157">
        <v>1</v>
      </c>
      <c r="BE157">
        <v>1</v>
      </c>
      <c r="BF157">
        <v>1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1</v>
      </c>
      <c r="BN157">
        <v>0</v>
      </c>
      <c r="BO157">
        <v>0</v>
      </c>
      <c r="BP157">
        <v>0</v>
      </c>
      <c r="BQ157">
        <v>0</v>
      </c>
      <c r="BR157" s="21">
        <v>0</v>
      </c>
      <c r="BS157" s="21">
        <v>0</v>
      </c>
    </row>
    <row r="158" spans="1:71">
      <c r="A158" s="44" t="s">
        <v>5183</v>
      </c>
      <c r="B158">
        <v>105</v>
      </c>
      <c r="C158">
        <v>637</v>
      </c>
      <c r="D158">
        <v>2022</v>
      </c>
      <c r="E158">
        <v>-1.4011</v>
      </c>
      <c r="F158">
        <v>9.4E-2</v>
      </c>
      <c r="G158">
        <f t="shared" si="6"/>
        <v>-14.90531914893617</v>
      </c>
      <c r="H158" s="27">
        <v>0</v>
      </c>
      <c r="I158">
        <v>1</v>
      </c>
      <c r="J158">
        <v>1246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2017</v>
      </c>
      <c r="V158">
        <v>2017</v>
      </c>
      <c r="W158">
        <f t="shared" si="7"/>
        <v>2017</v>
      </c>
      <c r="X158">
        <v>1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 s="21">
        <v>1</v>
      </c>
      <c r="AO158" s="21">
        <v>1</v>
      </c>
      <c r="AP158" s="21">
        <v>1</v>
      </c>
      <c r="AQ158">
        <v>1</v>
      </c>
      <c r="AR158">
        <v>0</v>
      </c>
      <c r="AS158">
        <v>1</v>
      </c>
      <c r="AT158">
        <v>0</v>
      </c>
      <c r="AU158">
        <v>0</v>
      </c>
      <c r="AV158">
        <v>1</v>
      </c>
      <c r="AW158">
        <v>0</v>
      </c>
      <c r="AX158">
        <v>1</v>
      </c>
      <c r="AY158">
        <v>1</v>
      </c>
      <c r="AZ158" s="21">
        <v>1</v>
      </c>
      <c r="BA158" s="21">
        <v>1</v>
      </c>
      <c r="BB158" s="21">
        <v>1</v>
      </c>
      <c r="BC158">
        <v>0</v>
      </c>
      <c r="BD158">
        <v>1</v>
      </c>
      <c r="BE158">
        <v>1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0</v>
      </c>
      <c r="BO158">
        <v>0</v>
      </c>
      <c r="BP158">
        <v>0</v>
      </c>
      <c r="BQ158">
        <v>0</v>
      </c>
      <c r="BR158" s="21">
        <v>0</v>
      </c>
      <c r="BS158" s="21">
        <v>0</v>
      </c>
    </row>
    <row r="159" spans="1:71">
      <c r="A159" s="44" t="s">
        <v>4882</v>
      </c>
      <c r="B159">
        <v>106</v>
      </c>
      <c r="C159">
        <v>638</v>
      </c>
      <c r="D159">
        <v>2022</v>
      </c>
      <c r="E159">
        <v>-1.631</v>
      </c>
      <c r="F159">
        <v>2.0199999999999999E-2</v>
      </c>
      <c r="G159">
        <f t="shared" si="6"/>
        <v>-80.742574257425744</v>
      </c>
      <c r="H159" s="27">
        <v>0</v>
      </c>
      <c r="I159">
        <v>1</v>
      </c>
      <c r="J159">
        <v>246654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1</v>
      </c>
      <c r="U159">
        <v>1995</v>
      </c>
      <c r="V159">
        <v>2019</v>
      </c>
      <c r="W159">
        <f t="shared" si="7"/>
        <v>2007</v>
      </c>
      <c r="X159">
        <v>1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 s="21">
        <v>1</v>
      </c>
      <c r="AO159" s="21">
        <v>1</v>
      </c>
      <c r="AP159" s="21">
        <v>1</v>
      </c>
      <c r="AQ159">
        <v>0</v>
      </c>
      <c r="AR159">
        <v>1</v>
      </c>
      <c r="AS159">
        <v>0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 s="21">
        <v>1</v>
      </c>
      <c r="BA159" s="21">
        <v>1</v>
      </c>
      <c r="BB159" s="21">
        <v>1</v>
      </c>
      <c r="BC159">
        <v>1</v>
      </c>
      <c r="BD159">
        <v>1</v>
      </c>
      <c r="BE159">
        <v>1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 s="21">
        <v>0</v>
      </c>
      <c r="BS159" s="21">
        <v>1</v>
      </c>
    </row>
    <row r="160" spans="1:71">
      <c r="A160" s="44" t="s">
        <v>4882</v>
      </c>
      <c r="B160">
        <v>106</v>
      </c>
      <c r="C160">
        <v>639</v>
      </c>
      <c r="D160">
        <v>2022</v>
      </c>
      <c r="E160">
        <v>-1.7589999999999999</v>
      </c>
      <c r="F160">
        <v>6.0400000000000002E-2</v>
      </c>
      <c r="G160">
        <f t="shared" si="6"/>
        <v>-29.122516556291387</v>
      </c>
      <c r="H160" s="27">
        <v>0</v>
      </c>
      <c r="I160">
        <v>1</v>
      </c>
      <c r="J160">
        <v>246787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1995</v>
      </c>
      <c r="V160">
        <v>2019</v>
      </c>
      <c r="W160">
        <f t="shared" si="7"/>
        <v>2007</v>
      </c>
      <c r="X160">
        <v>1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 s="21">
        <v>1</v>
      </c>
      <c r="AO160" s="21">
        <v>1</v>
      </c>
      <c r="AP160" s="21">
        <v>1</v>
      </c>
      <c r="AQ160">
        <v>0</v>
      </c>
      <c r="AR160">
        <v>1</v>
      </c>
      <c r="AS160">
        <v>0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 s="21">
        <v>1</v>
      </c>
      <c r="BA160" s="21">
        <v>1</v>
      </c>
      <c r="BB160" s="21">
        <v>1</v>
      </c>
      <c r="BC160">
        <v>1</v>
      </c>
      <c r="BD160">
        <v>1</v>
      </c>
      <c r="BE160">
        <v>1</v>
      </c>
      <c r="BF160">
        <v>0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 s="21">
        <v>0</v>
      </c>
      <c r="BS160" s="21">
        <v>1</v>
      </c>
    </row>
    <row r="161" spans="1:71">
      <c r="A161" s="44" t="s">
        <v>4882</v>
      </c>
      <c r="B161">
        <v>106</v>
      </c>
      <c r="C161">
        <v>640</v>
      </c>
      <c r="D161">
        <v>2022</v>
      </c>
      <c r="E161">
        <v>-1.631</v>
      </c>
      <c r="F161">
        <v>2.0199999999999999E-2</v>
      </c>
      <c r="G161">
        <f t="shared" si="6"/>
        <v>-80.742574257425744</v>
      </c>
      <c r="H161" s="27">
        <v>0</v>
      </c>
      <c r="I161">
        <v>1</v>
      </c>
      <c r="J161">
        <v>246654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1</v>
      </c>
      <c r="U161">
        <v>1995</v>
      </c>
      <c r="V161">
        <v>2019</v>
      </c>
      <c r="W161">
        <f t="shared" si="7"/>
        <v>2007</v>
      </c>
      <c r="X161">
        <v>1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 s="21">
        <v>1</v>
      </c>
      <c r="AO161" s="21">
        <v>1</v>
      </c>
      <c r="AP161" s="21">
        <v>1</v>
      </c>
      <c r="AQ161">
        <v>0</v>
      </c>
      <c r="AR161">
        <v>1</v>
      </c>
      <c r="AS161">
        <v>0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 s="21">
        <v>1</v>
      </c>
      <c r="BA161" s="21">
        <v>1</v>
      </c>
      <c r="BB161" s="21">
        <v>1</v>
      </c>
      <c r="BC161">
        <v>1</v>
      </c>
      <c r="BD161">
        <v>1</v>
      </c>
      <c r="BE161">
        <v>1</v>
      </c>
      <c r="BF161">
        <v>0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 s="21">
        <v>0</v>
      </c>
      <c r="BS161" s="21">
        <v>1</v>
      </c>
    </row>
    <row r="162" spans="1:71">
      <c r="A162" s="44" t="s">
        <v>4882</v>
      </c>
      <c r="B162">
        <v>106</v>
      </c>
      <c r="C162">
        <v>641</v>
      </c>
      <c r="D162">
        <v>2022</v>
      </c>
      <c r="E162">
        <v>-1.631</v>
      </c>
      <c r="F162">
        <v>2.0199999999999999E-2</v>
      </c>
      <c r="G162">
        <f t="shared" si="6"/>
        <v>-80.742574257425744</v>
      </c>
      <c r="H162" s="27">
        <v>0</v>
      </c>
      <c r="I162">
        <v>1</v>
      </c>
      <c r="J162">
        <v>246787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</v>
      </c>
      <c r="U162">
        <v>1995</v>
      </c>
      <c r="V162">
        <v>2019</v>
      </c>
      <c r="W162">
        <f t="shared" si="7"/>
        <v>2007</v>
      </c>
      <c r="X162">
        <v>1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 s="21">
        <v>1</v>
      </c>
      <c r="AO162" s="21">
        <v>1</v>
      </c>
      <c r="AP162" s="21">
        <v>1</v>
      </c>
      <c r="AQ162">
        <v>0</v>
      </c>
      <c r="AR162">
        <v>1</v>
      </c>
      <c r="AS162">
        <v>0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 s="21">
        <v>1</v>
      </c>
      <c r="BA162" s="21">
        <v>1</v>
      </c>
      <c r="BB162" s="21">
        <v>1</v>
      </c>
      <c r="BC162">
        <v>1</v>
      </c>
      <c r="BD162">
        <v>1</v>
      </c>
      <c r="BE162">
        <v>1</v>
      </c>
      <c r="BF162">
        <v>0</v>
      </c>
      <c r="BG162">
        <v>1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 s="21">
        <v>0</v>
      </c>
      <c r="BS162" s="21">
        <v>1</v>
      </c>
    </row>
    <row r="163" spans="1:71">
      <c r="A163" s="44" t="s">
        <v>5004</v>
      </c>
      <c r="B163">
        <v>107</v>
      </c>
      <c r="C163">
        <v>642</v>
      </c>
      <c r="D163">
        <v>2022</v>
      </c>
      <c r="E163">
        <v>-0.84</v>
      </c>
      <c r="F163">
        <f t="shared" ref="F163:F169" si="8">E163/G163</f>
        <v>8.8983050847457626E-2</v>
      </c>
      <c r="G163">
        <v>-9.44</v>
      </c>
      <c r="H163" s="27">
        <v>0</v>
      </c>
      <c r="I163">
        <v>1</v>
      </c>
      <c r="J163">
        <v>251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2019</v>
      </c>
      <c r="V163">
        <v>2020</v>
      </c>
      <c r="W163">
        <f t="shared" si="7"/>
        <v>2020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 s="21">
        <v>0</v>
      </c>
      <c r="AO163" s="21">
        <v>1</v>
      </c>
      <c r="AP163" s="21">
        <v>0</v>
      </c>
      <c r="AQ163">
        <v>0</v>
      </c>
      <c r="AR163">
        <v>0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</v>
      </c>
      <c r="AZ163" s="21">
        <v>0</v>
      </c>
      <c r="BA163" s="21">
        <v>1</v>
      </c>
      <c r="BB163" s="21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</v>
      </c>
      <c r="BR163" s="21">
        <v>0</v>
      </c>
      <c r="BS163" s="21">
        <v>0</v>
      </c>
    </row>
    <row r="164" spans="1:71">
      <c r="A164" s="44" t="s">
        <v>5004</v>
      </c>
      <c r="B164">
        <v>107</v>
      </c>
      <c r="C164">
        <v>643</v>
      </c>
      <c r="D164">
        <v>2022</v>
      </c>
      <c r="E164">
        <v>-0.8</v>
      </c>
      <c r="F164">
        <f t="shared" si="8"/>
        <v>4.8632218844984809E-2</v>
      </c>
      <c r="G164">
        <v>-16.45</v>
      </c>
      <c r="H164" s="27">
        <v>0</v>
      </c>
      <c r="I164">
        <v>1</v>
      </c>
      <c r="J164">
        <v>251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2019</v>
      </c>
      <c r="V164">
        <v>2020</v>
      </c>
      <c r="W164">
        <f t="shared" si="7"/>
        <v>2020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 s="21">
        <v>0</v>
      </c>
      <c r="AO164" s="21">
        <v>1</v>
      </c>
      <c r="AP164" s="21">
        <v>0</v>
      </c>
      <c r="AQ164">
        <v>0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</v>
      </c>
      <c r="AZ164" s="21">
        <v>0</v>
      </c>
      <c r="BA164" s="21">
        <v>1</v>
      </c>
      <c r="BB164" s="21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</v>
      </c>
      <c r="BR164" s="21">
        <v>0</v>
      </c>
      <c r="BS164" s="21">
        <v>0</v>
      </c>
    </row>
    <row r="165" spans="1:71">
      <c r="A165" s="44" t="s">
        <v>5004</v>
      </c>
      <c r="B165">
        <v>107</v>
      </c>
      <c r="C165">
        <v>644</v>
      </c>
      <c r="D165">
        <v>2022</v>
      </c>
      <c r="E165">
        <v>-0.78900000000000003</v>
      </c>
      <c r="F165">
        <f t="shared" si="8"/>
        <v>5.2564956695536312E-2</v>
      </c>
      <c r="G165">
        <v>-15.01</v>
      </c>
      <c r="H165" s="27">
        <v>0</v>
      </c>
      <c r="I165">
        <v>1</v>
      </c>
      <c r="J165">
        <v>251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2019</v>
      </c>
      <c r="V165">
        <v>2020</v>
      </c>
      <c r="W165">
        <f t="shared" si="7"/>
        <v>2020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 s="21">
        <v>0</v>
      </c>
      <c r="AO165" s="21">
        <v>1</v>
      </c>
      <c r="AP165" s="21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 s="21">
        <v>0</v>
      </c>
      <c r="BA165" s="21">
        <v>1</v>
      </c>
      <c r="BB165" s="21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1</v>
      </c>
      <c r="BR165" s="21">
        <v>0</v>
      </c>
      <c r="BS165" s="21">
        <v>0</v>
      </c>
    </row>
    <row r="166" spans="1:71">
      <c r="A166" s="44" t="s">
        <v>5004</v>
      </c>
      <c r="B166">
        <v>107</v>
      </c>
      <c r="C166">
        <v>645</v>
      </c>
      <c r="D166">
        <v>2022</v>
      </c>
      <c r="E166">
        <v>-0.83599999999999997</v>
      </c>
      <c r="F166">
        <f t="shared" si="8"/>
        <v>8.1640624999999994E-2</v>
      </c>
      <c r="G166">
        <v>-10.24</v>
      </c>
      <c r="H166" s="27">
        <v>0</v>
      </c>
      <c r="I166">
        <v>1</v>
      </c>
      <c r="J166">
        <v>251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2019</v>
      </c>
      <c r="V166">
        <v>2020</v>
      </c>
      <c r="W166">
        <f t="shared" si="7"/>
        <v>2020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 s="21">
        <v>0</v>
      </c>
      <c r="AO166" s="21">
        <v>1</v>
      </c>
      <c r="AP166" s="21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 s="21">
        <v>0</v>
      </c>
      <c r="BA166" s="21">
        <v>1</v>
      </c>
      <c r="BB166" s="21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</v>
      </c>
      <c r="BR166" s="21">
        <v>0</v>
      </c>
      <c r="BS166" s="21">
        <v>0</v>
      </c>
    </row>
    <row r="167" spans="1:71">
      <c r="A167" s="44" t="s">
        <v>5004</v>
      </c>
      <c r="B167">
        <v>107</v>
      </c>
      <c r="C167">
        <v>646</v>
      </c>
      <c r="D167">
        <v>2022</v>
      </c>
      <c r="E167">
        <v>-0.877</v>
      </c>
      <c r="F167">
        <f t="shared" si="8"/>
        <v>5.8041032428855062E-2</v>
      </c>
      <c r="G167">
        <v>-15.11</v>
      </c>
      <c r="H167" s="27">
        <v>0</v>
      </c>
      <c r="I167">
        <v>1</v>
      </c>
      <c r="J167">
        <v>251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2019</v>
      </c>
      <c r="V167">
        <v>2020</v>
      </c>
      <c r="W167">
        <f t="shared" si="7"/>
        <v>2020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 s="21">
        <v>0</v>
      </c>
      <c r="AO167" s="21">
        <v>1</v>
      </c>
      <c r="AP167" s="21">
        <v>0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</v>
      </c>
      <c r="AZ167" s="21">
        <v>0</v>
      </c>
      <c r="BA167" s="21">
        <v>1</v>
      </c>
      <c r="BB167" s="21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</v>
      </c>
      <c r="BM167">
        <v>0</v>
      </c>
      <c r="BN167">
        <v>0</v>
      </c>
      <c r="BO167">
        <v>0</v>
      </c>
      <c r="BP167">
        <v>0</v>
      </c>
      <c r="BQ167">
        <v>1</v>
      </c>
      <c r="BR167" s="21">
        <v>0</v>
      </c>
      <c r="BS167" s="21">
        <v>0</v>
      </c>
    </row>
    <row r="168" spans="1:71">
      <c r="A168" s="44" t="s">
        <v>5004</v>
      </c>
      <c r="B168">
        <v>107</v>
      </c>
      <c r="C168">
        <v>647</v>
      </c>
      <c r="D168">
        <v>2022</v>
      </c>
      <c r="E168">
        <v>-0.84299999999999997</v>
      </c>
      <c r="F168">
        <f t="shared" si="8"/>
        <v>8.2083739045764367E-2</v>
      </c>
      <c r="G168">
        <v>-10.27</v>
      </c>
      <c r="H168" s="27">
        <v>0</v>
      </c>
      <c r="I168">
        <v>1</v>
      </c>
      <c r="J168">
        <v>251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2019</v>
      </c>
      <c r="V168">
        <v>2020</v>
      </c>
      <c r="W168">
        <f t="shared" si="7"/>
        <v>2020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 s="21">
        <v>0</v>
      </c>
      <c r="AO168" s="21">
        <v>1</v>
      </c>
      <c r="AP168" s="21">
        <v>0</v>
      </c>
      <c r="AQ168">
        <v>0</v>
      </c>
      <c r="AR168">
        <v>0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</v>
      </c>
      <c r="AZ168" s="21">
        <v>0</v>
      </c>
      <c r="BA168" s="21">
        <v>1</v>
      </c>
      <c r="BB168" s="21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</v>
      </c>
      <c r="BR168" s="21">
        <v>0</v>
      </c>
      <c r="BS168" s="21">
        <v>0</v>
      </c>
    </row>
    <row r="169" spans="1:71">
      <c r="A169" s="44" t="s">
        <v>5004</v>
      </c>
      <c r="B169">
        <v>107</v>
      </c>
      <c r="C169">
        <v>648</v>
      </c>
      <c r="D169">
        <v>2022</v>
      </c>
      <c r="E169">
        <v>-0.83399999999999996</v>
      </c>
      <c r="F169">
        <f t="shared" si="8"/>
        <v>5.8321678321678318E-2</v>
      </c>
      <c r="G169">
        <v>-14.3</v>
      </c>
      <c r="H169" s="27">
        <v>0</v>
      </c>
      <c r="I169">
        <v>1</v>
      </c>
      <c r="J169">
        <v>251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2019</v>
      </c>
      <c r="V169">
        <v>2020</v>
      </c>
      <c r="W169">
        <f t="shared" si="7"/>
        <v>2020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 s="21">
        <v>0</v>
      </c>
      <c r="AO169" s="21">
        <v>1</v>
      </c>
      <c r="AP169" s="21">
        <v>0</v>
      </c>
      <c r="AQ169">
        <v>0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 s="21">
        <v>0</v>
      </c>
      <c r="BA169" s="21">
        <v>1</v>
      </c>
      <c r="BB169" s="21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1</v>
      </c>
      <c r="BR169" s="21">
        <v>0</v>
      </c>
      <c r="BS169" s="21">
        <v>0</v>
      </c>
    </row>
    <row r="170" spans="1:71">
      <c r="A170" s="44" t="s">
        <v>5245</v>
      </c>
      <c r="B170">
        <v>108</v>
      </c>
      <c r="C170">
        <v>649</v>
      </c>
      <c r="D170">
        <v>2022</v>
      </c>
      <c r="E170">
        <v>-1.7354000000000001</v>
      </c>
      <c r="F170">
        <v>4.8999999999999998E-3</v>
      </c>
      <c r="G170">
        <f t="shared" ref="G170:G201" si="9">E170/F170</f>
        <v>-354.16326530612247</v>
      </c>
      <c r="H170" s="27">
        <v>0</v>
      </c>
      <c r="I170">
        <v>1</v>
      </c>
      <c r="J170">
        <v>300000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1</v>
      </c>
      <c r="S170">
        <v>0</v>
      </c>
      <c r="T170">
        <v>1</v>
      </c>
      <c r="U170">
        <v>1995</v>
      </c>
      <c r="V170">
        <v>2019</v>
      </c>
      <c r="W170">
        <f t="shared" si="7"/>
        <v>2007</v>
      </c>
      <c r="X170">
        <v>1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 s="21">
        <v>1</v>
      </c>
      <c r="AO170" s="21">
        <v>1</v>
      </c>
      <c r="AP170" s="21">
        <v>1</v>
      </c>
      <c r="AQ170">
        <v>0</v>
      </c>
      <c r="AR170">
        <v>0</v>
      </c>
      <c r="AS170">
        <v>0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 s="21">
        <v>1</v>
      </c>
      <c r="BA170" s="21">
        <v>1</v>
      </c>
      <c r="BB170" s="21">
        <v>1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 s="21">
        <v>0</v>
      </c>
      <c r="BS170" s="21">
        <v>0</v>
      </c>
    </row>
    <row r="171" spans="1:71">
      <c r="A171" s="44" t="s">
        <v>4949</v>
      </c>
      <c r="B171">
        <v>109</v>
      </c>
      <c r="C171">
        <v>650</v>
      </c>
      <c r="D171">
        <v>2022</v>
      </c>
      <c r="E171">
        <v>-1.5069999999999999</v>
      </c>
      <c r="F171">
        <v>7.2999999999999995E-2</v>
      </c>
      <c r="G171">
        <f t="shared" si="9"/>
        <v>-20.643835616438356</v>
      </c>
      <c r="H171" s="27">
        <v>0</v>
      </c>
      <c r="I171">
        <v>1</v>
      </c>
      <c r="J171">
        <v>504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2006</v>
      </c>
      <c r="V171">
        <v>2019</v>
      </c>
      <c r="W171">
        <f t="shared" si="7"/>
        <v>2013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 s="21">
        <v>0</v>
      </c>
      <c r="AO171" s="21">
        <v>1</v>
      </c>
      <c r="AP171" s="21">
        <v>0</v>
      </c>
      <c r="AQ171">
        <v>0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0</v>
      </c>
      <c r="AY171">
        <v>1</v>
      </c>
      <c r="AZ171" s="21">
        <v>1</v>
      </c>
      <c r="BA171" s="21">
        <v>1</v>
      </c>
      <c r="BB171" s="21">
        <v>1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0</v>
      </c>
      <c r="BM171">
        <v>1</v>
      </c>
      <c r="BN171">
        <v>0</v>
      </c>
      <c r="BO171">
        <v>0</v>
      </c>
      <c r="BP171">
        <v>0</v>
      </c>
      <c r="BQ171">
        <v>0</v>
      </c>
      <c r="BR171" s="21">
        <v>0</v>
      </c>
      <c r="BS171" s="21">
        <v>0</v>
      </c>
    </row>
    <row r="172" spans="1:71">
      <c r="A172" s="44" t="s">
        <v>4949</v>
      </c>
      <c r="B172">
        <v>109</v>
      </c>
      <c r="C172">
        <v>651</v>
      </c>
      <c r="D172">
        <v>2022</v>
      </c>
      <c r="E172">
        <v>-1.256</v>
      </c>
      <c r="F172">
        <v>0.26800000000000002</v>
      </c>
      <c r="G172">
        <f t="shared" si="9"/>
        <v>-4.6865671641791042</v>
      </c>
      <c r="H172" s="27">
        <v>0</v>
      </c>
      <c r="I172">
        <v>1</v>
      </c>
      <c r="J172">
        <v>504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2006</v>
      </c>
      <c r="V172">
        <v>2019</v>
      </c>
      <c r="W172">
        <f t="shared" si="7"/>
        <v>2013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 s="21">
        <v>0</v>
      </c>
      <c r="AO172" s="21">
        <v>1</v>
      </c>
      <c r="AP172" s="21">
        <v>0</v>
      </c>
      <c r="AQ172">
        <v>0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0</v>
      </c>
      <c r="AY172">
        <v>1</v>
      </c>
      <c r="AZ172" s="21">
        <v>1</v>
      </c>
      <c r="BA172" s="21">
        <v>1</v>
      </c>
      <c r="BB172" s="21">
        <v>1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0</v>
      </c>
      <c r="BR172" s="21">
        <v>0</v>
      </c>
      <c r="BS172" s="21">
        <v>0</v>
      </c>
    </row>
    <row r="173" spans="1:71">
      <c r="A173" s="44" t="s">
        <v>4949</v>
      </c>
      <c r="B173">
        <v>109</v>
      </c>
      <c r="C173">
        <v>652</v>
      </c>
      <c r="D173">
        <v>2022</v>
      </c>
      <c r="E173">
        <v>-2.0590000000000002</v>
      </c>
      <c r="F173">
        <v>0.183</v>
      </c>
      <c r="G173">
        <f t="shared" si="9"/>
        <v>-11.251366120218581</v>
      </c>
      <c r="H173" s="27">
        <v>0</v>
      </c>
      <c r="I173">
        <v>1</v>
      </c>
      <c r="J173">
        <v>140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2006</v>
      </c>
      <c r="V173">
        <v>2019</v>
      </c>
      <c r="W173">
        <f t="shared" si="7"/>
        <v>2013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 s="21">
        <v>0</v>
      </c>
      <c r="AO173" s="21">
        <v>1</v>
      </c>
      <c r="AP173" s="21">
        <v>0</v>
      </c>
      <c r="AQ173">
        <v>0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0</v>
      </c>
      <c r="AY173">
        <v>1</v>
      </c>
      <c r="AZ173" s="21">
        <v>1</v>
      </c>
      <c r="BA173" s="21">
        <v>1</v>
      </c>
      <c r="BB173" s="21">
        <v>1</v>
      </c>
      <c r="BC173">
        <v>0</v>
      </c>
      <c r="BD173">
        <v>0</v>
      </c>
      <c r="BE173">
        <v>0</v>
      </c>
      <c r="BF173">
        <v>1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0</v>
      </c>
      <c r="BM173">
        <v>1</v>
      </c>
      <c r="BN173">
        <v>0</v>
      </c>
      <c r="BO173">
        <v>0</v>
      </c>
      <c r="BP173">
        <v>0</v>
      </c>
      <c r="BQ173">
        <v>0</v>
      </c>
      <c r="BR173" s="21">
        <v>0</v>
      </c>
      <c r="BS173" s="21">
        <v>0</v>
      </c>
    </row>
    <row r="174" spans="1:71">
      <c r="A174" s="44" t="s">
        <v>4949</v>
      </c>
      <c r="B174">
        <v>109</v>
      </c>
      <c r="C174">
        <v>653</v>
      </c>
      <c r="D174">
        <v>2022</v>
      </c>
      <c r="E174">
        <v>-1.653</v>
      </c>
      <c r="F174">
        <v>0.56799999999999995</v>
      </c>
      <c r="G174">
        <f t="shared" si="9"/>
        <v>-2.910211267605634</v>
      </c>
      <c r="H174" s="27">
        <v>0</v>
      </c>
      <c r="I174">
        <v>1</v>
      </c>
      <c r="J174">
        <v>140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2006</v>
      </c>
      <c r="V174">
        <v>2019</v>
      </c>
      <c r="W174">
        <f t="shared" si="7"/>
        <v>2013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 s="21">
        <v>0</v>
      </c>
      <c r="AO174" s="21">
        <v>1</v>
      </c>
      <c r="AP174" s="21">
        <v>0</v>
      </c>
      <c r="AQ174">
        <v>0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0</v>
      </c>
      <c r="AY174">
        <v>1</v>
      </c>
      <c r="AZ174" s="21">
        <v>1</v>
      </c>
      <c r="BA174" s="21">
        <v>1</v>
      </c>
      <c r="BB174" s="21">
        <v>1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0</v>
      </c>
      <c r="BM174">
        <v>1</v>
      </c>
      <c r="BN174">
        <v>0</v>
      </c>
      <c r="BO174">
        <v>0</v>
      </c>
      <c r="BP174">
        <v>0</v>
      </c>
      <c r="BQ174">
        <v>0</v>
      </c>
      <c r="BR174" s="21">
        <v>0</v>
      </c>
      <c r="BS174" s="21">
        <v>0</v>
      </c>
    </row>
    <row r="175" spans="1:71">
      <c r="A175" s="44" t="s">
        <v>4949</v>
      </c>
      <c r="B175">
        <v>109</v>
      </c>
      <c r="C175">
        <v>654</v>
      </c>
      <c r="D175">
        <v>2022</v>
      </c>
      <c r="E175">
        <v>-1.649</v>
      </c>
      <c r="F175">
        <v>0.08</v>
      </c>
      <c r="G175">
        <f t="shared" si="9"/>
        <v>-20.612500000000001</v>
      </c>
      <c r="H175" s="27">
        <v>0</v>
      </c>
      <c r="I175">
        <v>1</v>
      </c>
      <c r="J175">
        <v>364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2006</v>
      </c>
      <c r="V175">
        <v>2019</v>
      </c>
      <c r="W175">
        <f t="shared" si="7"/>
        <v>2013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 s="21">
        <v>0</v>
      </c>
      <c r="AO175" s="21">
        <v>1</v>
      </c>
      <c r="AP175" s="21">
        <v>0</v>
      </c>
      <c r="AQ175">
        <v>0</v>
      </c>
      <c r="AR175">
        <v>1</v>
      </c>
      <c r="AS175">
        <v>1</v>
      </c>
      <c r="AT175">
        <v>0</v>
      </c>
      <c r="AU175">
        <v>0</v>
      </c>
      <c r="AV175">
        <v>1</v>
      </c>
      <c r="AW175">
        <v>0</v>
      </c>
      <c r="AX175">
        <v>0</v>
      </c>
      <c r="AY175">
        <v>1</v>
      </c>
      <c r="AZ175" s="21">
        <v>1</v>
      </c>
      <c r="BA175" s="21">
        <v>1</v>
      </c>
      <c r="BB175" s="21">
        <v>1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0</v>
      </c>
      <c r="BM175">
        <v>1</v>
      </c>
      <c r="BN175">
        <v>0</v>
      </c>
      <c r="BO175">
        <v>0</v>
      </c>
      <c r="BP175">
        <v>0</v>
      </c>
      <c r="BQ175">
        <v>0</v>
      </c>
      <c r="BR175" s="21">
        <v>0</v>
      </c>
      <c r="BS175" s="21">
        <v>0</v>
      </c>
    </row>
    <row r="176" spans="1:71">
      <c r="A176" s="44" t="s">
        <v>4949</v>
      </c>
      <c r="B176">
        <v>109</v>
      </c>
      <c r="C176">
        <v>655</v>
      </c>
      <c r="D176">
        <v>2022</v>
      </c>
      <c r="E176">
        <v>-1.3919999999999999</v>
      </c>
      <c r="F176">
        <v>0.29199999999999998</v>
      </c>
      <c r="G176">
        <f t="shared" si="9"/>
        <v>-4.7671232876712333</v>
      </c>
      <c r="H176" s="27">
        <v>0</v>
      </c>
      <c r="I176">
        <v>1</v>
      </c>
      <c r="J176">
        <v>364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2006</v>
      </c>
      <c r="V176">
        <v>2019</v>
      </c>
      <c r="W176">
        <f t="shared" si="7"/>
        <v>2013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 s="21">
        <v>0</v>
      </c>
      <c r="AO176" s="21">
        <v>1</v>
      </c>
      <c r="AP176" s="21">
        <v>0</v>
      </c>
      <c r="AQ176">
        <v>0</v>
      </c>
      <c r="AR176">
        <v>1</v>
      </c>
      <c r="AS176">
        <v>1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1</v>
      </c>
      <c r="AZ176" s="21">
        <v>1</v>
      </c>
      <c r="BA176" s="21">
        <v>1</v>
      </c>
      <c r="BB176" s="21">
        <v>1</v>
      </c>
      <c r="BC176">
        <v>0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0</v>
      </c>
      <c r="BM176">
        <v>1</v>
      </c>
      <c r="BN176">
        <v>0</v>
      </c>
      <c r="BO176">
        <v>0</v>
      </c>
      <c r="BP176">
        <v>0</v>
      </c>
      <c r="BQ176">
        <v>0</v>
      </c>
      <c r="BR176" s="21">
        <v>0</v>
      </c>
      <c r="BS176" s="21">
        <v>0</v>
      </c>
    </row>
    <row r="177" spans="1:71">
      <c r="A177" s="44" t="s">
        <v>4952</v>
      </c>
      <c r="B177">
        <v>110</v>
      </c>
      <c r="C177">
        <v>656</v>
      </c>
      <c r="D177">
        <v>2022</v>
      </c>
      <c r="E177">
        <v>-1.837</v>
      </c>
      <c r="F177">
        <v>0.10100000000000001</v>
      </c>
      <c r="G177">
        <f t="shared" si="9"/>
        <v>-18.188118811881186</v>
      </c>
      <c r="H177" s="27">
        <v>0</v>
      </c>
      <c r="I177">
        <v>1</v>
      </c>
      <c r="J177">
        <v>588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2017</v>
      </c>
      <c r="V177">
        <v>2019</v>
      </c>
      <c r="W177">
        <f t="shared" si="7"/>
        <v>2018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 s="21">
        <v>0</v>
      </c>
      <c r="AO177" s="21">
        <v>1</v>
      </c>
      <c r="AP177" s="21">
        <v>0</v>
      </c>
      <c r="AQ177">
        <v>1</v>
      </c>
      <c r="AR177">
        <v>0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 s="21">
        <v>1</v>
      </c>
      <c r="BA177" s="21">
        <v>1</v>
      </c>
      <c r="BB177" s="21">
        <v>1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0</v>
      </c>
      <c r="BM177">
        <v>1</v>
      </c>
      <c r="BN177">
        <v>0</v>
      </c>
      <c r="BO177">
        <v>0</v>
      </c>
      <c r="BP177">
        <v>0</v>
      </c>
      <c r="BQ177">
        <v>0</v>
      </c>
      <c r="BR177" s="21">
        <v>0</v>
      </c>
      <c r="BS177" s="21">
        <v>0</v>
      </c>
    </row>
    <row r="178" spans="1:71">
      <c r="A178" s="44" t="s">
        <v>4952</v>
      </c>
      <c r="B178">
        <v>110</v>
      </c>
      <c r="C178">
        <v>657</v>
      </c>
      <c r="D178">
        <v>2022</v>
      </c>
      <c r="E178">
        <v>-1.861</v>
      </c>
      <c r="F178">
        <v>0.16900000000000001</v>
      </c>
      <c r="G178">
        <f t="shared" si="9"/>
        <v>-11.011834319526626</v>
      </c>
      <c r="H178" s="27">
        <v>0</v>
      </c>
      <c r="I178">
        <v>1</v>
      </c>
      <c r="J178">
        <v>588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2017</v>
      </c>
      <c r="V178">
        <v>2019</v>
      </c>
      <c r="W178">
        <f t="shared" si="7"/>
        <v>2018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 s="21">
        <v>0</v>
      </c>
      <c r="AO178" s="21">
        <v>1</v>
      </c>
      <c r="AP178" s="21">
        <v>0</v>
      </c>
      <c r="AQ178">
        <v>1</v>
      </c>
      <c r="AR178">
        <v>0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 s="21">
        <v>1</v>
      </c>
      <c r="BA178" s="21">
        <v>1</v>
      </c>
      <c r="BB178" s="21">
        <v>1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0</v>
      </c>
      <c r="BM178">
        <v>1</v>
      </c>
      <c r="BN178">
        <v>0</v>
      </c>
      <c r="BO178">
        <v>0</v>
      </c>
      <c r="BP178">
        <v>0</v>
      </c>
      <c r="BQ178">
        <v>0</v>
      </c>
      <c r="BR178" s="21">
        <v>0</v>
      </c>
      <c r="BS178" s="21">
        <v>0</v>
      </c>
    </row>
    <row r="179" spans="1:71">
      <c r="A179" s="44" t="s">
        <v>5016</v>
      </c>
      <c r="B179">
        <v>111</v>
      </c>
      <c r="C179">
        <v>658</v>
      </c>
      <c r="D179">
        <v>2022</v>
      </c>
      <c r="E179">
        <v>-0.68899999999999995</v>
      </c>
      <c r="F179">
        <v>1.6E-2</v>
      </c>
      <c r="G179">
        <f t="shared" si="9"/>
        <v>-43.062499999999993</v>
      </c>
      <c r="H179" s="27">
        <v>0</v>
      </c>
      <c r="I179">
        <v>1</v>
      </c>
      <c r="J179">
        <v>714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1994</v>
      </c>
      <c r="V179">
        <v>2017</v>
      </c>
      <c r="W179">
        <f t="shared" si="7"/>
        <v>2006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 s="21">
        <v>0</v>
      </c>
      <c r="AO179" s="21">
        <v>0</v>
      </c>
      <c r="AP179" s="21">
        <v>1</v>
      </c>
      <c r="AQ179">
        <v>1</v>
      </c>
      <c r="AR179">
        <v>0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 s="21">
        <v>1</v>
      </c>
      <c r="BA179" s="21">
        <v>1</v>
      </c>
      <c r="BB179" s="21">
        <v>1</v>
      </c>
      <c r="BC179">
        <v>0</v>
      </c>
      <c r="BD179">
        <v>1</v>
      </c>
      <c r="BE179">
        <v>0</v>
      </c>
      <c r="BF179">
        <v>1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 s="21">
        <v>0</v>
      </c>
      <c r="BS179" s="21">
        <v>0</v>
      </c>
    </row>
    <row r="180" spans="1:71">
      <c r="A180" s="44" t="s">
        <v>5016</v>
      </c>
      <c r="B180">
        <v>111</v>
      </c>
      <c r="C180">
        <v>659</v>
      </c>
      <c r="D180">
        <v>2022</v>
      </c>
      <c r="E180">
        <v>-0.72899999999999998</v>
      </c>
      <c r="F180">
        <v>2.5000000000000001E-2</v>
      </c>
      <c r="G180">
        <f t="shared" si="9"/>
        <v>-29.159999999999997</v>
      </c>
      <c r="H180" s="27">
        <v>0</v>
      </c>
      <c r="I180">
        <v>1</v>
      </c>
      <c r="J180">
        <v>477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</v>
      </c>
      <c r="U180">
        <v>1994</v>
      </c>
      <c r="V180">
        <v>2017</v>
      </c>
      <c r="W180">
        <f t="shared" si="7"/>
        <v>2006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 s="21">
        <v>0</v>
      </c>
      <c r="AO180" s="21">
        <v>0</v>
      </c>
      <c r="AP180" s="21">
        <v>1</v>
      </c>
      <c r="AQ180">
        <v>1</v>
      </c>
      <c r="AR180">
        <v>0</v>
      </c>
      <c r="AS180">
        <v>1</v>
      </c>
      <c r="AT180">
        <v>1</v>
      </c>
      <c r="AU180">
        <v>1</v>
      </c>
      <c r="AV180">
        <v>0</v>
      </c>
      <c r="AW180">
        <v>1</v>
      </c>
      <c r="AX180">
        <v>0</v>
      </c>
      <c r="AY180">
        <v>1</v>
      </c>
      <c r="AZ180" s="21">
        <v>0</v>
      </c>
      <c r="BA180" s="21">
        <v>1</v>
      </c>
      <c r="BB180" s="21">
        <v>1</v>
      </c>
      <c r="BC180">
        <v>0</v>
      </c>
      <c r="BD180">
        <v>1</v>
      </c>
      <c r="BE180">
        <v>0</v>
      </c>
      <c r="BF180">
        <v>1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 s="21">
        <v>0</v>
      </c>
      <c r="BS180" s="21">
        <v>0</v>
      </c>
    </row>
    <row r="181" spans="1:71">
      <c r="A181" s="44" t="s">
        <v>5016</v>
      </c>
      <c r="B181">
        <v>111</v>
      </c>
      <c r="C181">
        <v>660</v>
      </c>
      <c r="D181">
        <v>2022</v>
      </c>
      <c r="E181">
        <v>-0.58699999999999997</v>
      </c>
      <c r="F181">
        <v>2.5999999999999999E-2</v>
      </c>
      <c r="G181">
        <f t="shared" si="9"/>
        <v>-22.576923076923077</v>
      </c>
      <c r="H181" s="27">
        <v>0</v>
      </c>
      <c r="I181">
        <v>1</v>
      </c>
      <c r="J181">
        <v>237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1994</v>
      </c>
      <c r="V181">
        <v>2017</v>
      </c>
      <c r="W181">
        <f t="shared" si="7"/>
        <v>2006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 s="21">
        <v>0</v>
      </c>
      <c r="AO181" s="21">
        <v>0</v>
      </c>
      <c r="AP181" s="21">
        <v>1</v>
      </c>
      <c r="AQ181">
        <v>1</v>
      </c>
      <c r="AR181">
        <v>0</v>
      </c>
      <c r="AS181">
        <v>1</v>
      </c>
      <c r="AT181">
        <v>0</v>
      </c>
      <c r="AU181">
        <v>0</v>
      </c>
      <c r="AV181">
        <v>1</v>
      </c>
      <c r="AW181">
        <v>0</v>
      </c>
      <c r="AX181">
        <v>1</v>
      </c>
      <c r="AY181">
        <v>1</v>
      </c>
      <c r="AZ181" s="21">
        <v>1</v>
      </c>
      <c r="BA181" s="21">
        <v>1</v>
      </c>
      <c r="BB181" s="21">
        <v>0</v>
      </c>
      <c r="BC181">
        <v>0</v>
      </c>
      <c r="BD181">
        <v>1</v>
      </c>
      <c r="BE181">
        <v>0</v>
      </c>
      <c r="BF181">
        <v>1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0</v>
      </c>
      <c r="BN181">
        <v>0</v>
      </c>
      <c r="BO181">
        <v>0</v>
      </c>
      <c r="BP181">
        <v>0</v>
      </c>
      <c r="BQ181">
        <v>0</v>
      </c>
      <c r="BR181" s="21">
        <v>0</v>
      </c>
      <c r="BS181" s="21">
        <v>0</v>
      </c>
    </row>
    <row r="182" spans="1:71">
      <c r="A182" s="44" t="s">
        <v>5016</v>
      </c>
      <c r="B182">
        <v>111</v>
      </c>
      <c r="C182">
        <v>661</v>
      </c>
      <c r="D182">
        <v>2022</v>
      </c>
      <c r="E182">
        <v>-1.4370000000000001</v>
      </c>
      <c r="F182">
        <v>0.121</v>
      </c>
      <c r="G182">
        <f t="shared" si="9"/>
        <v>-11.87603305785124</v>
      </c>
      <c r="H182" s="27">
        <v>0</v>
      </c>
      <c r="I182">
        <v>1</v>
      </c>
      <c r="J182">
        <v>364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1</v>
      </c>
      <c r="U182">
        <v>1994</v>
      </c>
      <c r="V182">
        <v>2017</v>
      </c>
      <c r="W182">
        <f t="shared" si="7"/>
        <v>2006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 s="21">
        <v>0</v>
      </c>
      <c r="AO182" s="21">
        <v>1</v>
      </c>
      <c r="AP182" s="21">
        <v>0</v>
      </c>
      <c r="AQ182">
        <v>1</v>
      </c>
      <c r="AR182">
        <v>0</v>
      </c>
      <c r="AS182">
        <v>1</v>
      </c>
      <c r="AT182">
        <v>1</v>
      </c>
      <c r="AU182">
        <v>1</v>
      </c>
      <c r="AV182">
        <v>0</v>
      </c>
      <c r="AW182">
        <v>1</v>
      </c>
      <c r="AX182">
        <v>0</v>
      </c>
      <c r="AY182">
        <v>1</v>
      </c>
      <c r="AZ182" s="21">
        <v>1</v>
      </c>
      <c r="BA182" s="21">
        <v>1</v>
      </c>
      <c r="BB182" s="21">
        <v>1</v>
      </c>
      <c r="BC182">
        <v>0</v>
      </c>
      <c r="BD182">
        <v>1</v>
      </c>
      <c r="BE182">
        <v>0</v>
      </c>
      <c r="BF182">
        <v>1</v>
      </c>
      <c r="BG182">
        <v>1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0</v>
      </c>
      <c r="BN182">
        <v>0</v>
      </c>
      <c r="BO182">
        <v>0</v>
      </c>
      <c r="BP182">
        <v>0</v>
      </c>
      <c r="BQ182">
        <v>0</v>
      </c>
      <c r="BR182" s="21">
        <v>0</v>
      </c>
      <c r="BS182" s="21">
        <v>0</v>
      </c>
    </row>
    <row r="183" spans="1:71">
      <c r="A183" s="44" t="s">
        <v>5016</v>
      </c>
      <c r="B183">
        <v>111</v>
      </c>
      <c r="C183">
        <v>662</v>
      </c>
      <c r="D183">
        <v>2022</v>
      </c>
      <c r="E183">
        <v>-0.35699999999999998</v>
      </c>
      <c r="F183">
        <v>0.17699999999999999</v>
      </c>
      <c r="G183">
        <f t="shared" si="9"/>
        <v>-2.0169491525423728</v>
      </c>
      <c r="H183" s="27">
        <v>0</v>
      </c>
      <c r="I183">
        <v>1</v>
      </c>
      <c r="J183">
        <v>242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1</v>
      </c>
      <c r="U183">
        <v>1994</v>
      </c>
      <c r="V183">
        <v>2017</v>
      </c>
      <c r="W183">
        <f t="shared" si="7"/>
        <v>2006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 s="21">
        <v>0</v>
      </c>
      <c r="AO183" s="21">
        <v>1</v>
      </c>
      <c r="AP183" s="21">
        <v>0</v>
      </c>
      <c r="AQ183">
        <v>1</v>
      </c>
      <c r="AR183">
        <v>0</v>
      </c>
      <c r="AS183">
        <v>1</v>
      </c>
      <c r="AT183">
        <v>1</v>
      </c>
      <c r="AU183">
        <v>1</v>
      </c>
      <c r="AV183">
        <v>0</v>
      </c>
      <c r="AW183">
        <v>1</v>
      </c>
      <c r="AX183">
        <v>0</v>
      </c>
      <c r="AY183">
        <v>1</v>
      </c>
      <c r="AZ183" s="21">
        <v>0</v>
      </c>
      <c r="BA183" s="21">
        <v>1</v>
      </c>
      <c r="BB183" s="21">
        <v>1</v>
      </c>
      <c r="BC183">
        <v>0</v>
      </c>
      <c r="BD183">
        <v>1</v>
      </c>
      <c r="BE183">
        <v>0</v>
      </c>
      <c r="BF183">
        <v>1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 s="21">
        <v>0</v>
      </c>
      <c r="BS183" s="21">
        <v>0</v>
      </c>
    </row>
    <row r="184" spans="1:71">
      <c r="A184" s="44" t="s">
        <v>5016</v>
      </c>
      <c r="B184">
        <v>111</v>
      </c>
      <c r="C184">
        <v>663</v>
      </c>
      <c r="D184">
        <v>2022</v>
      </c>
      <c r="E184">
        <v>-2.323</v>
      </c>
      <c r="F184">
        <v>9.9000000000000005E-2</v>
      </c>
      <c r="G184">
        <f t="shared" si="9"/>
        <v>-23.464646464646464</v>
      </c>
      <c r="H184" s="27">
        <v>0</v>
      </c>
      <c r="I184">
        <v>1</v>
      </c>
      <c r="J184">
        <v>122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1</v>
      </c>
      <c r="U184">
        <v>1994</v>
      </c>
      <c r="V184">
        <v>2017</v>
      </c>
      <c r="W184">
        <f t="shared" si="7"/>
        <v>2006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 s="21">
        <v>0</v>
      </c>
      <c r="AO184" s="21">
        <v>1</v>
      </c>
      <c r="AP184" s="21">
        <v>0</v>
      </c>
      <c r="AQ184">
        <v>1</v>
      </c>
      <c r="AR184">
        <v>0</v>
      </c>
      <c r="AS184">
        <v>1</v>
      </c>
      <c r="AT184">
        <v>0</v>
      </c>
      <c r="AU184">
        <v>0</v>
      </c>
      <c r="AV184">
        <v>0</v>
      </c>
      <c r="AW184">
        <v>1</v>
      </c>
      <c r="AX184">
        <v>0</v>
      </c>
      <c r="AY184">
        <v>1</v>
      </c>
      <c r="AZ184" s="21">
        <v>1</v>
      </c>
      <c r="BA184" s="21">
        <v>1</v>
      </c>
      <c r="BB184" s="21">
        <v>0</v>
      </c>
      <c r="BC184">
        <v>0</v>
      </c>
      <c r="BD184">
        <v>1</v>
      </c>
      <c r="BE184">
        <v>0</v>
      </c>
      <c r="BF184">
        <v>1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0</v>
      </c>
      <c r="BR184" s="21">
        <v>0</v>
      </c>
      <c r="BS184" s="21">
        <v>0</v>
      </c>
    </row>
    <row r="185" spans="1:71">
      <c r="A185" s="44" t="s">
        <v>5016</v>
      </c>
      <c r="B185">
        <v>111</v>
      </c>
      <c r="C185">
        <v>664</v>
      </c>
      <c r="D185">
        <v>2022</v>
      </c>
      <c r="E185">
        <v>-0.79200000000000004</v>
      </c>
      <c r="F185">
        <v>2.4E-2</v>
      </c>
      <c r="G185">
        <f t="shared" si="9"/>
        <v>-33</v>
      </c>
      <c r="H185" s="27">
        <v>0</v>
      </c>
      <c r="I185">
        <v>1</v>
      </c>
      <c r="J185">
        <v>714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1</v>
      </c>
      <c r="U185">
        <v>1994</v>
      </c>
      <c r="V185">
        <v>2017</v>
      </c>
      <c r="W185">
        <f t="shared" si="7"/>
        <v>2006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 s="21">
        <v>0</v>
      </c>
      <c r="AO185" s="21">
        <v>0</v>
      </c>
      <c r="AP185" s="21">
        <v>1</v>
      </c>
      <c r="AQ185">
        <v>1</v>
      </c>
      <c r="AR185">
        <v>0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 s="21">
        <v>1</v>
      </c>
      <c r="BA185" s="21">
        <v>1</v>
      </c>
      <c r="BB185" s="21">
        <v>1</v>
      </c>
      <c r="BC185">
        <v>0</v>
      </c>
      <c r="BD185">
        <v>1</v>
      </c>
      <c r="BE185">
        <v>0</v>
      </c>
      <c r="BF185">
        <v>1</v>
      </c>
      <c r="BG185">
        <v>1</v>
      </c>
      <c r="BH185">
        <v>0</v>
      </c>
      <c r="BI185">
        <v>0</v>
      </c>
      <c r="BJ185">
        <v>0</v>
      </c>
      <c r="BK185">
        <v>0</v>
      </c>
      <c r="BL185">
        <v>1</v>
      </c>
      <c r="BM185">
        <v>0</v>
      </c>
      <c r="BN185">
        <v>0</v>
      </c>
      <c r="BO185">
        <v>0</v>
      </c>
      <c r="BP185">
        <v>0</v>
      </c>
      <c r="BQ185">
        <v>0</v>
      </c>
      <c r="BR185" s="21">
        <v>0</v>
      </c>
      <c r="BS185" s="21">
        <v>0</v>
      </c>
    </row>
    <row r="186" spans="1:71">
      <c r="A186" s="44" t="s">
        <v>5016</v>
      </c>
      <c r="B186">
        <v>111</v>
      </c>
      <c r="C186">
        <v>665</v>
      </c>
      <c r="D186">
        <v>2022</v>
      </c>
      <c r="E186">
        <v>-0.82</v>
      </c>
      <c r="F186">
        <v>2.4E-2</v>
      </c>
      <c r="G186">
        <f t="shared" si="9"/>
        <v>-34.166666666666664</v>
      </c>
      <c r="H186" s="27">
        <v>0</v>
      </c>
      <c r="I186">
        <v>1</v>
      </c>
      <c r="J186">
        <v>477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1</v>
      </c>
      <c r="U186">
        <v>1994</v>
      </c>
      <c r="V186">
        <v>2017</v>
      </c>
      <c r="W186">
        <f t="shared" si="7"/>
        <v>2006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 s="21">
        <v>0</v>
      </c>
      <c r="AO186" s="21">
        <v>0</v>
      </c>
      <c r="AP186" s="21">
        <v>1</v>
      </c>
      <c r="AQ186">
        <v>1</v>
      </c>
      <c r="AR186">
        <v>0</v>
      </c>
      <c r="AS186">
        <v>1</v>
      </c>
      <c r="AT186">
        <v>1</v>
      </c>
      <c r="AU186">
        <v>1</v>
      </c>
      <c r="AV186">
        <v>0</v>
      </c>
      <c r="AW186">
        <v>1</v>
      </c>
      <c r="AX186">
        <v>0</v>
      </c>
      <c r="AY186">
        <v>1</v>
      </c>
      <c r="AZ186" s="21">
        <v>0</v>
      </c>
      <c r="BA186" s="21">
        <v>1</v>
      </c>
      <c r="BB186" s="21">
        <v>1</v>
      </c>
      <c r="BC186">
        <v>0</v>
      </c>
      <c r="BD186">
        <v>1</v>
      </c>
      <c r="BE186">
        <v>0</v>
      </c>
      <c r="BF186">
        <v>1</v>
      </c>
      <c r="BG186">
        <v>1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0</v>
      </c>
      <c r="BN186">
        <v>0</v>
      </c>
      <c r="BO186">
        <v>0</v>
      </c>
      <c r="BP186">
        <v>0</v>
      </c>
      <c r="BQ186">
        <v>0</v>
      </c>
      <c r="BR186" s="21">
        <v>0</v>
      </c>
      <c r="BS186" s="21">
        <v>0</v>
      </c>
    </row>
    <row r="187" spans="1:71">
      <c r="A187" s="44" t="s">
        <v>5016</v>
      </c>
      <c r="B187">
        <v>111</v>
      </c>
      <c r="C187">
        <v>666</v>
      </c>
      <c r="D187">
        <v>2022</v>
      </c>
      <c r="E187">
        <v>-0.63</v>
      </c>
      <c r="F187">
        <v>2.8000000000000001E-2</v>
      </c>
      <c r="G187">
        <f t="shared" si="9"/>
        <v>-22.5</v>
      </c>
      <c r="H187" s="27">
        <v>0</v>
      </c>
      <c r="I187">
        <v>1</v>
      </c>
      <c r="J187">
        <v>237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1</v>
      </c>
      <c r="U187">
        <v>1994</v>
      </c>
      <c r="V187">
        <v>2017</v>
      </c>
      <c r="W187">
        <f t="shared" si="7"/>
        <v>2006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 s="21">
        <v>0</v>
      </c>
      <c r="AO187" s="21">
        <v>0</v>
      </c>
      <c r="AP187" s="21">
        <v>1</v>
      </c>
      <c r="AQ187">
        <v>1</v>
      </c>
      <c r="AR187">
        <v>0</v>
      </c>
      <c r="AS187">
        <v>1</v>
      </c>
      <c r="AT187">
        <v>0</v>
      </c>
      <c r="AU187">
        <v>0</v>
      </c>
      <c r="AV187">
        <v>1</v>
      </c>
      <c r="AW187">
        <v>0</v>
      </c>
      <c r="AX187">
        <v>1</v>
      </c>
      <c r="AY187">
        <v>1</v>
      </c>
      <c r="AZ187" s="21">
        <v>1</v>
      </c>
      <c r="BA187" s="21">
        <v>1</v>
      </c>
      <c r="BB187" s="21">
        <v>0</v>
      </c>
      <c r="BC187">
        <v>0</v>
      </c>
      <c r="BD187">
        <v>1</v>
      </c>
      <c r="BE187">
        <v>0</v>
      </c>
      <c r="BF187">
        <v>1</v>
      </c>
      <c r="BG187">
        <v>1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0</v>
      </c>
      <c r="BN187">
        <v>0</v>
      </c>
      <c r="BO187">
        <v>0</v>
      </c>
      <c r="BP187">
        <v>0</v>
      </c>
      <c r="BQ187">
        <v>0</v>
      </c>
      <c r="BR187" s="21">
        <v>0</v>
      </c>
      <c r="BS187" s="21">
        <v>0</v>
      </c>
    </row>
    <row r="188" spans="1:71">
      <c r="A188" s="44" t="s">
        <v>5016</v>
      </c>
      <c r="B188">
        <v>111</v>
      </c>
      <c r="C188">
        <v>667</v>
      </c>
      <c r="D188">
        <v>2022</v>
      </c>
      <c r="E188">
        <v>-1.371</v>
      </c>
      <c r="F188">
        <v>6.2E-2</v>
      </c>
      <c r="G188">
        <f t="shared" si="9"/>
        <v>-22.112903225806452</v>
      </c>
      <c r="H188" s="27">
        <v>0</v>
      </c>
      <c r="I188">
        <v>1</v>
      </c>
      <c r="J188">
        <v>364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1</v>
      </c>
      <c r="U188">
        <v>1994</v>
      </c>
      <c r="V188">
        <v>2017</v>
      </c>
      <c r="W188">
        <f t="shared" si="7"/>
        <v>2006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 s="21">
        <v>0</v>
      </c>
      <c r="AO188" s="21">
        <v>1</v>
      </c>
      <c r="AP188" s="21">
        <v>0</v>
      </c>
      <c r="AQ188">
        <v>1</v>
      </c>
      <c r="AR188">
        <v>0</v>
      </c>
      <c r="AS188">
        <v>1</v>
      </c>
      <c r="AT188">
        <v>1</v>
      </c>
      <c r="AU188">
        <v>1</v>
      </c>
      <c r="AV188">
        <v>0</v>
      </c>
      <c r="AW188">
        <v>1</v>
      </c>
      <c r="AX188">
        <v>0</v>
      </c>
      <c r="AY188">
        <v>1</v>
      </c>
      <c r="AZ188" s="21">
        <v>1</v>
      </c>
      <c r="BA188" s="21">
        <v>1</v>
      </c>
      <c r="BB188" s="21">
        <v>1</v>
      </c>
      <c r="BC188">
        <v>0</v>
      </c>
      <c r="BD188">
        <v>1</v>
      </c>
      <c r="BE188">
        <v>0</v>
      </c>
      <c r="BF188">
        <v>1</v>
      </c>
      <c r="BG188">
        <v>1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0</v>
      </c>
      <c r="BR188" s="21">
        <v>0</v>
      </c>
      <c r="BS188" s="21">
        <v>0</v>
      </c>
    </row>
    <row r="189" spans="1:71">
      <c r="A189" s="18" t="s">
        <v>5016</v>
      </c>
      <c r="B189">
        <v>111</v>
      </c>
      <c r="C189">
        <v>668</v>
      </c>
      <c r="D189">
        <v>2022</v>
      </c>
      <c r="E189">
        <v>-0.56200000000000006</v>
      </c>
      <c r="F189">
        <v>0.21</v>
      </c>
      <c r="G189">
        <f t="shared" si="9"/>
        <v>-2.6761904761904765</v>
      </c>
      <c r="H189" s="27">
        <v>0</v>
      </c>
      <c r="I189">
        <v>1</v>
      </c>
      <c r="J189">
        <v>242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1</v>
      </c>
      <c r="U189">
        <v>1994</v>
      </c>
      <c r="V189">
        <v>2017</v>
      </c>
      <c r="W189">
        <f t="shared" si="7"/>
        <v>2006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 s="21">
        <v>0</v>
      </c>
      <c r="AO189" s="21">
        <v>1</v>
      </c>
      <c r="AP189" s="21">
        <v>0</v>
      </c>
      <c r="AQ189">
        <v>1</v>
      </c>
      <c r="AR189">
        <v>0</v>
      </c>
      <c r="AS189">
        <v>1</v>
      </c>
      <c r="AT189">
        <v>1</v>
      </c>
      <c r="AU189">
        <v>1</v>
      </c>
      <c r="AV189">
        <v>0</v>
      </c>
      <c r="AW189">
        <v>1</v>
      </c>
      <c r="AX189">
        <v>0</v>
      </c>
      <c r="AY189">
        <v>1</v>
      </c>
      <c r="AZ189" s="21">
        <v>0</v>
      </c>
      <c r="BA189" s="21">
        <v>1</v>
      </c>
      <c r="BB189" s="21">
        <v>1</v>
      </c>
      <c r="BC189">
        <v>0</v>
      </c>
      <c r="BD189">
        <v>1</v>
      </c>
      <c r="BE189">
        <v>0</v>
      </c>
      <c r="BF189">
        <v>1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1</v>
      </c>
      <c r="BM189">
        <v>0</v>
      </c>
      <c r="BN189">
        <v>0</v>
      </c>
      <c r="BO189">
        <v>0</v>
      </c>
      <c r="BP189">
        <v>0</v>
      </c>
      <c r="BQ189">
        <v>0</v>
      </c>
      <c r="BR189" s="21">
        <v>0</v>
      </c>
      <c r="BS189" s="21">
        <v>0</v>
      </c>
    </row>
    <row r="190" spans="1:71">
      <c r="A190" s="18" t="s">
        <v>5016</v>
      </c>
      <c r="B190">
        <v>111</v>
      </c>
      <c r="C190">
        <v>669</v>
      </c>
      <c r="D190">
        <v>2022</v>
      </c>
      <c r="E190">
        <v>-2.06</v>
      </c>
      <c r="F190">
        <v>0.11600000000000001</v>
      </c>
      <c r="G190">
        <f t="shared" si="9"/>
        <v>-17.758620689655171</v>
      </c>
      <c r="H190" s="27">
        <v>0</v>
      </c>
      <c r="I190">
        <v>1</v>
      </c>
      <c r="J190">
        <v>122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1994</v>
      </c>
      <c r="V190">
        <v>2017</v>
      </c>
      <c r="W190">
        <f t="shared" si="7"/>
        <v>2006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 s="21">
        <v>0</v>
      </c>
      <c r="AO190" s="21">
        <v>1</v>
      </c>
      <c r="AP190" s="21">
        <v>0</v>
      </c>
      <c r="AQ190">
        <v>1</v>
      </c>
      <c r="AR190">
        <v>0</v>
      </c>
      <c r="AS190">
        <v>1</v>
      </c>
      <c r="AT190">
        <v>0</v>
      </c>
      <c r="AU190">
        <v>0</v>
      </c>
      <c r="AV190">
        <v>0</v>
      </c>
      <c r="AW190">
        <v>1</v>
      </c>
      <c r="AX190">
        <v>0</v>
      </c>
      <c r="AY190">
        <v>1</v>
      </c>
      <c r="AZ190" s="21">
        <v>1</v>
      </c>
      <c r="BA190" s="21">
        <v>1</v>
      </c>
      <c r="BB190" s="21">
        <v>0</v>
      </c>
      <c r="BC190">
        <v>0</v>
      </c>
      <c r="BD190">
        <v>1</v>
      </c>
      <c r="BE190">
        <v>0</v>
      </c>
      <c r="BF190">
        <v>1</v>
      </c>
      <c r="BG190">
        <v>1</v>
      </c>
      <c r="BH190">
        <v>0</v>
      </c>
      <c r="BI190">
        <v>0</v>
      </c>
      <c r="BJ190">
        <v>0</v>
      </c>
      <c r="BK190">
        <v>0</v>
      </c>
      <c r="BL190">
        <v>1</v>
      </c>
      <c r="BM190">
        <v>0</v>
      </c>
      <c r="BN190">
        <v>0</v>
      </c>
      <c r="BO190">
        <v>0</v>
      </c>
      <c r="BP190">
        <v>0</v>
      </c>
      <c r="BQ190">
        <v>0</v>
      </c>
      <c r="BR190" s="21">
        <v>0</v>
      </c>
      <c r="BS190" s="21">
        <v>0</v>
      </c>
    </row>
    <row r="191" spans="1:71">
      <c r="A191" s="1" t="s">
        <v>5016</v>
      </c>
      <c r="B191">
        <v>111</v>
      </c>
      <c r="C191">
        <v>670</v>
      </c>
      <c r="D191">
        <v>2022</v>
      </c>
      <c r="E191">
        <v>-0.71699999999999997</v>
      </c>
      <c r="F191">
        <v>1.7999999999999999E-2</v>
      </c>
      <c r="G191">
        <f t="shared" si="9"/>
        <v>-39.833333333333336</v>
      </c>
      <c r="H191" s="27">
        <v>0</v>
      </c>
      <c r="I191">
        <v>1</v>
      </c>
      <c r="J191">
        <v>714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1</v>
      </c>
      <c r="U191">
        <v>1994</v>
      </c>
      <c r="V191">
        <v>2017</v>
      </c>
      <c r="W191">
        <f t="shared" si="7"/>
        <v>2006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 s="21">
        <v>0</v>
      </c>
      <c r="AO191" s="21">
        <v>0</v>
      </c>
      <c r="AP191" s="21">
        <v>1</v>
      </c>
      <c r="AQ191">
        <v>1</v>
      </c>
      <c r="AR191">
        <v>0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 s="21">
        <v>1</v>
      </c>
      <c r="BA191" s="21">
        <v>1</v>
      </c>
      <c r="BB191" s="21">
        <v>1</v>
      </c>
      <c r="BC191">
        <v>0</v>
      </c>
      <c r="BD191">
        <v>1</v>
      </c>
      <c r="BE191">
        <v>0</v>
      </c>
      <c r="BF191">
        <v>1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1</v>
      </c>
      <c r="BM191">
        <v>0</v>
      </c>
      <c r="BN191">
        <v>0</v>
      </c>
      <c r="BO191">
        <v>0</v>
      </c>
      <c r="BP191">
        <v>0</v>
      </c>
      <c r="BQ191">
        <v>0</v>
      </c>
      <c r="BR191" s="21">
        <v>0</v>
      </c>
      <c r="BS191" s="21">
        <v>0</v>
      </c>
    </row>
    <row r="192" spans="1:71">
      <c r="A192" s="1" t="s">
        <v>5016</v>
      </c>
      <c r="B192">
        <v>111</v>
      </c>
      <c r="C192">
        <v>671</v>
      </c>
      <c r="D192">
        <v>2022</v>
      </c>
      <c r="E192">
        <v>-0.76500000000000001</v>
      </c>
      <c r="F192">
        <v>2.8000000000000001E-2</v>
      </c>
      <c r="G192">
        <f t="shared" si="9"/>
        <v>-27.321428571428573</v>
      </c>
      <c r="H192" s="27">
        <v>0</v>
      </c>
      <c r="I192">
        <v>1</v>
      </c>
      <c r="J192">
        <v>477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1994</v>
      </c>
      <c r="V192">
        <v>2017</v>
      </c>
      <c r="W192">
        <f t="shared" si="7"/>
        <v>2006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 s="21">
        <v>0</v>
      </c>
      <c r="AO192" s="21">
        <v>0</v>
      </c>
      <c r="AP192" s="21">
        <v>1</v>
      </c>
      <c r="AQ192">
        <v>1</v>
      </c>
      <c r="AR192">
        <v>0</v>
      </c>
      <c r="AS192">
        <v>1</v>
      </c>
      <c r="AT192">
        <v>1</v>
      </c>
      <c r="AU192">
        <v>1</v>
      </c>
      <c r="AV192">
        <v>0</v>
      </c>
      <c r="AW192">
        <v>1</v>
      </c>
      <c r="AX192">
        <v>0</v>
      </c>
      <c r="AY192">
        <v>1</v>
      </c>
      <c r="AZ192" s="21">
        <v>0</v>
      </c>
      <c r="BA192" s="21">
        <v>1</v>
      </c>
      <c r="BB192" s="21">
        <v>1</v>
      </c>
      <c r="BC192">
        <v>0</v>
      </c>
      <c r="BD192">
        <v>1</v>
      </c>
      <c r="BE192">
        <v>0</v>
      </c>
      <c r="BF192">
        <v>1</v>
      </c>
      <c r="BG192">
        <v>1</v>
      </c>
      <c r="BH192">
        <v>0</v>
      </c>
      <c r="BI192">
        <v>0</v>
      </c>
      <c r="BJ192">
        <v>0</v>
      </c>
      <c r="BK192">
        <v>0</v>
      </c>
      <c r="BL192">
        <v>1</v>
      </c>
      <c r="BM192">
        <v>0</v>
      </c>
      <c r="BN192">
        <v>0</v>
      </c>
      <c r="BO192">
        <v>0</v>
      </c>
      <c r="BP192">
        <v>0</v>
      </c>
      <c r="BQ192">
        <v>0</v>
      </c>
      <c r="BR192" s="21">
        <v>0</v>
      </c>
      <c r="BS192" s="21">
        <v>0</v>
      </c>
    </row>
    <row r="193" spans="1:71">
      <c r="A193" s="18" t="s">
        <v>5016</v>
      </c>
      <c r="B193">
        <v>111</v>
      </c>
      <c r="C193">
        <v>672</v>
      </c>
      <c r="D193">
        <v>2022</v>
      </c>
      <c r="E193">
        <v>-0.58299999999999996</v>
      </c>
      <c r="F193">
        <v>2.5999999999999999E-2</v>
      </c>
      <c r="G193">
        <f t="shared" si="9"/>
        <v>-22.423076923076923</v>
      </c>
      <c r="H193" s="27">
        <v>0</v>
      </c>
      <c r="I193">
        <v>1</v>
      </c>
      <c r="J193">
        <v>237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1</v>
      </c>
      <c r="U193">
        <v>1994</v>
      </c>
      <c r="V193">
        <v>2017</v>
      </c>
      <c r="W193">
        <f t="shared" si="7"/>
        <v>2006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 s="21">
        <v>0</v>
      </c>
      <c r="AO193" s="21">
        <v>0</v>
      </c>
      <c r="AP193" s="21">
        <v>1</v>
      </c>
      <c r="AQ193">
        <v>1</v>
      </c>
      <c r="AR193">
        <v>0</v>
      </c>
      <c r="AS193">
        <v>1</v>
      </c>
      <c r="AT193">
        <v>0</v>
      </c>
      <c r="AU193">
        <v>0</v>
      </c>
      <c r="AV193">
        <v>1</v>
      </c>
      <c r="AW193">
        <v>0</v>
      </c>
      <c r="AX193">
        <v>1</v>
      </c>
      <c r="AY193">
        <v>1</v>
      </c>
      <c r="AZ193" s="21">
        <v>1</v>
      </c>
      <c r="BA193" s="21">
        <v>1</v>
      </c>
      <c r="BB193" s="21">
        <v>0</v>
      </c>
      <c r="BC193">
        <v>0</v>
      </c>
      <c r="BD193">
        <v>1</v>
      </c>
      <c r="BE193">
        <v>0</v>
      </c>
      <c r="BF193">
        <v>1</v>
      </c>
      <c r="BG193">
        <v>1</v>
      </c>
      <c r="BH193">
        <v>0</v>
      </c>
      <c r="BI193">
        <v>0</v>
      </c>
      <c r="BJ193">
        <v>0</v>
      </c>
      <c r="BK193">
        <v>0</v>
      </c>
      <c r="BL193">
        <v>1</v>
      </c>
      <c r="BM193">
        <v>0</v>
      </c>
      <c r="BN193">
        <v>0</v>
      </c>
      <c r="BO193">
        <v>0</v>
      </c>
      <c r="BP193">
        <v>0</v>
      </c>
      <c r="BQ193">
        <v>0</v>
      </c>
      <c r="BR193" s="21">
        <v>0</v>
      </c>
      <c r="BS193" s="21">
        <v>0</v>
      </c>
    </row>
    <row r="194" spans="1:71">
      <c r="A194" s="18" t="s">
        <v>5016</v>
      </c>
      <c r="B194">
        <v>111</v>
      </c>
      <c r="C194">
        <v>673</v>
      </c>
      <c r="D194">
        <v>2022</v>
      </c>
      <c r="E194">
        <v>-1.4670000000000001</v>
      </c>
      <c r="F194">
        <v>0.122</v>
      </c>
      <c r="G194">
        <f t="shared" si="9"/>
        <v>-12.024590163934427</v>
      </c>
      <c r="H194" s="27">
        <v>0</v>
      </c>
      <c r="I194">
        <v>1</v>
      </c>
      <c r="J194">
        <v>364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1994</v>
      </c>
      <c r="V194">
        <v>2017</v>
      </c>
      <c r="W194">
        <f t="shared" ref="W194:W257" si="10">ROUND(AVERAGE(U194:V194), 0)</f>
        <v>2006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 s="21">
        <v>0</v>
      </c>
      <c r="AO194" s="21">
        <v>1</v>
      </c>
      <c r="AP194" s="21">
        <v>0</v>
      </c>
      <c r="AQ194">
        <v>1</v>
      </c>
      <c r="AR194">
        <v>0</v>
      </c>
      <c r="AS194">
        <v>1</v>
      </c>
      <c r="AT194">
        <v>1</v>
      </c>
      <c r="AU194">
        <v>1</v>
      </c>
      <c r="AV194">
        <v>0</v>
      </c>
      <c r="AW194">
        <v>1</v>
      </c>
      <c r="AX194">
        <v>0</v>
      </c>
      <c r="AY194">
        <v>1</v>
      </c>
      <c r="AZ194" s="21">
        <v>1</v>
      </c>
      <c r="BA194" s="21">
        <v>1</v>
      </c>
      <c r="BB194" s="21">
        <v>1</v>
      </c>
      <c r="BC194">
        <v>0</v>
      </c>
      <c r="BD194">
        <v>1</v>
      </c>
      <c r="BE194">
        <v>0</v>
      </c>
      <c r="BF194">
        <v>1</v>
      </c>
      <c r="BG194">
        <v>1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0</v>
      </c>
      <c r="BR194" s="21">
        <v>0</v>
      </c>
      <c r="BS194" s="21">
        <v>0</v>
      </c>
    </row>
    <row r="195" spans="1:71">
      <c r="A195" s="18" t="s">
        <v>5016</v>
      </c>
      <c r="B195">
        <v>111</v>
      </c>
      <c r="C195">
        <v>674</v>
      </c>
      <c r="D195">
        <v>2022</v>
      </c>
      <c r="E195">
        <v>-0.35399999999999998</v>
      </c>
      <c r="F195">
        <v>0.17899999999999999</v>
      </c>
      <c r="G195">
        <f t="shared" si="9"/>
        <v>-1.9776536312849162</v>
      </c>
      <c r="H195" s="27">
        <v>0</v>
      </c>
      <c r="I195">
        <v>1</v>
      </c>
      <c r="J195">
        <v>242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1</v>
      </c>
      <c r="U195">
        <v>1994</v>
      </c>
      <c r="V195">
        <v>2017</v>
      </c>
      <c r="W195">
        <f t="shared" si="10"/>
        <v>2006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 s="21">
        <v>0</v>
      </c>
      <c r="AO195" s="21">
        <v>1</v>
      </c>
      <c r="AP195" s="21">
        <v>0</v>
      </c>
      <c r="AQ195">
        <v>1</v>
      </c>
      <c r="AR195">
        <v>0</v>
      </c>
      <c r="AS195">
        <v>1</v>
      </c>
      <c r="AT195">
        <v>1</v>
      </c>
      <c r="AU195">
        <v>1</v>
      </c>
      <c r="AV195">
        <v>0</v>
      </c>
      <c r="AW195">
        <v>1</v>
      </c>
      <c r="AX195">
        <v>0</v>
      </c>
      <c r="AY195">
        <v>1</v>
      </c>
      <c r="AZ195" s="21">
        <v>0</v>
      </c>
      <c r="BA195" s="21">
        <v>1</v>
      </c>
      <c r="BB195" s="21">
        <v>1</v>
      </c>
      <c r="BC195">
        <v>0</v>
      </c>
      <c r="BD195">
        <v>1</v>
      </c>
      <c r="BE195">
        <v>0</v>
      </c>
      <c r="BF195">
        <v>1</v>
      </c>
      <c r="BG195">
        <v>1</v>
      </c>
      <c r="BH195">
        <v>0</v>
      </c>
      <c r="BI195">
        <v>0</v>
      </c>
      <c r="BJ195">
        <v>0</v>
      </c>
      <c r="BK195">
        <v>0</v>
      </c>
      <c r="BL195">
        <v>1</v>
      </c>
      <c r="BM195">
        <v>0</v>
      </c>
      <c r="BN195">
        <v>0</v>
      </c>
      <c r="BO195">
        <v>0</v>
      </c>
      <c r="BP195">
        <v>0</v>
      </c>
      <c r="BQ195">
        <v>0</v>
      </c>
      <c r="BR195" s="21">
        <v>0</v>
      </c>
      <c r="BS195" s="21">
        <v>0</v>
      </c>
    </row>
    <row r="196" spans="1:71">
      <c r="A196" s="18" t="s">
        <v>5016</v>
      </c>
      <c r="B196">
        <v>111</v>
      </c>
      <c r="C196">
        <v>675</v>
      </c>
      <c r="D196">
        <v>2022</v>
      </c>
      <c r="E196">
        <v>-2.327</v>
      </c>
      <c r="F196">
        <v>9.9000000000000005E-2</v>
      </c>
      <c r="G196">
        <f t="shared" si="9"/>
        <v>-23.505050505050505</v>
      </c>
      <c r="H196" s="27">
        <v>0</v>
      </c>
      <c r="I196">
        <v>1</v>
      </c>
      <c r="J196">
        <v>122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</v>
      </c>
      <c r="U196">
        <v>1994</v>
      </c>
      <c r="V196">
        <v>2017</v>
      </c>
      <c r="W196">
        <f t="shared" si="10"/>
        <v>2006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 s="21">
        <v>0</v>
      </c>
      <c r="AO196" s="21">
        <v>1</v>
      </c>
      <c r="AP196" s="21">
        <v>0</v>
      </c>
      <c r="AQ196">
        <v>1</v>
      </c>
      <c r="AR196">
        <v>0</v>
      </c>
      <c r="AS196">
        <v>1</v>
      </c>
      <c r="AT196">
        <v>0</v>
      </c>
      <c r="AU196">
        <v>0</v>
      </c>
      <c r="AV196">
        <v>0</v>
      </c>
      <c r="AW196">
        <v>1</v>
      </c>
      <c r="AX196">
        <v>0</v>
      </c>
      <c r="AY196">
        <v>1</v>
      </c>
      <c r="AZ196" s="21">
        <v>1</v>
      </c>
      <c r="BA196" s="21">
        <v>1</v>
      </c>
      <c r="BB196" s="21">
        <v>0</v>
      </c>
      <c r="BC196">
        <v>0</v>
      </c>
      <c r="BD196">
        <v>1</v>
      </c>
      <c r="BE196">
        <v>0</v>
      </c>
      <c r="BF196">
        <v>1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0</v>
      </c>
      <c r="BN196">
        <v>0</v>
      </c>
      <c r="BO196">
        <v>0</v>
      </c>
      <c r="BP196">
        <v>0</v>
      </c>
      <c r="BQ196">
        <v>0</v>
      </c>
      <c r="BR196" s="21">
        <v>0</v>
      </c>
      <c r="BS196" s="21">
        <v>0</v>
      </c>
    </row>
    <row r="197" spans="1:71">
      <c r="A197" s="18" t="s">
        <v>5016</v>
      </c>
      <c r="B197">
        <v>111</v>
      </c>
      <c r="C197">
        <v>676</v>
      </c>
      <c r="D197">
        <v>2022</v>
      </c>
      <c r="E197">
        <v>-0.76500000000000001</v>
      </c>
      <c r="F197">
        <v>0.02</v>
      </c>
      <c r="G197">
        <f t="shared" si="9"/>
        <v>-38.25</v>
      </c>
      <c r="H197" s="27">
        <v>0</v>
      </c>
      <c r="I197">
        <v>1</v>
      </c>
      <c r="J197">
        <v>714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1</v>
      </c>
      <c r="U197">
        <v>1994</v>
      </c>
      <c r="V197">
        <v>2017</v>
      </c>
      <c r="W197">
        <f t="shared" si="10"/>
        <v>2006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 s="21">
        <v>0</v>
      </c>
      <c r="AO197" s="21">
        <v>0</v>
      </c>
      <c r="AP197" s="21">
        <v>1</v>
      </c>
      <c r="AQ197">
        <v>1</v>
      </c>
      <c r="AR197">
        <v>0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 s="21">
        <v>1</v>
      </c>
      <c r="BA197" s="21">
        <v>1</v>
      </c>
      <c r="BB197" s="21">
        <v>1</v>
      </c>
      <c r="BC197">
        <v>0</v>
      </c>
      <c r="BD197">
        <v>1</v>
      </c>
      <c r="BE197">
        <v>0</v>
      </c>
      <c r="BF197">
        <v>1</v>
      </c>
      <c r="BG197">
        <v>1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0</v>
      </c>
      <c r="BR197" s="21">
        <v>0</v>
      </c>
      <c r="BS197" s="21">
        <v>0</v>
      </c>
    </row>
    <row r="198" spans="1:71">
      <c r="A198" s="18" t="s">
        <v>5016</v>
      </c>
      <c r="B198">
        <v>111</v>
      </c>
      <c r="C198">
        <v>677</v>
      </c>
      <c r="D198">
        <v>2022</v>
      </c>
      <c r="E198">
        <v>-0.78500000000000003</v>
      </c>
      <c r="F198">
        <v>2.1999999999999999E-2</v>
      </c>
      <c r="G198">
        <f t="shared" si="9"/>
        <v>-35.681818181818187</v>
      </c>
      <c r="H198" s="27">
        <v>0</v>
      </c>
      <c r="I198">
        <v>1</v>
      </c>
      <c r="J198">
        <v>477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</v>
      </c>
      <c r="U198">
        <v>1994</v>
      </c>
      <c r="V198">
        <v>2017</v>
      </c>
      <c r="W198">
        <f t="shared" si="10"/>
        <v>2006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 s="21">
        <v>0</v>
      </c>
      <c r="AO198" s="21">
        <v>0</v>
      </c>
      <c r="AP198" s="21">
        <v>1</v>
      </c>
      <c r="AQ198">
        <v>1</v>
      </c>
      <c r="AR198">
        <v>0</v>
      </c>
      <c r="AS198">
        <v>1</v>
      </c>
      <c r="AT198">
        <v>1</v>
      </c>
      <c r="AU198">
        <v>1</v>
      </c>
      <c r="AV198">
        <v>0</v>
      </c>
      <c r="AW198">
        <v>1</v>
      </c>
      <c r="AX198">
        <v>0</v>
      </c>
      <c r="AY198">
        <v>1</v>
      </c>
      <c r="AZ198" s="21">
        <v>0</v>
      </c>
      <c r="BA198" s="21">
        <v>1</v>
      </c>
      <c r="BB198" s="21">
        <v>1</v>
      </c>
      <c r="BC198">
        <v>0</v>
      </c>
      <c r="BD198">
        <v>1</v>
      </c>
      <c r="BE198">
        <v>0</v>
      </c>
      <c r="BF198">
        <v>1</v>
      </c>
      <c r="BG198">
        <v>1</v>
      </c>
      <c r="BH198">
        <v>0</v>
      </c>
      <c r="BI198">
        <v>0</v>
      </c>
      <c r="BJ198">
        <v>0</v>
      </c>
      <c r="BK198">
        <v>0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 s="21">
        <v>0</v>
      </c>
      <c r="BS198" s="21">
        <v>0</v>
      </c>
    </row>
    <row r="199" spans="1:71">
      <c r="A199" s="18" t="s">
        <v>5016</v>
      </c>
      <c r="B199">
        <v>111</v>
      </c>
      <c r="C199">
        <v>678</v>
      </c>
      <c r="D199">
        <v>2022</v>
      </c>
      <c r="E199">
        <v>-0.61099999999999999</v>
      </c>
      <c r="F199">
        <v>2.5000000000000001E-2</v>
      </c>
      <c r="G199">
        <f t="shared" si="9"/>
        <v>-24.439999999999998</v>
      </c>
      <c r="H199" s="27">
        <v>0</v>
      </c>
      <c r="I199">
        <v>1</v>
      </c>
      <c r="J199">
        <v>237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1994</v>
      </c>
      <c r="V199">
        <v>2017</v>
      </c>
      <c r="W199">
        <f t="shared" si="10"/>
        <v>2006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 s="21">
        <v>0</v>
      </c>
      <c r="AO199" s="21">
        <v>0</v>
      </c>
      <c r="AP199" s="21">
        <v>1</v>
      </c>
      <c r="AQ199">
        <v>1</v>
      </c>
      <c r="AR199">
        <v>0</v>
      </c>
      <c r="AS199">
        <v>1</v>
      </c>
      <c r="AT199">
        <v>0</v>
      </c>
      <c r="AU199">
        <v>0</v>
      </c>
      <c r="AV199">
        <v>1</v>
      </c>
      <c r="AW199">
        <v>0</v>
      </c>
      <c r="AX199">
        <v>1</v>
      </c>
      <c r="AY199">
        <v>1</v>
      </c>
      <c r="AZ199" s="21">
        <v>1</v>
      </c>
      <c r="BA199" s="21">
        <v>1</v>
      </c>
      <c r="BB199" s="21">
        <v>0</v>
      </c>
      <c r="BC199">
        <v>0</v>
      </c>
      <c r="BD199">
        <v>1</v>
      </c>
      <c r="BE199">
        <v>0</v>
      </c>
      <c r="BF199">
        <v>1</v>
      </c>
      <c r="BG199">
        <v>1</v>
      </c>
      <c r="BH199">
        <v>0</v>
      </c>
      <c r="BI199">
        <v>0</v>
      </c>
      <c r="BJ199">
        <v>0</v>
      </c>
      <c r="BK199">
        <v>0</v>
      </c>
      <c r="BL199">
        <v>1</v>
      </c>
      <c r="BM199">
        <v>0</v>
      </c>
      <c r="BN199">
        <v>0</v>
      </c>
      <c r="BO199">
        <v>0</v>
      </c>
      <c r="BP199">
        <v>0</v>
      </c>
      <c r="BQ199">
        <v>0</v>
      </c>
      <c r="BR199" s="21">
        <v>0</v>
      </c>
      <c r="BS199" s="21">
        <v>0</v>
      </c>
    </row>
    <row r="200" spans="1:71">
      <c r="A200" s="18" t="s">
        <v>5016</v>
      </c>
      <c r="B200">
        <v>111</v>
      </c>
      <c r="C200">
        <v>679</v>
      </c>
      <c r="D200">
        <v>2022</v>
      </c>
      <c r="E200">
        <v>-1.3660000000000001</v>
      </c>
      <c r="F200">
        <v>6.2E-2</v>
      </c>
      <c r="G200">
        <f t="shared" si="9"/>
        <v>-22.032258064516132</v>
      </c>
      <c r="H200" s="27">
        <v>0</v>
      </c>
      <c r="I200">
        <v>1</v>
      </c>
      <c r="J200">
        <v>364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</v>
      </c>
      <c r="U200">
        <v>1994</v>
      </c>
      <c r="V200">
        <v>2017</v>
      </c>
      <c r="W200">
        <f t="shared" si="10"/>
        <v>2006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 s="21">
        <v>0</v>
      </c>
      <c r="AO200" s="21">
        <v>1</v>
      </c>
      <c r="AP200" s="21">
        <v>0</v>
      </c>
      <c r="AQ200">
        <v>1</v>
      </c>
      <c r="AR200">
        <v>0</v>
      </c>
      <c r="AS200">
        <v>1</v>
      </c>
      <c r="AT200">
        <v>1</v>
      </c>
      <c r="AU200">
        <v>1</v>
      </c>
      <c r="AV200">
        <v>0</v>
      </c>
      <c r="AW200">
        <v>1</v>
      </c>
      <c r="AX200">
        <v>0</v>
      </c>
      <c r="AY200">
        <v>1</v>
      </c>
      <c r="AZ200" s="21">
        <v>1</v>
      </c>
      <c r="BA200" s="21">
        <v>1</v>
      </c>
      <c r="BB200" s="21">
        <v>1</v>
      </c>
      <c r="BC200">
        <v>0</v>
      </c>
      <c r="BD200">
        <v>1</v>
      </c>
      <c r="BE200">
        <v>0</v>
      </c>
      <c r="BF200">
        <v>1</v>
      </c>
      <c r="BG200">
        <v>1</v>
      </c>
      <c r="BH200">
        <v>0</v>
      </c>
      <c r="BI200">
        <v>0</v>
      </c>
      <c r="BJ200">
        <v>0</v>
      </c>
      <c r="BK200">
        <v>0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0</v>
      </c>
      <c r="BR200" s="21">
        <v>0</v>
      </c>
      <c r="BS200" s="21">
        <v>0</v>
      </c>
    </row>
    <row r="201" spans="1:71">
      <c r="A201" s="18" t="s">
        <v>5016</v>
      </c>
      <c r="B201">
        <v>111</v>
      </c>
      <c r="C201">
        <v>680</v>
      </c>
      <c r="D201">
        <v>2022</v>
      </c>
      <c r="E201">
        <v>-0.69499999999999995</v>
      </c>
      <c r="F201">
        <v>0.20899999999999999</v>
      </c>
      <c r="G201">
        <f t="shared" si="9"/>
        <v>-3.3253588516746411</v>
      </c>
      <c r="H201" s="27">
        <v>0</v>
      </c>
      <c r="I201">
        <v>1</v>
      </c>
      <c r="J201">
        <v>242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1</v>
      </c>
      <c r="U201">
        <v>1994</v>
      </c>
      <c r="V201">
        <v>2017</v>
      </c>
      <c r="W201">
        <f t="shared" si="10"/>
        <v>2006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 s="21">
        <v>0</v>
      </c>
      <c r="AO201" s="21">
        <v>1</v>
      </c>
      <c r="AP201" s="21">
        <v>0</v>
      </c>
      <c r="AQ201">
        <v>1</v>
      </c>
      <c r="AR201">
        <v>0</v>
      </c>
      <c r="AS201">
        <v>1</v>
      </c>
      <c r="AT201">
        <v>1</v>
      </c>
      <c r="AU201">
        <v>1</v>
      </c>
      <c r="AV201">
        <v>0</v>
      </c>
      <c r="AW201">
        <v>1</v>
      </c>
      <c r="AX201">
        <v>0</v>
      </c>
      <c r="AY201">
        <v>1</v>
      </c>
      <c r="AZ201" s="21">
        <v>0</v>
      </c>
      <c r="BA201" s="21">
        <v>1</v>
      </c>
      <c r="BB201" s="21">
        <v>1</v>
      </c>
      <c r="BC201">
        <v>0</v>
      </c>
      <c r="BD201">
        <v>1</v>
      </c>
      <c r="BE201">
        <v>0</v>
      </c>
      <c r="BF201">
        <v>1</v>
      </c>
      <c r="BG201">
        <v>1</v>
      </c>
      <c r="BH201">
        <v>0</v>
      </c>
      <c r="BI201">
        <v>0</v>
      </c>
      <c r="BJ201">
        <v>0</v>
      </c>
      <c r="BK201">
        <v>0</v>
      </c>
      <c r="BL201">
        <v>1</v>
      </c>
      <c r="BM201">
        <v>0</v>
      </c>
      <c r="BN201">
        <v>0</v>
      </c>
      <c r="BO201">
        <v>0</v>
      </c>
      <c r="BP201">
        <v>0</v>
      </c>
      <c r="BQ201">
        <v>0</v>
      </c>
      <c r="BR201" s="21">
        <v>0</v>
      </c>
      <c r="BS201" s="21">
        <v>0</v>
      </c>
    </row>
    <row r="202" spans="1:71">
      <c r="A202" s="18" t="s">
        <v>5016</v>
      </c>
      <c r="B202">
        <v>111</v>
      </c>
      <c r="C202">
        <v>681</v>
      </c>
      <c r="D202">
        <v>2022</v>
      </c>
      <c r="E202">
        <v>-2.0819999999999999</v>
      </c>
      <c r="F202">
        <v>0.11700000000000001</v>
      </c>
      <c r="G202">
        <f t="shared" ref="G202:G233" si="11">E202/F202</f>
        <v>-17.794871794871792</v>
      </c>
      <c r="H202" s="27">
        <v>0</v>
      </c>
      <c r="I202">
        <v>1</v>
      </c>
      <c r="J202">
        <v>122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</v>
      </c>
      <c r="U202">
        <v>1994</v>
      </c>
      <c r="V202">
        <v>2017</v>
      </c>
      <c r="W202">
        <f t="shared" si="10"/>
        <v>2006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 s="21">
        <v>0</v>
      </c>
      <c r="AO202" s="21">
        <v>1</v>
      </c>
      <c r="AP202" s="21">
        <v>0</v>
      </c>
      <c r="AQ202">
        <v>1</v>
      </c>
      <c r="AR202">
        <v>0</v>
      </c>
      <c r="AS202">
        <v>1</v>
      </c>
      <c r="AT202">
        <v>0</v>
      </c>
      <c r="AU202">
        <v>0</v>
      </c>
      <c r="AV202">
        <v>0</v>
      </c>
      <c r="AW202">
        <v>1</v>
      </c>
      <c r="AX202">
        <v>0</v>
      </c>
      <c r="AY202">
        <v>1</v>
      </c>
      <c r="AZ202" s="21">
        <v>1</v>
      </c>
      <c r="BA202" s="21">
        <v>1</v>
      </c>
      <c r="BB202" s="21">
        <v>0</v>
      </c>
      <c r="BC202">
        <v>0</v>
      </c>
      <c r="BD202">
        <v>1</v>
      </c>
      <c r="BE202">
        <v>0</v>
      </c>
      <c r="BF202">
        <v>1</v>
      </c>
      <c r="BG202">
        <v>1</v>
      </c>
      <c r="BH202">
        <v>0</v>
      </c>
      <c r="BI202">
        <v>0</v>
      </c>
      <c r="BJ202">
        <v>0</v>
      </c>
      <c r="BK202">
        <v>0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0</v>
      </c>
      <c r="BR202" s="21">
        <v>0</v>
      </c>
      <c r="BS202" s="21">
        <v>0</v>
      </c>
    </row>
    <row r="203" spans="1:71">
      <c r="A203" s="18" t="s">
        <v>5016</v>
      </c>
      <c r="B203">
        <v>111</v>
      </c>
      <c r="C203">
        <v>682</v>
      </c>
      <c r="D203">
        <v>2022</v>
      </c>
      <c r="E203">
        <v>-0.71299999999999997</v>
      </c>
      <c r="F203">
        <v>1.7000000000000001E-2</v>
      </c>
      <c r="G203">
        <f t="shared" si="11"/>
        <v>-41.941176470588232</v>
      </c>
      <c r="H203" s="27">
        <v>0</v>
      </c>
      <c r="I203">
        <v>1</v>
      </c>
      <c r="J203">
        <v>714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1</v>
      </c>
      <c r="U203">
        <v>1994</v>
      </c>
      <c r="V203">
        <v>2017</v>
      </c>
      <c r="W203">
        <f t="shared" si="10"/>
        <v>2006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 s="21">
        <v>0</v>
      </c>
      <c r="AO203" s="21">
        <v>0</v>
      </c>
      <c r="AP203" s="21">
        <v>1</v>
      </c>
      <c r="AQ203">
        <v>1</v>
      </c>
      <c r="AR203">
        <v>0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 s="21">
        <v>1</v>
      </c>
      <c r="BA203" s="21">
        <v>1</v>
      </c>
      <c r="BB203" s="21">
        <v>1</v>
      </c>
      <c r="BC203">
        <v>0</v>
      </c>
      <c r="BD203">
        <v>1</v>
      </c>
      <c r="BE203">
        <v>0</v>
      </c>
      <c r="BF203">
        <v>1</v>
      </c>
      <c r="BG203">
        <v>1</v>
      </c>
      <c r="BH203">
        <v>0</v>
      </c>
      <c r="BI203">
        <v>0</v>
      </c>
      <c r="BJ203">
        <v>0</v>
      </c>
      <c r="BK203">
        <v>0</v>
      </c>
      <c r="BL203">
        <v>1</v>
      </c>
      <c r="BM203">
        <v>0</v>
      </c>
      <c r="BN203">
        <v>0</v>
      </c>
      <c r="BO203">
        <v>0</v>
      </c>
      <c r="BP203">
        <v>0</v>
      </c>
      <c r="BQ203">
        <v>0</v>
      </c>
      <c r="BR203" s="21">
        <v>0</v>
      </c>
      <c r="BS203" s="21">
        <v>0</v>
      </c>
    </row>
    <row r="204" spans="1:71">
      <c r="A204" s="18" t="s">
        <v>5016</v>
      </c>
      <c r="B204">
        <v>111</v>
      </c>
      <c r="C204">
        <v>683</v>
      </c>
      <c r="D204">
        <v>2022</v>
      </c>
      <c r="E204">
        <v>-0.76300000000000001</v>
      </c>
      <c r="F204">
        <v>2.5999999999999999E-2</v>
      </c>
      <c r="G204">
        <f t="shared" si="11"/>
        <v>-29.346153846153847</v>
      </c>
      <c r="H204" s="27">
        <v>0</v>
      </c>
      <c r="I204">
        <v>1</v>
      </c>
      <c r="J204">
        <v>477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</v>
      </c>
      <c r="U204">
        <v>1994</v>
      </c>
      <c r="V204">
        <v>2017</v>
      </c>
      <c r="W204">
        <f t="shared" si="10"/>
        <v>2006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 s="21">
        <v>0</v>
      </c>
      <c r="AO204" s="21">
        <v>0</v>
      </c>
      <c r="AP204" s="21">
        <v>1</v>
      </c>
      <c r="AQ204">
        <v>1</v>
      </c>
      <c r="AR204">
        <v>0</v>
      </c>
      <c r="AS204">
        <v>1</v>
      </c>
      <c r="AT204">
        <v>1</v>
      </c>
      <c r="AU204">
        <v>1</v>
      </c>
      <c r="AV204">
        <v>0</v>
      </c>
      <c r="AW204">
        <v>1</v>
      </c>
      <c r="AX204">
        <v>0</v>
      </c>
      <c r="AY204">
        <v>1</v>
      </c>
      <c r="AZ204" s="21">
        <v>0</v>
      </c>
      <c r="BA204" s="21">
        <v>1</v>
      </c>
      <c r="BB204" s="21">
        <v>1</v>
      </c>
      <c r="BC204">
        <v>0</v>
      </c>
      <c r="BD204">
        <v>1</v>
      </c>
      <c r="BE204">
        <v>0</v>
      </c>
      <c r="BF204">
        <v>1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0</v>
      </c>
      <c r="BN204">
        <v>0</v>
      </c>
      <c r="BO204">
        <v>0</v>
      </c>
      <c r="BP204">
        <v>0</v>
      </c>
      <c r="BQ204">
        <v>0</v>
      </c>
      <c r="BR204" s="21">
        <v>0</v>
      </c>
      <c r="BS204" s="21">
        <v>0</v>
      </c>
    </row>
    <row r="205" spans="1:71">
      <c r="A205" s="18" t="s">
        <v>5016</v>
      </c>
      <c r="B205">
        <v>111</v>
      </c>
      <c r="C205">
        <v>684</v>
      </c>
      <c r="D205">
        <v>2022</v>
      </c>
      <c r="E205">
        <v>-0.58399999999999996</v>
      </c>
      <c r="F205">
        <v>2.5999999999999999E-2</v>
      </c>
      <c r="G205">
        <f t="shared" si="11"/>
        <v>-22.46153846153846</v>
      </c>
      <c r="H205" s="27">
        <v>0</v>
      </c>
      <c r="I205">
        <v>1</v>
      </c>
      <c r="J205">
        <v>237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1</v>
      </c>
      <c r="U205">
        <v>1994</v>
      </c>
      <c r="V205">
        <v>2017</v>
      </c>
      <c r="W205">
        <f t="shared" si="10"/>
        <v>2006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 s="21">
        <v>0</v>
      </c>
      <c r="AO205" s="21">
        <v>0</v>
      </c>
      <c r="AP205" s="21">
        <v>1</v>
      </c>
      <c r="AQ205">
        <v>1</v>
      </c>
      <c r="AR205">
        <v>0</v>
      </c>
      <c r="AS205">
        <v>1</v>
      </c>
      <c r="AT205">
        <v>0</v>
      </c>
      <c r="AU205">
        <v>0</v>
      </c>
      <c r="AV205">
        <v>1</v>
      </c>
      <c r="AW205">
        <v>0</v>
      </c>
      <c r="AX205">
        <v>1</v>
      </c>
      <c r="AY205">
        <v>1</v>
      </c>
      <c r="AZ205" s="21">
        <v>1</v>
      </c>
      <c r="BA205" s="21">
        <v>1</v>
      </c>
      <c r="BB205" s="21">
        <v>0</v>
      </c>
      <c r="BC205">
        <v>0</v>
      </c>
      <c r="BD205">
        <v>1</v>
      </c>
      <c r="BE205">
        <v>0</v>
      </c>
      <c r="BF205">
        <v>1</v>
      </c>
      <c r="BG205">
        <v>1</v>
      </c>
      <c r="BH205">
        <v>0</v>
      </c>
      <c r="BI205">
        <v>0</v>
      </c>
      <c r="BJ205">
        <v>0</v>
      </c>
      <c r="BK205">
        <v>0</v>
      </c>
      <c r="BL205">
        <v>1</v>
      </c>
      <c r="BM205">
        <v>0</v>
      </c>
      <c r="BN205">
        <v>0</v>
      </c>
      <c r="BO205">
        <v>0</v>
      </c>
      <c r="BP205">
        <v>0</v>
      </c>
      <c r="BQ205">
        <v>0</v>
      </c>
      <c r="BR205" s="21">
        <v>0</v>
      </c>
      <c r="BS205" s="21">
        <v>0</v>
      </c>
    </row>
    <row r="206" spans="1:71">
      <c r="A206" s="18" t="s">
        <v>5016</v>
      </c>
      <c r="B206">
        <v>111</v>
      </c>
      <c r="C206">
        <v>685</v>
      </c>
      <c r="D206">
        <v>2022</v>
      </c>
      <c r="E206">
        <v>-1.698</v>
      </c>
      <c r="F206">
        <v>0.11899999999999999</v>
      </c>
      <c r="G206">
        <f t="shared" si="11"/>
        <v>-14.268907563025211</v>
      </c>
      <c r="H206" s="27">
        <v>0</v>
      </c>
      <c r="I206">
        <v>1</v>
      </c>
      <c r="J206">
        <v>364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1</v>
      </c>
      <c r="U206">
        <v>1994</v>
      </c>
      <c r="V206">
        <v>2017</v>
      </c>
      <c r="W206">
        <f t="shared" si="10"/>
        <v>2006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 s="21">
        <v>0</v>
      </c>
      <c r="AO206" s="21">
        <v>1</v>
      </c>
      <c r="AP206" s="21">
        <v>0</v>
      </c>
      <c r="AQ206">
        <v>1</v>
      </c>
      <c r="AR206">
        <v>0</v>
      </c>
      <c r="AS206">
        <v>1</v>
      </c>
      <c r="AT206">
        <v>1</v>
      </c>
      <c r="AU206">
        <v>1</v>
      </c>
      <c r="AV206">
        <v>0</v>
      </c>
      <c r="AW206">
        <v>1</v>
      </c>
      <c r="AX206">
        <v>0</v>
      </c>
      <c r="AY206">
        <v>1</v>
      </c>
      <c r="AZ206" s="21">
        <v>1</v>
      </c>
      <c r="BA206" s="21">
        <v>1</v>
      </c>
      <c r="BB206" s="21">
        <v>1</v>
      </c>
      <c r="BC206">
        <v>0</v>
      </c>
      <c r="BD206">
        <v>1</v>
      </c>
      <c r="BE206">
        <v>0</v>
      </c>
      <c r="BF206">
        <v>1</v>
      </c>
      <c r="BG206">
        <v>1</v>
      </c>
      <c r="BH206">
        <v>0</v>
      </c>
      <c r="BI206">
        <v>0</v>
      </c>
      <c r="BJ206">
        <v>0</v>
      </c>
      <c r="BK206">
        <v>0</v>
      </c>
      <c r="BL206">
        <v>1</v>
      </c>
      <c r="BM206">
        <v>0</v>
      </c>
      <c r="BN206">
        <v>0</v>
      </c>
      <c r="BO206">
        <v>0</v>
      </c>
      <c r="BP206">
        <v>0</v>
      </c>
      <c r="BQ206">
        <v>0</v>
      </c>
      <c r="BR206" s="21">
        <v>0</v>
      </c>
      <c r="BS206" s="21">
        <v>0</v>
      </c>
    </row>
    <row r="207" spans="1:71">
      <c r="A207" s="18" t="s">
        <v>5016</v>
      </c>
      <c r="B207">
        <v>111</v>
      </c>
      <c r="C207">
        <v>686</v>
      </c>
      <c r="D207">
        <v>2022</v>
      </c>
      <c r="E207">
        <v>-1.0489999999999999</v>
      </c>
      <c r="F207">
        <v>0.183</v>
      </c>
      <c r="G207">
        <f t="shared" si="11"/>
        <v>-5.7322404371584694</v>
      </c>
      <c r="H207" s="27">
        <v>0</v>
      </c>
      <c r="I207">
        <v>1</v>
      </c>
      <c r="J207">
        <v>242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</v>
      </c>
      <c r="U207">
        <v>1994</v>
      </c>
      <c r="V207">
        <v>2017</v>
      </c>
      <c r="W207">
        <f t="shared" si="10"/>
        <v>2006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 s="21">
        <v>0</v>
      </c>
      <c r="AO207" s="21">
        <v>1</v>
      </c>
      <c r="AP207" s="21">
        <v>0</v>
      </c>
      <c r="AQ207">
        <v>1</v>
      </c>
      <c r="AR207">
        <v>0</v>
      </c>
      <c r="AS207">
        <v>1</v>
      </c>
      <c r="AT207">
        <v>1</v>
      </c>
      <c r="AU207">
        <v>1</v>
      </c>
      <c r="AV207">
        <v>0</v>
      </c>
      <c r="AW207">
        <v>1</v>
      </c>
      <c r="AX207">
        <v>0</v>
      </c>
      <c r="AY207">
        <v>1</v>
      </c>
      <c r="AZ207" s="21">
        <v>0</v>
      </c>
      <c r="BA207" s="21">
        <v>1</v>
      </c>
      <c r="BB207" s="21">
        <v>1</v>
      </c>
      <c r="BC207">
        <v>0</v>
      </c>
      <c r="BD207">
        <v>1</v>
      </c>
      <c r="BE207">
        <v>0</v>
      </c>
      <c r="BF207">
        <v>1</v>
      </c>
      <c r="BG207">
        <v>1</v>
      </c>
      <c r="BH207">
        <v>0</v>
      </c>
      <c r="BI207">
        <v>0</v>
      </c>
      <c r="BJ207">
        <v>0</v>
      </c>
      <c r="BK207">
        <v>0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0</v>
      </c>
      <c r="BR207" s="21">
        <v>0</v>
      </c>
      <c r="BS207" s="21">
        <v>0</v>
      </c>
    </row>
    <row r="208" spans="1:71">
      <c r="A208" s="18" t="s">
        <v>5016</v>
      </c>
      <c r="B208">
        <v>111</v>
      </c>
      <c r="C208">
        <v>687</v>
      </c>
      <c r="D208">
        <v>2022</v>
      </c>
      <c r="E208">
        <v>-2.194</v>
      </c>
      <c r="F208">
        <v>8.5000000000000006E-2</v>
      </c>
      <c r="G208">
        <f t="shared" si="11"/>
        <v>-25.81176470588235</v>
      </c>
      <c r="H208" s="27">
        <v>0</v>
      </c>
      <c r="I208">
        <v>1</v>
      </c>
      <c r="J208">
        <v>122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</v>
      </c>
      <c r="U208">
        <v>1994</v>
      </c>
      <c r="V208">
        <v>2017</v>
      </c>
      <c r="W208">
        <f t="shared" si="10"/>
        <v>2006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 s="21">
        <v>0</v>
      </c>
      <c r="AO208" s="21">
        <v>1</v>
      </c>
      <c r="AP208" s="21">
        <v>0</v>
      </c>
      <c r="AQ208">
        <v>1</v>
      </c>
      <c r="AR208">
        <v>0</v>
      </c>
      <c r="AS208">
        <v>1</v>
      </c>
      <c r="AT208">
        <v>0</v>
      </c>
      <c r="AU208">
        <v>0</v>
      </c>
      <c r="AV208">
        <v>0</v>
      </c>
      <c r="AW208">
        <v>1</v>
      </c>
      <c r="AX208">
        <v>0</v>
      </c>
      <c r="AY208">
        <v>1</v>
      </c>
      <c r="AZ208" s="21">
        <v>1</v>
      </c>
      <c r="BA208" s="21">
        <v>1</v>
      </c>
      <c r="BB208" s="21">
        <v>0</v>
      </c>
      <c r="BC208">
        <v>0</v>
      </c>
      <c r="BD208">
        <v>1</v>
      </c>
      <c r="BE208">
        <v>0</v>
      </c>
      <c r="BF208">
        <v>1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1</v>
      </c>
      <c r="BM208">
        <v>0</v>
      </c>
      <c r="BN208">
        <v>0</v>
      </c>
      <c r="BO208">
        <v>0</v>
      </c>
      <c r="BP208">
        <v>0</v>
      </c>
      <c r="BQ208">
        <v>0</v>
      </c>
      <c r="BR208" s="21">
        <v>0</v>
      </c>
      <c r="BS208" s="21">
        <v>0</v>
      </c>
    </row>
    <row r="209" spans="1:71">
      <c r="A209" s="20" t="s">
        <v>5016</v>
      </c>
      <c r="B209">
        <v>111</v>
      </c>
      <c r="C209">
        <v>688</v>
      </c>
      <c r="D209">
        <v>2022</v>
      </c>
      <c r="E209">
        <v>-0.76400000000000001</v>
      </c>
      <c r="F209">
        <v>1.9E-2</v>
      </c>
      <c r="G209">
        <f t="shared" si="11"/>
        <v>-40.210526315789473</v>
      </c>
      <c r="H209" s="27">
        <v>0</v>
      </c>
      <c r="I209">
        <v>1</v>
      </c>
      <c r="J209">
        <v>714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1</v>
      </c>
      <c r="U209">
        <v>1994</v>
      </c>
      <c r="V209">
        <v>2017</v>
      </c>
      <c r="W209">
        <f t="shared" si="10"/>
        <v>2006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 s="21">
        <v>0</v>
      </c>
      <c r="AO209" s="21">
        <v>0</v>
      </c>
      <c r="AP209" s="21">
        <v>1</v>
      </c>
      <c r="AQ209">
        <v>1</v>
      </c>
      <c r="AR209">
        <v>0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 s="21">
        <v>1</v>
      </c>
      <c r="BA209" s="21">
        <v>1</v>
      </c>
      <c r="BB209" s="21">
        <v>1</v>
      </c>
      <c r="BC209">
        <v>0</v>
      </c>
      <c r="BD209">
        <v>1</v>
      </c>
      <c r="BE209">
        <v>0</v>
      </c>
      <c r="BF209">
        <v>1</v>
      </c>
      <c r="BG209">
        <v>1</v>
      </c>
      <c r="BH209">
        <v>0</v>
      </c>
      <c r="BI209">
        <v>0</v>
      </c>
      <c r="BJ209">
        <v>0</v>
      </c>
      <c r="BK209">
        <v>0</v>
      </c>
      <c r="BL209">
        <v>1</v>
      </c>
      <c r="BM209">
        <v>0</v>
      </c>
      <c r="BN209">
        <v>0</v>
      </c>
      <c r="BO209">
        <v>0</v>
      </c>
      <c r="BP209">
        <v>0</v>
      </c>
      <c r="BQ209">
        <v>0</v>
      </c>
      <c r="BR209" s="21">
        <v>0</v>
      </c>
      <c r="BS209" s="21">
        <v>0</v>
      </c>
    </row>
    <row r="210" spans="1:71">
      <c r="A210" s="20" t="s">
        <v>5016</v>
      </c>
      <c r="B210">
        <v>111</v>
      </c>
      <c r="C210">
        <v>689</v>
      </c>
      <c r="D210">
        <v>2022</v>
      </c>
      <c r="E210">
        <v>-0.78300000000000003</v>
      </c>
      <c r="F210">
        <v>2.1999999999999999E-2</v>
      </c>
      <c r="G210">
        <f t="shared" si="11"/>
        <v>-35.590909090909093</v>
      </c>
      <c r="H210" s="27">
        <v>0</v>
      </c>
      <c r="I210">
        <v>1</v>
      </c>
      <c r="J210">
        <v>477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</v>
      </c>
      <c r="U210">
        <v>1994</v>
      </c>
      <c r="V210">
        <v>2017</v>
      </c>
      <c r="W210">
        <f t="shared" si="10"/>
        <v>2006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 s="21">
        <v>0</v>
      </c>
      <c r="AO210" s="21">
        <v>0</v>
      </c>
      <c r="AP210" s="21">
        <v>1</v>
      </c>
      <c r="AQ210">
        <v>1</v>
      </c>
      <c r="AR210">
        <v>0</v>
      </c>
      <c r="AS210">
        <v>1</v>
      </c>
      <c r="AT210">
        <v>1</v>
      </c>
      <c r="AU210">
        <v>1</v>
      </c>
      <c r="AV210">
        <v>0</v>
      </c>
      <c r="AW210">
        <v>1</v>
      </c>
      <c r="AX210">
        <v>0</v>
      </c>
      <c r="AY210">
        <v>1</v>
      </c>
      <c r="AZ210" s="21">
        <v>0</v>
      </c>
      <c r="BA210" s="21">
        <v>1</v>
      </c>
      <c r="BB210" s="21">
        <v>1</v>
      </c>
      <c r="BC210">
        <v>0</v>
      </c>
      <c r="BD210">
        <v>1</v>
      </c>
      <c r="BE210">
        <v>0</v>
      </c>
      <c r="BF210">
        <v>1</v>
      </c>
      <c r="BG210">
        <v>1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0</v>
      </c>
      <c r="BN210">
        <v>0</v>
      </c>
      <c r="BO210">
        <v>0</v>
      </c>
      <c r="BP210">
        <v>0</v>
      </c>
      <c r="BQ210">
        <v>0</v>
      </c>
      <c r="BR210" s="21">
        <v>0</v>
      </c>
      <c r="BS210" s="21">
        <v>0</v>
      </c>
    </row>
    <row r="211" spans="1:71">
      <c r="A211" s="20" t="s">
        <v>5016</v>
      </c>
      <c r="B211">
        <v>111</v>
      </c>
      <c r="C211">
        <v>690</v>
      </c>
      <c r="D211">
        <v>2022</v>
      </c>
      <c r="E211">
        <v>-0.61599999999999999</v>
      </c>
      <c r="F211">
        <v>2.4E-2</v>
      </c>
      <c r="G211">
        <f t="shared" si="11"/>
        <v>-25.666666666666664</v>
      </c>
      <c r="H211" s="27">
        <v>0</v>
      </c>
      <c r="I211">
        <v>1</v>
      </c>
      <c r="J211">
        <v>237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1</v>
      </c>
      <c r="U211">
        <v>1994</v>
      </c>
      <c r="V211">
        <v>2017</v>
      </c>
      <c r="W211">
        <f t="shared" si="10"/>
        <v>2006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 s="21">
        <v>0</v>
      </c>
      <c r="AO211" s="21">
        <v>0</v>
      </c>
      <c r="AP211" s="21">
        <v>1</v>
      </c>
      <c r="AQ211">
        <v>1</v>
      </c>
      <c r="AR211">
        <v>0</v>
      </c>
      <c r="AS211">
        <v>1</v>
      </c>
      <c r="AT211">
        <v>0</v>
      </c>
      <c r="AU211">
        <v>0</v>
      </c>
      <c r="AV211">
        <v>1</v>
      </c>
      <c r="AW211">
        <v>0</v>
      </c>
      <c r="AX211">
        <v>1</v>
      </c>
      <c r="AY211">
        <v>1</v>
      </c>
      <c r="AZ211" s="21">
        <v>1</v>
      </c>
      <c r="BA211" s="21">
        <v>1</v>
      </c>
      <c r="BB211" s="21">
        <v>0</v>
      </c>
      <c r="BC211">
        <v>0</v>
      </c>
      <c r="BD211">
        <v>1</v>
      </c>
      <c r="BE211">
        <v>0</v>
      </c>
      <c r="BF211">
        <v>1</v>
      </c>
      <c r="BG211">
        <v>1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0</v>
      </c>
      <c r="BN211">
        <v>0</v>
      </c>
      <c r="BO211">
        <v>0</v>
      </c>
      <c r="BP211">
        <v>0</v>
      </c>
      <c r="BQ211">
        <v>0</v>
      </c>
      <c r="BR211" s="21">
        <v>0</v>
      </c>
      <c r="BS211" s="21">
        <v>0</v>
      </c>
    </row>
    <row r="212" spans="1:71">
      <c r="A212" s="20" t="s">
        <v>5016</v>
      </c>
      <c r="B212">
        <v>111</v>
      </c>
      <c r="C212">
        <v>691</v>
      </c>
      <c r="D212">
        <v>2022</v>
      </c>
      <c r="E212">
        <v>-1.5429999999999999</v>
      </c>
      <c r="F212">
        <v>7.0000000000000007E-2</v>
      </c>
      <c r="G212">
        <f t="shared" si="11"/>
        <v>-22.042857142857141</v>
      </c>
      <c r="H212" s="27">
        <v>0</v>
      </c>
      <c r="I212">
        <v>1</v>
      </c>
      <c r="J212">
        <v>364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1</v>
      </c>
      <c r="U212">
        <v>1994</v>
      </c>
      <c r="V212">
        <v>2017</v>
      </c>
      <c r="W212">
        <f t="shared" si="10"/>
        <v>2006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 s="21">
        <v>0</v>
      </c>
      <c r="AO212" s="21">
        <v>1</v>
      </c>
      <c r="AP212" s="21">
        <v>0</v>
      </c>
      <c r="AQ212">
        <v>1</v>
      </c>
      <c r="AR212">
        <v>0</v>
      </c>
      <c r="AS212">
        <v>1</v>
      </c>
      <c r="AT212">
        <v>1</v>
      </c>
      <c r="AU212">
        <v>1</v>
      </c>
      <c r="AV212">
        <v>0</v>
      </c>
      <c r="AW212">
        <v>1</v>
      </c>
      <c r="AX212">
        <v>0</v>
      </c>
      <c r="AY212">
        <v>1</v>
      </c>
      <c r="AZ212" s="21">
        <v>1</v>
      </c>
      <c r="BA212" s="21">
        <v>1</v>
      </c>
      <c r="BB212" s="21">
        <v>1</v>
      </c>
      <c r="BC212">
        <v>0</v>
      </c>
      <c r="BD212">
        <v>1</v>
      </c>
      <c r="BE212">
        <v>0</v>
      </c>
      <c r="BF212">
        <v>1</v>
      </c>
      <c r="BG212">
        <v>1</v>
      </c>
      <c r="BH212">
        <v>0</v>
      </c>
      <c r="BI212">
        <v>0</v>
      </c>
      <c r="BJ212">
        <v>0</v>
      </c>
      <c r="BK212">
        <v>0</v>
      </c>
      <c r="BL212">
        <v>1</v>
      </c>
      <c r="BM212">
        <v>0</v>
      </c>
      <c r="BN212">
        <v>0</v>
      </c>
      <c r="BO212">
        <v>0</v>
      </c>
      <c r="BP212">
        <v>0</v>
      </c>
      <c r="BQ212">
        <v>0</v>
      </c>
      <c r="BR212" s="21">
        <v>0</v>
      </c>
      <c r="BS212" s="21">
        <v>0</v>
      </c>
    </row>
    <row r="213" spans="1:71">
      <c r="A213" s="20" t="s">
        <v>5016</v>
      </c>
      <c r="B213">
        <v>111</v>
      </c>
      <c r="C213">
        <v>692</v>
      </c>
      <c r="D213">
        <v>2022</v>
      </c>
      <c r="E213">
        <v>-1.03</v>
      </c>
      <c r="F213">
        <v>0.222</v>
      </c>
      <c r="G213">
        <f t="shared" si="11"/>
        <v>-4.6396396396396398</v>
      </c>
      <c r="H213" s="27">
        <v>0</v>
      </c>
      <c r="I213">
        <v>1</v>
      </c>
      <c r="J213">
        <v>242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1</v>
      </c>
      <c r="U213">
        <v>1994</v>
      </c>
      <c r="V213">
        <v>2017</v>
      </c>
      <c r="W213">
        <f t="shared" si="10"/>
        <v>2006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 s="21">
        <v>0</v>
      </c>
      <c r="AO213" s="21">
        <v>1</v>
      </c>
      <c r="AP213" s="21">
        <v>0</v>
      </c>
      <c r="AQ213">
        <v>1</v>
      </c>
      <c r="AR213">
        <v>0</v>
      </c>
      <c r="AS213">
        <v>1</v>
      </c>
      <c r="AT213">
        <v>1</v>
      </c>
      <c r="AU213">
        <v>1</v>
      </c>
      <c r="AV213">
        <v>0</v>
      </c>
      <c r="AW213">
        <v>1</v>
      </c>
      <c r="AX213">
        <v>0</v>
      </c>
      <c r="AY213">
        <v>1</v>
      </c>
      <c r="AZ213" s="21">
        <v>0</v>
      </c>
      <c r="BA213" s="21">
        <v>1</v>
      </c>
      <c r="BB213" s="21">
        <v>1</v>
      </c>
      <c r="BC213">
        <v>0</v>
      </c>
      <c r="BD213">
        <v>1</v>
      </c>
      <c r="BE213">
        <v>0</v>
      </c>
      <c r="BF213">
        <v>1</v>
      </c>
      <c r="BG213">
        <v>1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0</v>
      </c>
      <c r="BN213">
        <v>0</v>
      </c>
      <c r="BO213">
        <v>0</v>
      </c>
      <c r="BP213">
        <v>0</v>
      </c>
      <c r="BQ213">
        <v>0</v>
      </c>
      <c r="BR213" s="21">
        <v>0</v>
      </c>
      <c r="BS213" s="21">
        <v>0</v>
      </c>
    </row>
    <row r="214" spans="1:71">
      <c r="A214" s="20" t="s">
        <v>5016</v>
      </c>
      <c r="B214">
        <v>111</v>
      </c>
      <c r="C214">
        <v>693</v>
      </c>
      <c r="D214">
        <v>2022</v>
      </c>
      <c r="E214">
        <v>-1.9179999999999999</v>
      </c>
      <c r="F214">
        <v>8.6999999999999994E-2</v>
      </c>
      <c r="G214">
        <f t="shared" si="11"/>
        <v>-22.045977011494255</v>
      </c>
      <c r="H214" s="27">
        <v>0</v>
      </c>
      <c r="I214">
        <v>1</v>
      </c>
      <c r="J214">
        <v>122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1</v>
      </c>
      <c r="U214">
        <v>1994</v>
      </c>
      <c r="V214">
        <v>2017</v>
      </c>
      <c r="W214">
        <f t="shared" si="10"/>
        <v>2006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 s="21">
        <v>0</v>
      </c>
      <c r="AO214" s="21">
        <v>1</v>
      </c>
      <c r="AP214" s="21">
        <v>0</v>
      </c>
      <c r="AQ214">
        <v>1</v>
      </c>
      <c r="AR214">
        <v>0</v>
      </c>
      <c r="AS214">
        <v>1</v>
      </c>
      <c r="AT214">
        <v>0</v>
      </c>
      <c r="AU214">
        <v>0</v>
      </c>
      <c r="AV214">
        <v>0</v>
      </c>
      <c r="AW214">
        <v>1</v>
      </c>
      <c r="AX214">
        <v>0</v>
      </c>
      <c r="AY214">
        <v>1</v>
      </c>
      <c r="AZ214" s="21">
        <v>1</v>
      </c>
      <c r="BA214" s="21">
        <v>1</v>
      </c>
      <c r="BB214" s="21">
        <v>0</v>
      </c>
      <c r="BC214">
        <v>0</v>
      </c>
      <c r="BD214">
        <v>1</v>
      </c>
      <c r="BE214">
        <v>0</v>
      </c>
      <c r="BF214">
        <v>1</v>
      </c>
      <c r="BG214">
        <v>1</v>
      </c>
      <c r="BH214">
        <v>0</v>
      </c>
      <c r="BI214">
        <v>0</v>
      </c>
      <c r="BJ214">
        <v>0</v>
      </c>
      <c r="BK214">
        <v>0</v>
      </c>
      <c r="BL214">
        <v>1</v>
      </c>
      <c r="BM214">
        <v>0</v>
      </c>
      <c r="BN214">
        <v>0</v>
      </c>
      <c r="BO214">
        <v>0</v>
      </c>
      <c r="BP214">
        <v>0</v>
      </c>
      <c r="BQ214">
        <v>0</v>
      </c>
      <c r="BR214" s="21">
        <v>0</v>
      </c>
      <c r="BS214" s="21">
        <v>0</v>
      </c>
    </row>
    <row r="215" spans="1:71">
      <c r="A215" s="20" t="s">
        <v>5016</v>
      </c>
      <c r="B215">
        <v>111</v>
      </c>
      <c r="C215">
        <v>694</v>
      </c>
      <c r="D215">
        <v>2022</v>
      </c>
      <c r="E215">
        <v>-0.71499999999999997</v>
      </c>
      <c r="F215">
        <v>1.7000000000000001E-2</v>
      </c>
      <c r="G215">
        <f t="shared" si="11"/>
        <v>-42.058823529411761</v>
      </c>
      <c r="H215" s="27">
        <v>0</v>
      </c>
      <c r="I215">
        <v>1</v>
      </c>
      <c r="J215">
        <v>714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1</v>
      </c>
      <c r="U215">
        <v>1994</v>
      </c>
      <c r="V215">
        <v>2017</v>
      </c>
      <c r="W215">
        <f t="shared" si="10"/>
        <v>2006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 s="21">
        <v>0</v>
      </c>
      <c r="AO215" s="21">
        <v>0</v>
      </c>
      <c r="AP215" s="21">
        <v>1</v>
      </c>
      <c r="AQ215">
        <v>1</v>
      </c>
      <c r="AR215">
        <v>0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 s="21">
        <v>1</v>
      </c>
      <c r="BA215" s="21">
        <v>1</v>
      </c>
      <c r="BB215" s="21">
        <v>1</v>
      </c>
      <c r="BC215">
        <v>0</v>
      </c>
      <c r="BD215">
        <v>1</v>
      </c>
      <c r="BE215">
        <v>0</v>
      </c>
      <c r="BF215">
        <v>1</v>
      </c>
      <c r="BG215">
        <v>1</v>
      </c>
      <c r="BH215">
        <v>0</v>
      </c>
      <c r="BI215">
        <v>0</v>
      </c>
      <c r="BJ215">
        <v>0</v>
      </c>
      <c r="BK215">
        <v>0</v>
      </c>
      <c r="BL215">
        <v>1</v>
      </c>
      <c r="BM215">
        <v>0</v>
      </c>
      <c r="BN215">
        <v>0</v>
      </c>
      <c r="BO215">
        <v>0</v>
      </c>
      <c r="BP215">
        <v>0</v>
      </c>
      <c r="BQ215">
        <v>0</v>
      </c>
      <c r="BR215" s="21">
        <v>0</v>
      </c>
      <c r="BS215" s="21">
        <v>0</v>
      </c>
    </row>
    <row r="216" spans="1:71">
      <c r="A216" s="20" t="s">
        <v>5016</v>
      </c>
      <c r="B216">
        <v>111</v>
      </c>
      <c r="C216">
        <v>695</v>
      </c>
      <c r="D216">
        <v>2022</v>
      </c>
      <c r="E216">
        <v>-0.77200000000000002</v>
      </c>
      <c r="F216">
        <v>2.5000000000000001E-2</v>
      </c>
      <c r="G216">
        <f t="shared" si="11"/>
        <v>-30.88</v>
      </c>
      <c r="H216" s="27">
        <v>0</v>
      </c>
      <c r="I216">
        <v>1</v>
      </c>
      <c r="J216">
        <v>477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1994</v>
      </c>
      <c r="V216">
        <v>2017</v>
      </c>
      <c r="W216">
        <f t="shared" si="10"/>
        <v>2006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 s="21">
        <v>0</v>
      </c>
      <c r="AO216" s="21">
        <v>0</v>
      </c>
      <c r="AP216" s="21">
        <v>1</v>
      </c>
      <c r="AQ216">
        <v>1</v>
      </c>
      <c r="AR216">
        <v>0</v>
      </c>
      <c r="AS216">
        <v>1</v>
      </c>
      <c r="AT216">
        <v>1</v>
      </c>
      <c r="AU216">
        <v>1</v>
      </c>
      <c r="AV216">
        <v>0</v>
      </c>
      <c r="AW216">
        <v>1</v>
      </c>
      <c r="AX216">
        <v>0</v>
      </c>
      <c r="AY216">
        <v>1</v>
      </c>
      <c r="AZ216" s="21">
        <v>0</v>
      </c>
      <c r="BA216" s="21">
        <v>1</v>
      </c>
      <c r="BB216" s="21">
        <v>1</v>
      </c>
      <c r="BC216">
        <v>0</v>
      </c>
      <c r="BD216">
        <v>1</v>
      </c>
      <c r="BE216">
        <v>0</v>
      </c>
      <c r="BF216">
        <v>1</v>
      </c>
      <c r="BG216">
        <v>1</v>
      </c>
      <c r="BH216">
        <v>0</v>
      </c>
      <c r="BI216">
        <v>0</v>
      </c>
      <c r="BJ216">
        <v>0</v>
      </c>
      <c r="BK216">
        <v>0</v>
      </c>
      <c r="BL216">
        <v>1</v>
      </c>
      <c r="BM216">
        <v>0</v>
      </c>
      <c r="BN216">
        <v>0</v>
      </c>
      <c r="BO216">
        <v>0</v>
      </c>
      <c r="BP216">
        <v>0</v>
      </c>
      <c r="BQ216">
        <v>0</v>
      </c>
      <c r="BR216" s="21">
        <v>0</v>
      </c>
      <c r="BS216" s="21">
        <v>0</v>
      </c>
    </row>
    <row r="217" spans="1:71">
      <c r="A217" s="20" t="s">
        <v>5016</v>
      </c>
      <c r="B217">
        <v>111</v>
      </c>
      <c r="C217">
        <v>696</v>
      </c>
      <c r="D217">
        <v>2022</v>
      </c>
      <c r="E217">
        <v>-0.63500000000000001</v>
      </c>
      <c r="F217">
        <v>0.03</v>
      </c>
      <c r="G217">
        <f t="shared" si="11"/>
        <v>-21.166666666666668</v>
      </c>
      <c r="H217" s="27">
        <v>0</v>
      </c>
      <c r="I217">
        <v>1</v>
      </c>
      <c r="J217">
        <v>237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1994</v>
      </c>
      <c r="V217">
        <v>2017</v>
      </c>
      <c r="W217">
        <f t="shared" si="10"/>
        <v>2006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 s="21">
        <v>0</v>
      </c>
      <c r="AO217" s="21">
        <v>0</v>
      </c>
      <c r="AP217" s="21">
        <v>1</v>
      </c>
      <c r="AQ217">
        <v>1</v>
      </c>
      <c r="AR217">
        <v>0</v>
      </c>
      <c r="AS217">
        <v>1</v>
      </c>
      <c r="AT217">
        <v>0</v>
      </c>
      <c r="AU217">
        <v>0</v>
      </c>
      <c r="AV217">
        <v>1</v>
      </c>
      <c r="AW217">
        <v>0</v>
      </c>
      <c r="AX217">
        <v>1</v>
      </c>
      <c r="AY217">
        <v>1</v>
      </c>
      <c r="AZ217" s="21">
        <v>1</v>
      </c>
      <c r="BA217" s="21">
        <v>1</v>
      </c>
      <c r="BB217" s="21">
        <v>0</v>
      </c>
      <c r="BC217">
        <v>0</v>
      </c>
      <c r="BD217">
        <v>1</v>
      </c>
      <c r="BE217">
        <v>0</v>
      </c>
      <c r="BF217">
        <v>1</v>
      </c>
      <c r="BG217">
        <v>1</v>
      </c>
      <c r="BH217">
        <v>0</v>
      </c>
      <c r="BI217">
        <v>0</v>
      </c>
      <c r="BJ217">
        <v>0</v>
      </c>
      <c r="BK217">
        <v>0</v>
      </c>
      <c r="BL217">
        <v>1</v>
      </c>
      <c r="BM217">
        <v>0</v>
      </c>
      <c r="BN217">
        <v>0</v>
      </c>
      <c r="BO217">
        <v>0</v>
      </c>
      <c r="BP217">
        <v>0</v>
      </c>
      <c r="BQ217">
        <v>0</v>
      </c>
      <c r="BR217" s="21">
        <v>0</v>
      </c>
      <c r="BS217" s="21">
        <v>0</v>
      </c>
    </row>
    <row r="218" spans="1:71">
      <c r="A218" s="20" t="s">
        <v>5016</v>
      </c>
      <c r="B218">
        <v>111</v>
      </c>
      <c r="C218">
        <v>697</v>
      </c>
      <c r="D218">
        <v>2022</v>
      </c>
      <c r="E218">
        <v>-1.4410000000000001</v>
      </c>
      <c r="F218">
        <v>0.121</v>
      </c>
      <c r="G218">
        <f t="shared" si="11"/>
        <v>-11.90909090909091</v>
      </c>
      <c r="H218" s="27">
        <v>0</v>
      </c>
      <c r="I218">
        <v>1</v>
      </c>
      <c r="J218">
        <v>364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1</v>
      </c>
      <c r="U218">
        <v>1994</v>
      </c>
      <c r="V218">
        <v>2017</v>
      </c>
      <c r="W218">
        <f t="shared" si="10"/>
        <v>2006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 s="21">
        <v>0</v>
      </c>
      <c r="AO218" s="21">
        <v>1</v>
      </c>
      <c r="AP218" s="21">
        <v>0</v>
      </c>
      <c r="AQ218">
        <v>1</v>
      </c>
      <c r="AR218">
        <v>0</v>
      </c>
      <c r="AS218">
        <v>1</v>
      </c>
      <c r="AT218">
        <v>1</v>
      </c>
      <c r="AU218">
        <v>1</v>
      </c>
      <c r="AV218">
        <v>0</v>
      </c>
      <c r="AW218">
        <v>1</v>
      </c>
      <c r="AX218">
        <v>0</v>
      </c>
      <c r="AY218">
        <v>1</v>
      </c>
      <c r="AZ218" s="21">
        <v>1</v>
      </c>
      <c r="BA218" s="21">
        <v>1</v>
      </c>
      <c r="BB218" s="21">
        <v>1</v>
      </c>
      <c r="BC218">
        <v>0</v>
      </c>
      <c r="BD218">
        <v>1</v>
      </c>
      <c r="BE218">
        <v>0</v>
      </c>
      <c r="BF218">
        <v>1</v>
      </c>
      <c r="BG218">
        <v>1</v>
      </c>
      <c r="BH218">
        <v>0</v>
      </c>
      <c r="BI218">
        <v>0</v>
      </c>
      <c r="BJ218">
        <v>0</v>
      </c>
      <c r="BK218">
        <v>0</v>
      </c>
      <c r="BL218">
        <v>1</v>
      </c>
      <c r="BM218">
        <v>0</v>
      </c>
      <c r="BN218">
        <v>0</v>
      </c>
      <c r="BO218">
        <v>0</v>
      </c>
      <c r="BP218">
        <v>0</v>
      </c>
      <c r="BQ218">
        <v>0</v>
      </c>
      <c r="BR218" s="21">
        <v>0</v>
      </c>
      <c r="BS218" s="21">
        <v>0</v>
      </c>
    </row>
    <row r="219" spans="1:71">
      <c r="A219" s="20" t="s">
        <v>5016</v>
      </c>
      <c r="B219">
        <v>111</v>
      </c>
      <c r="C219">
        <v>698</v>
      </c>
      <c r="D219">
        <v>2022</v>
      </c>
      <c r="E219">
        <v>-0.35499999999999998</v>
      </c>
      <c r="F219">
        <v>0.17699999999999999</v>
      </c>
      <c r="G219">
        <f t="shared" si="11"/>
        <v>-2.0056497175141241</v>
      </c>
      <c r="H219" s="27">
        <v>0</v>
      </c>
      <c r="I219">
        <v>1</v>
      </c>
      <c r="J219">
        <v>242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1</v>
      </c>
      <c r="U219">
        <v>1994</v>
      </c>
      <c r="V219">
        <v>2017</v>
      </c>
      <c r="W219">
        <f t="shared" si="10"/>
        <v>2006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 s="21">
        <v>0</v>
      </c>
      <c r="AO219" s="21">
        <v>1</v>
      </c>
      <c r="AP219" s="21">
        <v>0</v>
      </c>
      <c r="AQ219">
        <v>1</v>
      </c>
      <c r="AR219">
        <v>0</v>
      </c>
      <c r="AS219">
        <v>1</v>
      </c>
      <c r="AT219">
        <v>1</v>
      </c>
      <c r="AU219">
        <v>1</v>
      </c>
      <c r="AV219">
        <v>0</v>
      </c>
      <c r="AW219">
        <v>1</v>
      </c>
      <c r="AX219">
        <v>0</v>
      </c>
      <c r="AY219">
        <v>1</v>
      </c>
      <c r="AZ219" s="21">
        <v>0</v>
      </c>
      <c r="BA219" s="21">
        <v>1</v>
      </c>
      <c r="BB219" s="21">
        <v>1</v>
      </c>
      <c r="BC219">
        <v>0</v>
      </c>
      <c r="BD219">
        <v>1</v>
      </c>
      <c r="BE219">
        <v>0</v>
      </c>
      <c r="BF219">
        <v>1</v>
      </c>
      <c r="BG219">
        <v>1</v>
      </c>
      <c r="BH219">
        <v>0</v>
      </c>
      <c r="BI219">
        <v>0</v>
      </c>
      <c r="BJ219">
        <v>0</v>
      </c>
      <c r="BK219">
        <v>0</v>
      </c>
      <c r="BL219">
        <v>1</v>
      </c>
      <c r="BM219">
        <v>0</v>
      </c>
      <c r="BN219">
        <v>0</v>
      </c>
      <c r="BO219">
        <v>0</v>
      </c>
      <c r="BP219">
        <v>0</v>
      </c>
      <c r="BQ219">
        <v>0</v>
      </c>
      <c r="BR219" s="21">
        <v>0</v>
      </c>
      <c r="BS219" s="21">
        <v>0</v>
      </c>
    </row>
    <row r="220" spans="1:71">
      <c r="A220" s="20" t="s">
        <v>5016</v>
      </c>
      <c r="B220">
        <v>111</v>
      </c>
      <c r="C220">
        <v>699</v>
      </c>
      <c r="D220">
        <v>2022</v>
      </c>
      <c r="E220">
        <v>-2.3250000000000002</v>
      </c>
      <c r="F220">
        <v>9.8000000000000004E-2</v>
      </c>
      <c r="G220">
        <f t="shared" si="11"/>
        <v>-23.72448979591837</v>
      </c>
      <c r="H220" s="27">
        <v>0</v>
      </c>
      <c r="I220">
        <v>1</v>
      </c>
      <c r="J220">
        <v>122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1</v>
      </c>
      <c r="U220">
        <v>1994</v>
      </c>
      <c r="V220">
        <v>2017</v>
      </c>
      <c r="W220">
        <f t="shared" si="10"/>
        <v>2006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 s="21">
        <v>0</v>
      </c>
      <c r="AO220" s="21">
        <v>1</v>
      </c>
      <c r="AP220" s="21">
        <v>0</v>
      </c>
      <c r="AQ220">
        <v>1</v>
      </c>
      <c r="AR220">
        <v>0</v>
      </c>
      <c r="AS220">
        <v>1</v>
      </c>
      <c r="AT220">
        <v>0</v>
      </c>
      <c r="AU220">
        <v>0</v>
      </c>
      <c r="AV220">
        <v>0</v>
      </c>
      <c r="AW220">
        <v>1</v>
      </c>
      <c r="AX220">
        <v>0</v>
      </c>
      <c r="AY220">
        <v>1</v>
      </c>
      <c r="AZ220" s="21">
        <v>1</v>
      </c>
      <c r="BA220" s="21">
        <v>1</v>
      </c>
      <c r="BB220" s="21">
        <v>0</v>
      </c>
      <c r="BC220">
        <v>0</v>
      </c>
      <c r="BD220">
        <v>1</v>
      </c>
      <c r="BE220">
        <v>0</v>
      </c>
      <c r="BF220">
        <v>1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1</v>
      </c>
      <c r="BM220">
        <v>0</v>
      </c>
      <c r="BN220">
        <v>0</v>
      </c>
      <c r="BO220">
        <v>0</v>
      </c>
      <c r="BP220">
        <v>0</v>
      </c>
      <c r="BQ220">
        <v>0</v>
      </c>
      <c r="BR220" s="21">
        <v>0</v>
      </c>
      <c r="BS220" s="21">
        <v>0</v>
      </c>
    </row>
    <row r="221" spans="1:71">
      <c r="A221" s="20" t="s">
        <v>5016</v>
      </c>
      <c r="B221">
        <v>111</v>
      </c>
      <c r="C221">
        <v>700</v>
      </c>
      <c r="D221">
        <v>2022</v>
      </c>
      <c r="E221">
        <v>-0.81899999999999995</v>
      </c>
      <c r="F221">
        <v>2.3E-2</v>
      </c>
      <c r="G221">
        <f t="shared" si="11"/>
        <v>-35.608695652173914</v>
      </c>
      <c r="H221" s="27">
        <v>0</v>
      </c>
      <c r="I221">
        <v>1</v>
      </c>
      <c r="J221">
        <v>714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1</v>
      </c>
      <c r="U221">
        <v>1994</v>
      </c>
      <c r="V221">
        <v>2017</v>
      </c>
      <c r="W221">
        <f t="shared" si="10"/>
        <v>2006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 s="21">
        <v>0</v>
      </c>
      <c r="AO221" s="21">
        <v>0</v>
      </c>
      <c r="AP221" s="21">
        <v>1</v>
      </c>
      <c r="AQ221">
        <v>1</v>
      </c>
      <c r="AR221">
        <v>0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 s="21">
        <v>1</v>
      </c>
      <c r="BA221" s="21">
        <v>1</v>
      </c>
      <c r="BB221" s="21">
        <v>1</v>
      </c>
      <c r="BC221">
        <v>0</v>
      </c>
      <c r="BD221">
        <v>1</v>
      </c>
      <c r="BE221">
        <v>0</v>
      </c>
      <c r="BF221">
        <v>1</v>
      </c>
      <c r="BG221">
        <v>1</v>
      </c>
      <c r="BH221">
        <v>0</v>
      </c>
      <c r="BI221">
        <v>0</v>
      </c>
      <c r="BJ221">
        <v>0</v>
      </c>
      <c r="BK221">
        <v>0</v>
      </c>
      <c r="BL221">
        <v>1</v>
      </c>
      <c r="BM221">
        <v>0</v>
      </c>
      <c r="BN221">
        <v>0</v>
      </c>
      <c r="BO221">
        <v>0</v>
      </c>
      <c r="BP221">
        <v>0</v>
      </c>
      <c r="BQ221">
        <v>0</v>
      </c>
      <c r="BR221" s="21">
        <v>0</v>
      </c>
      <c r="BS221" s="21">
        <v>0</v>
      </c>
    </row>
    <row r="222" spans="1:71">
      <c r="A222" s="20" t="s">
        <v>5016</v>
      </c>
      <c r="B222">
        <v>111</v>
      </c>
      <c r="C222">
        <v>701</v>
      </c>
      <c r="D222">
        <v>2022</v>
      </c>
      <c r="E222">
        <v>-0.86099999999999999</v>
      </c>
      <c r="F222">
        <v>2.4E-2</v>
      </c>
      <c r="G222">
        <f t="shared" si="11"/>
        <v>-35.875</v>
      </c>
      <c r="H222" s="27">
        <v>0</v>
      </c>
      <c r="I222">
        <v>1</v>
      </c>
      <c r="J222">
        <v>477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1</v>
      </c>
      <c r="U222">
        <v>1994</v>
      </c>
      <c r="V222">
        <v>2017</v>
      </c>
      <c r="W222">
        <f t="shared" si="10"/>
        <v>2006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 s="21">
        <v>0</v>
      </c>
      <c r="AO222" s="21">
        <v>0</v>
      </c>
      <c r="AP222" s="21">
        <v>1</v>
      </c>
      <c r="AQ222">
        <v>1</v>
      </c>
      <c r="AR222">
        <v>0</v>
      </c>
      <c r="AS222">
        <v>1</v>
      </c>
      <c r="AT222">
        <v>1</v>
      </c>
      <c r="AU222">
        <v>1</v>
      </c>
      <c r="AV222">
        <v>0</v>
      </c>
      <c r="AW222">
        <v>1</v>
      </c>
      <c r="AX222">
        <v>0</v>
      </c>
      <c r="AY222">
        <v>1</v>
      </c>
      <c r="AZ222" s="21">
        <v>0</v>
      </c>
      <c r="BA222" s="21">
        <v>1</v>
      </c>
      <c r="BB222" s="21">
        <v>1</v>
      </c>
      <c r="BC222">
        <v>0</v>
      </c>
      <c r="BD222">
        <v>1</v>
      </c>
      <c r="BE222">
        <v>0</v>
      </c>
      <c r="BF222">
        <v>1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1</v>
      </c>
      <c r="BM222">
        <v>0</v>
      </c>
      <c r="BN222">
        <v>0</v>
      </c>
      <c r="BO222">
        <v>0</v>
      </c>
      <c r="BP222">
        <v>0</v>
      </c>
      <c r="BQ222">
        <v>0</v>
      </c>
      <c r="BR222" s="21">
        <v>0</v>
      </c>
      <c r="BS222" s="21">
        <v>0</v>
      </c>
    </row>
    <row r="223" spans="1:71">
      <c r="A223" s="20" t="s">
        <v>5016</v>
      </c>
      <c r="B223">
        <v>111</v>
      </c>
      <c r="C223">
        <v>702</v>
      </c>
      <c r="D223">
        <v>2022</v>
      </c>
      <c r="E223">
        <v>-0.66500000000000004</v>
      </c>
      <c r="F223">
        <v>3.2000000000000001E-2</v>
      </c>
      <c r="G223">
        <f t="shared" si="11"/>
        <v>-20.78125</v>
      </c>
      <c r="H223" s="27">
        <v>0</v>
      </c>
      <c r="I223">
        <v>1</v>
      </c>
      <c r="J223">
        <v>237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1</v>
      </c>
      <c r="U223">
        <v>1994</v>
      </c>
      <c r="V223">
        <v>2017</v>
      </c>
      <c r="W223">
        <f t="shared" si="10"/>
        <v>2006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 s="21">
        <v>0</v>
      </c>
      <c r="AO223" s="21">
        <v>0</v>
      </c>
      <c r="AP223" s="21">
        <v>1</v>
      </c>
      <c r="AQ223">
        <v>1</v>
      </c>
      <c r="AR223">
        <v>0</v>
      </c>
      <c r="AS223">
        <v>1</v>
      </c>
      <c r="AT223">
        <v>0</v>
      </c>
      <c r="AU223">
        <v>0</v>
      </c>
      <c r="AV223">
        <v>1</v>
      </c>
      <c r="AW223">
        <v>0</v>
      </c>
      <c r="AX223">
        <v>1</v>
      </c>
      <c r="AY223">
        <v>1</v>
      </c>
      <c r="AZ223" s="21">
        <v>1</v>
      </c>
      <c r="BA223" s="21">
        <v>1</v>
      </c>
      <c r="BB223" s="21">
        <v>0</v>
      </c>
      <c r="BC223">
        <v>0</v>
      </c>
      <c r="BD223">
        <v>1</v>
      </c>
      <c r="BE223">
        <v>0</v>
      </c>
      <c r="BF223">
        <v>1</v>
      </c>
      <c r="BG223">
        <v>1</v>
      </c>
      <c r="BH223">
        <v>0</v>
      </c>
      <c r="BI223">
        <v>0</v>
      </c>
      <c r="BJ223">
        <v>0</v>
      </c>
      <c r="BK223">
        <v>0</v>
      </c>
      <c r="BL223">
        <v>1</v>
      </c>
      <c r="BM223">
        <v>0</v>
      </c>
      <c r="BN223">
        <v>0</v>
      </c>
      <c r="BO223">
        <v>0</v>
      </c>
      <c r="BP223">
        <v>0</v>
      </c>
      <c r="BQ223">
        <v>0</v>
      </c>
      <c r="BR223" s="21">
        <v>0</v>
      </c>
      <c r="BS223" s="21">
        <v>0</v>
      </c>
    </row>
    <row r="224" spans="1:71">
      <c r="A224" s="20" t="s">
        <v>5016</v>
      </c>
      <c r="B224">
        <v>111</v>
      </c>
      <c r="C224">
        <v>703</v>
      </c>
      <c r="D224">
        <v>2022</v>
      </c>
      <c r="E224">
        <v>-1.3779999999999999</v>
      </c>
      <c r="F224">
        <v>6.0999999999999999E-2</v>
      </c>
      <c r="G224">
        <f t="shared" si="11"/>
        <v>-22.590163934426229</v>
      </c>
      <c r="H224" s="27">
        <v>0</v>
      </c>
      <c r="I224">
        <v>1</v>
      </c>
      <c r="J224">
        <v>364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</v>
      </c>
      <c r="U224">
        <v>1994</v>
      </c>
      <c r="V224">
        <v>2017</v>
      </c>
      <c r="W224">
        <f t="shared" si="10"/>
        <v>2006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 s="21">
        <v>0</v>
      </c>
      <c r="AO224" s="21">
        <v>1</v>
      </c>
      <c r="AP224" s="21">
        <v>0</v>
      </c>
      <c r="AQ224">
        <v>1</v>
      </c>
      <c r="AR224">
        <v>0</v>
      </c>
      <c r="AS224">
        <v>1</v>
      </c>
      <c r="AT224">
        <v>1</v>
      </c>
      <c r="AU224">
        <v>1</v>
      </c>
      <c r="AV224">
        <v>0</v>
      </c>
      <c r="AW224">
        <v>1</v>
      </c>
      <c r="AX224">
        <v>0</v>
      </c>
      <c r="AY224">
        <v>1</v>
      </c>
      <c r="AZ224" s="21">
        <v>1</v>
      </c>
      <c r="BA224" s="21">
        <v>1</v>
      </c>
      <c r="BB224" s="21">
        <v>1</v>
      </c>
      <c r="BC224">
        <v>0</v>
      </c>
      <c r="BD224">
        <v>1</v>
      </c>
      <c r="BE224">
        <v>0</v>
      </c>
      <c r="BF224">
        <v>1</v>
      </c>
      <c r="BG224">
        <v>1</v>
      </c>
      <c r="BH224">
        <v>0</v>
      </c>
      <c r="BI224">
        <v>0</v>
      </c>
      <c r="BJ224">
        <v>0</v>
      </c>
      <c r="BK224">
        <v>0</v>
      </c>
      <c r="BL224">
        <v>1</v>
      </c>
      <c r="BM224">
        <v>0</v>
      </c>
      <c r="BN224">
        <v>0</v>
      </c>
      <c r="BO224">
        <v>0</v>
      </c>
      <c r="BP224">
        <v>0</v>
      </c>
      <c r="BQ224">
        <v>0</v>
      </c>
      <c r="BR224" s="21">
        <v>0</v>
      </c>
      <c r="BS224" s="21">
        <v>0</v>
      </c>
    </row>
    <row r="225" spans="1:71">
      <c r="A225" s="20" t="s">
        <v>5016</v>
      </c>
      <c r="B225">
        <v>111</v>
      </c>
      <c r="C225">
        <v>704</v>
      </c>
      <c r="D225">
        <v>2022</v>
      </c>
      <c r="E225">
        <v>-0.55500000000000005</v>
      </c>
      <c r="F225">
        <v>0.21</v>
      </c>
      <c r="G225">
        <f t="shared" si="11"/>
        <v>-2.6428571428571432</v>
      </c>
      <c r="H225" s="27">
        <v>0</v>
      </c>
      <c r="I225">
        <v>1</v>
      </c>
      <c r="J225">
        <v>242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1994</v>
      </c>
      <c r="V225">
        <v>2017</v>
      </c>
      <c r="W225">
        <f t="shared" si="10"/>
        <v>2006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 s="21">
        <v>0</v>
      </c>
      <c r="AO225" s="21">
        <v>1</v>
      </c>
      <c r="AP225" s="21">
        <v>0</v>
      </c>
      <c r="AQ225">
        <v>1</v>
      </c>
      <c r="AR225">
        <v>0</v>
      </c>
      <c r="AS225">
        <v>1</v>
      </c>
      <c r="AT225">
        <v>1</v>
      </c>
      <c r="AU225">
        <v>1</v>
      </c>
      <c r="AV225">
        <v>0</v>
      </c>
      <c r="AW225">
        <v>1</v>
      </c>
      <c r="AX225">
        <v>0</v>
      </c>
      <c r="AY225">
        <v>1</v>
      </c>
      <c r="AZ225" s="21">
        <v>0</v>
      </c>
      <c r="BA225" s="21">
        <v>1</v>
      </c>
      <c r="BB225" s="21">
        <v>1</v>
      </c>
      <c r="BC225">
        <v>0</v>
      </c>
      <c r="BD225">
        <v>1</v>
      </c>
      <c r="BE225">
        <v>0</v>
      </c>
      <c r="BF225">
        <v>1</v>
      </c>
      <c r="BG225">
        <v>1</v>
      </c>
      <c r="BH225">
        <v>0</v>
      </c>
      <c r="BI225">
        <v>0</v>
      </c>
      <c r="BJ225">
        <v>0</v>
      </c>
      <c r="BK225">
        <v>0</v>
      </c>
      <c r="BL225">
        <v>1</v>
      </c>
      <c r="BM225">
        <v>0</v>
      </c>
      <c r="BN225">
        <v>0</v>
      </c>
      <c r="BO225">
        <v>0</v>
      </c>
      <c r="BP225">
        <v>0</v>
      </c>
      <c r="BQ225">
        <v>0</v>
      </c>
      <c r="BR225" s="21">
        <v>0</v>
      </c>
      <c r="BS225" s="21">
        <v>0</v>
      </c>
    </row>
    <row r="226" spans="1:71">
      <c r="A226" s="20" t="s">
        <v>5016</v>
      </c>
      <c r="B226">
        <v>111</v>
      </c>
      <c r="C226">
        <v>705</v>
      </c>
      <c r="D226">
        <v>2022</v>
      </c>
      <c r="E226">
        <v>-2.0680000000000001</v>
      </c>
      <c r="F226">
        <v>0.11600000000000001</v>
      </c>
      <c r="G226">
        <f t="shared" si="11"/>
        <v>-17.827586206896552</v>
      </c>
      <c r="H226" s="27">
        <v>0</v>
      </c>
      <c r="I226">
        <v>1</v>
      </c>
      <c r="J226">
        <v>122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1</v>
      </c>
      <c r="U226">
        <v>1994</v>
      </c>
      <c r="V226">
        <v>2017</v>
      </c>
      <c r="W226">
        <f t="shared" si="10"/>
        <v>2006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 s="21">
        <v>0</v>
      </c>
      <c r="AO226" s="21">
        <v>1</v>
      </c>
      <c r="AP226" s="21">
        <v>0</v>
      </c>
      <c r="AQ226">
        <v>1</v>
      </c>
      <c r="AR226">
        <v>0</v>
      </c>
      <c r="AS226">
        <v>1</v>
      </c>
      <c r="AT226">
        <v>0</v>
      </c>
      <c r="AU226">
        <v>0</v>
      </c>
      <c r="AV226">
        <v>0</v>
      </c>
      <c r="AW226">
        <v>1</v>
      </c>
      <c r="AX226">
        <v>0</v>
      </c>
      <c r="AY226">
        <v>1</v>
      </c>
      <c r="AZ226" s="21">
        <v>1</v>
      </c>
      <c r="BA226" s="21">
        <v>1</v>
      </c>
      <c r="BB226" s="21">
        <v>0</v>
      </c>
      <c r="BC226">
        <v>0</v>
      </c>
      <c r="BD226">
        <v>1</v>
      </c>
      <c r="BE226">
        <v>0</v>
      </c>
      <c r="BF226">
        <v>1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1</v>
      </c>
      <c r="BM226">
        <v>0</v>
      </c>
      <c r="BN226">
        <v>0</v>
      </c>
      <c r="BO226">
        <v>0</v>
      </c>
      <c r="BP226">
        <v>0</v>
      </c>
      <c r="BQ226">
        <v>0</v>
      </c>
      <c r="BR226" s="21">
        <v>0</v>
      </c>
      <c r="BS226" s="21">
        <v>0</v>
      </c>
    </row>
    <row r="227" spans="1:71">
      <c r="A227" s="20" t="s">
        <v>4941</v>
      </c>
      <c r="B227">
        <v>112</v>
      </c>
      <c r="C227">
        <v>706</v>
      </c>
      <c r="D227">
        <v>2022</v>
      </c>
      <c r="E227">
        <v>-4.6399999999999997E-2</v>
      </c>
      <c r="F227">
        <v>1.46E-2</v>
      </c>
      <c r="G227">
        <f t="shared" si="11"/>
        <v>-3.1780821917808217</v>
      </c>
      <c r="H227" s="27">
        <v>0</v>
      </c>
      <c r="I227">
        <v>1</v>
      </c>
      <c r="J227">
        <v>1665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2004</v>
      </c>
      <c r="V227">
        <v>2019</v>
      </c>
      <c r="W227">
        <f t="shared" si="10"/>
        <v>2012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 s="21">
        <v>1</v>
      </c>
      <c r="AO227" s="21">
        <v>1</v>
      </c>
      <c r="AP227" s="21">
        <v>1</v>
      </c>
      <c r="AQ227">
        <v>0</v>
      </c>
      <c r="AR227">
        <v>1</v>
      </c>
      <c r="AS227">
        <v>1</v>
      </c>
      <c r="AT227">
        <v>1</v>
      </c>
      <c r="AU227">
        <v>0</v>
      </c>
      <c r="AV227">
        <v>0</v>
      </c>
      <c r="AW227">
        <v>1</v>
      </c>
      <c r="AX227">
        <v>0</v>
      </c>
      <c r="AY227">
        <v>1</v>
      </c>
      <c r="AZ227" s="21">
        <v>1</v>
      </c>
      <c r="BA227" s="21">
        <v>1</v>
      </c>
      <c r="BB227" s="21">
        <v>1</v>
      </c>
      <c r="BC227">
        <v>0</v>
      </c>
      <c r="BD227">
        <v>1</v>
      </c>
      <c r="BE227">
        <v>1</v>
      </c>
      <c r="BF227">
        <v>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 s="21">
        <v>0</v>
      </c>
      <c r="BS227" s="21">
        <v>0</v>
      </c>
    </row>
    <row r="228" spans="1:71">
      <c r="A228" s="20" t="s">
        <v>4941</v>
      </c>
      <c r="B228">
        <v>112</v>
      </c>
      <c r="C228">
        <v>707</v>
      </c>
      <c r="D228">
        <v>2022</v>
      </c>
      <c r="E228">
        <v>-4.4299999999999999E-2</v>
      </c>
      <c r="F228">
        <v>1.4999999999999999E-2</v>
      </c>
      <c r="G228">
        <f t="shared" si="11"/>
        <v>-2.9533333333333336</v>
      </c>
      <c r="H228" s="27">
        <v>0</v>
      </c>
      <c r="I228">
        <v>1</v>
      </c>
      <c r="J228">
        <v>1665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2004</v>
      </c>
      <c r="V228">
        <v>2019</v>
      </c>
      <c r="W228">
        <f t="shared" si="10"/>
        <v>2012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 s="21">
        <v>1</v>
      </c>
      <c r="AO228" s="21">
        <v>1</v>
      </c>
      <c r="AP228" s="21">
        <v>1</v>
      </c>
      <c r="AQ228">
        <v>0</v>
      </c>
      <c r="AR228">
        <v>1</v>
      </c>
      <c r="AS228">
        <v>1</v>
      </c>
      <c r="AT228">
        <v>1</v>
      </c>
      <c r="AU228">
        <v>0</v>
      </c>
      <c r="AV228">
        <v>0</v>
      </c>
      <c r="AW228">
        <v>1</v>
      </c>
      <c r="AX228">
        <v>0</v>
      </c>
      <c r="AY228">
        <v>1</v>
      </c>
      <c r="AZ228" s="21">
        <v>1</v>
      </c>
      <c r="BA228" s="21">
        <v>1</v>
      </c>
      <c r="BB228" s="21">
        <v>1</v>
      </c>
      <c r="BC228">
        <v>0</v>
      </c>
      <c r="BD228">
        <v>1</v>
      </c>
      <c r="BE228">
        <v>1</v>
      </c>
      <c r="BF228">
        <v>1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 s="21">
        <v>0</v>
      </c>
      <c r="BS228" s="21">
        <v>0</v>
      </c>
    </row>
    <row r="229" spans="1:71">
      <c r="A229" s="20" t="s">
        <v>4941</v>
      </c>
      <c r="B229">
        <v>112</v>
      </c>
      <c r="C229">
        <v>708</v>
      </c>
      <c r="D229">
        <v>2022</v>
      </c>
      <c r="E229">
        <v>-1.4876</v>
      </c>
      <c r="F229">
        <v>0.46500000000000002</v>
      </c>
      <c r="G229">
        <f t="shared" si="11"/>
        <v>-3.1991397849462366</v>
      </c>
      <c r="H229" s="27">
        <v>0</v>
      </c>
      <c r="I229">
        <v>1</v>
      </c>
      <c r="J229">
        <v>336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2004</v>
      </c>
      <c r="V229">
        <v>2019</v>
      </c>
      <c r="W229">
        <f t="shared" si="10"/>
        <v>2012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 s="21">
        <v>0</v>
      </c>
      <c r="AO229" s="21">
        <v>0</v>
      </c>
      <c r="AP229" s="21">
        <v>1</v>
      </c>
      <c r="AQ229">
        <v>0</v>
      </c>
      <c r="AR229">
        <v>1</v>
      </c>
      <c r="AS229">
        <v>1</v>
      </c>
      <c r="AT229">
        <v>1</v>
      </c>
      <c r="AU229">
        <v>0</v>
      </c>
      <c r="AV229">
        <v>0</v>
      </c>
      <c r="AW229">
        <v>1</v>
      </c>
      <c r="AX229">
        <v>0</v>
      </c>
      <c r="AY229">
        <v>1</v>
      </c>
      <c r="AZ229" s="21">
        <v>1</v>
      </c>
      <c r="BA229" s="21">
        <v>1</v>
      </c>
      <c r="BB229" s="21">
        <v>1</v>
      </c>
      <c r="BC229">
        <v>0</v>
      </c>
      <c r="BD229">
        <v>1</v>
      </c>
      <c r="BE229">
        <v>1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 s="21">
        <v>0</v>
      </c>
      <c r="BS229" s="21">
        <v>0</v>
      </c>
    </row>
    <row r="230" spans="1:71">
      <c r="A230" s="20" t="s">
        <v>4941</v>
      </c>
      <c r="B230">
        <v>112</v>
      </c>
      <c r="C230">
        <v>709</v>
      </c>
      <c r="D230">
        <v>2022</v>
      </c>
      <c r="E230">
        <v>-1.3776999999999999</v>
      </c>
      <c r="F230">
        <v>0.21240000000000001</v>
      </c>
      <c r="G230">
        <f t="shared" si="11"/>
        <v>-6.4863465160075329</v>
      </c>
      <c r="H230" s="27">
        <v>0</v>
      </c>
      <c r="I230">
        <v>1</v>
      </c>
      <c r="J230">
        <v>327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2004</v>
      </c>
      <c r="V230">
        <v>2019</v>
      </c>
      <c r="W230">
        <f t="shared" si="10"/>
        <v>2012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 s="21">
        <v>0</v>
      </c>
      <c r="AO230" s="21">
        <v>0</v>
      </c>
      <c r="AP230" s="21">
        <v>1</v>
      </c>
      <c r="AQ230">
        <v>0</v>
      </c>
      <c r="AR230">
        <v>1</v>
      </c>
      <c r="AS230">
        <v>1</v>
      </c>
      <c r="AT230">
        <v>1</v>
      </c>
      <c r="AU230">
        <v>0</v>
      </c>
      <c r="AV230">
        <v>0</v>
      </c>
      <c r="AW230">
        <v>1</v>
      </c>
      <c r="AX230">
        <v>0</v>
      </c>
      <c r="AY230">
        <v>1</v>
      </c>
      <c r="AZ230" s="21">
        <v>1</v>
      </c>
      <c r="BA230" s="21">
        <v>1</v>
      </c>
      <c r="BB230" s="21">
        <v>1</v>
      </c>
      <c r="BC230">
        <v>0</v>
      </c>
      <c r="BD230">
        <v>1</v>
      </c>
      <c r="BE230">
        <v>1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 s="21">
        <v>0</v>
      </c>
      <c r="BS230" s="21">
        <v>0</v>
      </c>
    </row>
    <row r="231" spans="1:71">
      <c r="A231" s="20" t="s">
        <v>4941</v>
      </c>
      <c r="B231">
        <v>112</v>
      </c>
      <c r="C231">
        <v>710</v>
      </c>
      <c r="D231">
        <v>2022</v>
      </c>
      <c r="E231">
        <v>0.50629999999999997</v>
      </c>
      <c r="F231">
        <v>0.4713</v>
      </c>
      <c r="G231">
        <f t="shared" si="11"/>
        <v>1.0742626776999786</v>
      </c>
      <c r="H231" s="27">
        <v>0</v>
      </c>
      <c r="I231">
        <v>1</v>
      </c>
      <c r="J231">
        <v>330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2004</v>
      </c>
      <c r="V231">
        <v>2019</v>
      </c>
      <c r="W231">
        <f t="shared" si="10"/>
        <v>2012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 s="21">
        <v>0</v>
      </c>
      <c r="AO231" s="21">
        <v>0</v>
      </c>
      <c r="AP231" s="21">
        <v>1</v>
      </c>
      <c r="AQ231">
        <v>0</v>
      </c>
      <c r="AR231">
        <v>1</v>
      </c>
      <c r="AS231">
        <v>1</v>
      </c>
      <c r="AT231">
        <v>1</v>
      </c>
      <c r="AU231">
        <v>0</v>
      </c>
      <c r="AV231">
        <v>0</v>
      </c>
      <c r="AW231">
        <v>1</v>
      </c>
      <c r="AX231">
        <v>0</v>
      </c>
      <c r="AY231">
        <v>1</v>
      </c>
      <c r="AZ231" s="21">
        <v>1</v>
      </c>
      <c r="BA231" s="21">
        <v>1</v>
      </c>
      <c r="BB231" s="21">
        <v>1</v>
      </c>
      <c r="BC231">
        <v>0</v>
      </c>
      <c r="BD231">
        <v>1</v>
      </c>
      <c r="BE231">
        <v>1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 s="21">
        <v>0</v>
      </c>
      <c r="BS231" s="21">
        <v>0</v>
      </c>
    </row>
    <row r="232" spans="1:71">
      <c r="A232" s="20" t="s">
        <v>4941</v>
      </c>
      <c r="B232">
        <v>112</v>
      </c>
      <c r="C232">
        <v>711</v>
      </c>
      <c r="D232">
        <v>2022</v>
      </c>
      <c r="E232">
        <v>-5.3400000000000003E-2</v>
      </c>
      <c r="F232">
        <v>1.78E-2</v>
      </c>
      <c r="G232">
        <f t="shared" si="11"/>
        <v>-3</v>
      </c>
      <c r="H232" s="27">
        <v>0</v>
      </c>
      <c r="I232">
        <v>1</v>
      </c>
      <c r="J232">
        <v>336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2004</v>
      </c>
      <c r="V232">
        <v>2019</v>
      </c>
      <c r="W232">
        <f t="shared" si="10"/>
        <v>2012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 s="21">
        <v>0</v>
      </c>
      <c r="AO232" s="21">
        <v>0</v>
      </c>
      <c r="AP232" s="21">
        <v>1</v>
      </c>
      <c r="AQ232">
        <v>0</v>
      </c>
      <c r="AR232">
        <v>1</v>
      </c>
      <c r="AS232">
        <v>1</v>
      </c>
      <c r="AT232">
        <v>1</v>
      </c>
      <c r="AU232">
        <v>0</v>
      </c>
      <c r="AV232">
        <v>0</v>
      </c>
      <c r="AW232">
        <v>1</v>
      </c>
      <c r="AX232">
        <v>0</v>
      </c>
      <c r="AY232">
        <v>1</v>
      </c>
      <c r="AZ232" s="21">
        <v>1</v>
      </c>
      <c r="BA232" s="21">
        <v>1</v>
      </c>
      <c r="BB232" s="21">
        <v>1</v>
      </c>
      <c r="BC232">
        <v>0</v>
      </c>
      <c r="BD232">
        <v>1</v>
      </c>
      <c r="BE232">
        <v>1</v>
      </c>
      <c r="BF232">
        <v>1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 s="21">
        <v>0</v>
      </c>
      <c r="BS232" s="21">
        <v>0</v>
      </c>
    </row>
    <row r="233" spans="1:71">
      <c r="A233" s="20" t="s">
        <v>4941</v>
      </c>
      <c r="B233">
        <v>112</v>
      </c>
      <c r="C233">
        <v>712</v>
      </c>
      <c r="D233">
        <v>2022</v>
      </c>
      <c r="E233">
        <v>-1.6153</v>
      </c>
      <c r="F233">
        <v>0.42949999999999999</v>
      </c>
      <c r="G233">
        <f t="shared" si="11"/>
        <v>-3.7608847497089637</v>
      </c>
      <c r="H233" s="27">
        <v>0</v>
      </c>
      <c r="I233">
        <v>1</v>
      </c>
      <c r="J233">
        <v>336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2004</v>
      </c>
      <c r="V233">
        <v>2019</v>
      </c>
      <c r="W233">
        <f t="shared" si="10"/>
        <v>2012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 s="21">
        <v>0</v>
      </c>
      <c r="AO233" s="21">
        <v>0</v>
      </c>
      <c r="AP233" s="21">
        <v>1</v>
      </c>
      <c r="AQ233">
        <v>0</v>
      </c>
      <c r="AR233">
        <v>1</v>
      </c>
      <c r="AS233">
        <v>1</v>
      </c>
      <c r="AT233">
        <v>1</v>
      </c>
      <c r="AU233">
        <v>0</v>
      </c>
      <c r="AV233">
        <v>0</v>
      </c>
      <c r="AW233">
        <v>1</v>
      </c>
      <c r="AX233">
        <v>0</v>
      </c>
      <c r="AY233">
        <v>1</v>
      </c>
      <c r="AZ233" s="21">
        <v>1</v>
      </c>
      <c r="BA233" s="21">
        <v>1</v>
      </c>
      <c r="BB233" s="21">
        <v>1</v>
      </c>
      <c r="BC233">
        <v>0</v>
      </c>
      <c r="BD233">
        <v>1</v>
      </c>
      <c r="BE233">
        <v>1</v>
      </c>
      <c r="BF233">
        <v>1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 s="21">
        <v>0</v>
      </c>
      <c r="BS233" s="21">
        <v>0</v>
      </c>
    </row>
    <row r="234" spans="1:71">
      <c r="A234" s="20" t="s">
        <v>4941</v>
      </c>
      <c r="B234">
        <v>112</v>
      </c>
      <c r="C234">
        <v>713</v>
      </c>
      <c r="D234">
        <v>2022</v>
      </c>
      <c r="E234">
        <v>-0.78449999999999998</v>
      </c>
      <c r="F234">
        <v>0.2631</v>
      </c>
      <c r="G234">
        <f t="shared" ref="G234:G236" si="12">E234/F234</f>
        <v>-2.9817559863169896</v>
      </c>
      <c r="H234" s="27">
        <v>0</v>
      </c>
      <c r="I234">
        <v>1</v>
      </c>
      <c r="J234">
        <v>320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2004</v>
      </c>
      <c r="V234">
        <v>2019</v>
      </c>
      <c r="W234">
        <f t="shared" si="10"/>
        <v>2012</v>
      </c>
      <c r="X234">
        <v>1</v>
      </c>
      <c r="Y234">
        <v>1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 s="21">
        <v>0</v>
      </c>
      <c r="AO234" s="21">
        <v>0</v>
      </c>
      <c r="AP234" s="21">
        <v>1</v>
      </c>
      <c r="AQ234">
        <v>0</v>
      </c>
      <c r="AR234">
        <v>1</v>
      </c>
      <c r="AS234">
        <v>1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 s="21">
        <v>0</v>
      </c>
      <c r="BA234" s="21">
        <v>0</v>
      </c>
      <c r="BB234" s="21">
        <v>1</v>
      </c>
      <c r="BC234">
        <v>0</v>
      </c>
      <c r="BD234">
        <v>1</v>
      </c>
      <c r="BE234">
        <v>1</v>
      </c>
      <c r="BF234">
        <v>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 s="21">
        <v>0</v>
      </c>
      <c r="BS234" s="21">
        <v>0</v>
      </c>
    </row>
    <row r="235" spans="1:71">
      <c r="A235" s="20" t="s">
        <v>4941</v>
      </c>
      <c r="B235">
        <v>112</v>
      </c>
      <c r="C235">
        <v>714</v>
      </c>
      <c r="D235">
        <v>2022</v>
      </c>
      <c r="E235">
        <v>-0.18210000000000001</v>
      </c>
      <c r="F235">
        <v>0.37009999999999998</v>
      </c>
      <c r="G235">
        <f t="shared" si="12"/>
        <v>-0.49202918130235079</v>
      </c>
      <c r="H235" s="27">
        <v>0</v>
      </c>
      <c r="I235">
        <v>1</v>
      </c>
      <c r="J235">
        <v>400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2004</v>
      </c>
      <c r="V235">
        <v>2019</v>
      </c>
      <c r="W235">
        <f t="shared" si="10"/>
        <v>2012</v>
      </c>
      <c r="X235">
        <v>1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 s="21">
        <v>0</v>
      </c>
      <c r="AO235" s="21">
        <v>0</v>
      </c>
      <c r="AP235" s="21">
        <v>1</v>
      </c>
      <c r="AQ235">
        <v>0</v>
      </c>
      <c r="AR235">
        <v>1</v>
      </c>
      <c r="AS235">
        <v>1</v>
      </c>
      <c r="AT235">
        <v>1</v>
      </c>
      <c r="AU235">
        <v>0</v>
      </c>
      <c r="AV235">
        <v>0</v>
      </c>
      <c r="AW235">
        <v>1</v>
      </c>
      <c r="AX235">
        <v>0</v>
      </c>
      <c r="AY235">
        <v>1</v>
      </c>
      <c r="AZ235" s="21">
        <v>1</v>
      </c>
      <c r="BA235" s="21">
        <v>1</v>
      </c>
      <c r="BB235" s="21">
        <v>1</v>
      </c>
      <c r="BC235">
        <v>0</v>
      </c>
      <c r="BD235">
        <v>1</v>
      </c>
      <c r="BE235">
        <v>1</v>
      </c>
      <c r="BF235">
        <v>1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 s="21">
        <v>0</v>
      </c>
      <c r="BS235" s="21">
        <v>0</v>
      </c>
    </row>
    <row r="236" spans="1:71">
      <c r="A236" s="20" t="s">
        <v>4941</v>
      </c>
      <c r="B236">
        <v>112</v>
      </c>
      <c r="C236">
        <v>715</v>
      </c>
      <c r="D236">
        <v>2022</v>
      </c>
      <c r="E236">
        <v>-4.3900000000000002E-2</v>
      </c>
      <c r="F236">
        <v>1.7399999999999999E-2</v>
      </c>
      <c r="G236">
        <f t="shared" si="12"/>
        <v>-2.5229885057471266</v>
      </c>
      <c r="H236" s="27">
        <v>0</v>
      </c>
      <c r="I236">
        <v>1</v>
      </c>
      <c r="J236">
        <v>1265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2004</v>
      </c>
      <c r="V236">
        <v>2019</v>
      </c>
      <c r="W236">
        <f t="shared" si="10"/>
        <v>2012</v>
      </c>
      <c r="X236">
        <v>1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 s="21">
        <v>0</v>
      </c>
      <c r="AO236" s="21">
        <v>0</v>
      </c>
      <c r="AP236" s="21">
        <v>1</v>
      </c>
      <c r="AQ236">
        <v>0</v>
      </c>
      <c r="AR236">
        <v>1</v>
      </c>
      <c r="AS236">
        <v>1</v>
      </c>
      <c r="AT236">
        <v>1</v>
      </c>
      <c r="AU236">
        <v>0</v>
      </c>
      <c r="AV236">
        <v>0</v>
      </c>
      <c r="AW236">
        <v>1</v>
      </c>
      <c r="AX236">
        <v>0</v>
      </c>
      <c r="AY236">
        <v>1</v>
      </c>
      <c r="AZ236" s="21">
        <v>1</v>
      </c>
      <c r="BA236" s="21">
        <v>1</v>
      </c>
      <c r="BB236" s="21">
        <v>1</v>
      </c>
      <c r="BC236">
        <v>0</v>
      </c>
      <c r="BD236">
        <v>1</v>
      </c>
      <c r="BE236">
        <v>1</v>
      </c>
      <c r="BF236">
        <v>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 s="21">
        <v>0</v>
      </c>
      <c r="BS236" s="21">
        <v>0</v>
      </c>
    </row>
    <row r="237" spans="1:71">
      <c r="A237" s="20" t="s">
        <v>4894</v>
      </c>
      <c r="B237">
        <v>7</v>
      </c>
      <c r="C237">
        <v>49</v>
      </c>
      <c r="D237">
        <v>2021</v>
      </c>
      <c r="E237" s="14">
        <v>-0.57999999999999996</v>
      </c>
      <c r="F237" s="14">
        <f t="shared" ref="F237:F242" si="13">E237/G237</f>
        <v>0.11646586345381524</v>
      </c>
      <c r="G237" s="14">
        <v>-4.9800000000000004</v>
      </c>
      <c r="H237" s="27">
        <v>0</v>
      </c>
      <c r="I237">
        <v>1</v>
      </c>
      <c r="J237">
        <v>264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2004</v>
      </c>
      <c r="V237">
        <v>2013</v>
      </c>
      <c r="W237">
        <f t="shared" si="10"/>
        <v>2009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1</v>
      </c>
      <c r="AF237">
        <v>0</v>
      </c>
      <c r="AG237">
        <v>1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>
        <v>1</v>
      </c>
      <c r="AR237">
        <v>0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0</v>
      </c>
      <c r="BM237">
        <v>1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</row>
    <row r="238" spans="1:71">
      <c r="A238" s="20" t="s">
        <v>4894</v>
      </c>
      <c r="B238">
        <v>7</v>
      </c>
      <c r="C238">
        <v>50</v>
      </c>
      <c r="D238">
        <v>2021</v>
      </c>
      <c r="E238" s="14">
        <v>-0.56999999999999995</v>
      </c>
      <c r="F238" s="14">
        <f t="shared" si="13"/>
        <v>0.10575139146567718</v>
      </c>
      <c r="G238" s="14">
        <v>-5.39</v>
      </c>
      <c r="H238" s="27">
        <v>0</v>
      </c>
      <c r="I238">
        <v>1</v>
      </c>
      <c r="J238">
        <v>264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2004</v>
      </c>
      <c r="V238">
        <v>2013</v>
      </c>
      <c r="W238">
        <f t="shared" si="10"/>
        <v>2009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1</v>
      </c>
      <c r="AF238">
        <v>0</v>
      </c>
      <c r="AG238">
        <v>1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1</v>
      </c>
      <c r="AR238">
        <v>0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0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</row>
    <row r="239" spans="1:71">
      <c r="A239" s="20" t="s">
        <v>4894</v>
      </c>
      <c r="B239">
        <v>7</v>
      </c>
      <c r="C239">
        <v>51</v>
      </c>
      <c r="D239">
        <v>2021</v>
      </c>
      <c r="E239" s="14">
        <v>-0.33</v>
      </c>
      <c r="F239" s="14">
        <f t="shared" si="13"/>
        <v>5.8303886925795051E-2</v>
      </c>
      <c r="G239" s="14">
        <v>-5.66</v>
      </c>
      <c r="H239" s="27">
        <v>0</v>
      </c>
      <c r="I239">
        <v>1</v>
      </c>
      <c r="J239">
        <v>264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1</v>
      </c>
      <c r="U239">
        <v>2004</v>
      </c>
      <c r="V239">
        <v>2013</v>
      </c>
      <c r="W239">
        <f t="shared" si="10"/>
        <v>2009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1</v>
      </c>
      <c r="AF239">
        <v>0</v>
      </c>
      <c r="AG239">
        <v>1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1</v>
      </c>
      <c r="AR239">
        <v>0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1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</row>
    <row r="240" spans="1:71">
      <c r="A240" s="20" t="s">
        <v>4894</v>
      </c>
      <c r="B240">
        <v>7</v>
      </c>
      <c r="C240">
        <v>52</v>
      </c>
      <c r="D240">
        <v>2021</v>
      </c>
      <c r="E240" s="14">
        <v>-0.33</v>
      </c>
      <c r="F240" s="14">
        <f t="shared" si="13"/>
        <v>5.8718861209964411E-2</v>
      </c>
      <c r="G240" s="14">
        <v>-5.62</v>
      </c>
      <c r="H240" s="27">
        <v>0</v>
      </c>
      <c r="I240">
        <v>1</v>
      </c>
      <c r="J240">
        <v>264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1</v>
      </c>
      <c r="U240">
        <v>2004</v>
      </c>
      <c r="V240">
        <v>2013</v>
      </c>
      <c r="W240">
        <f t="shared" si="10"/>
        <v>2009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1</v>
      </c>
      <c r="AF240">
        <v>0</v>
      </c>
      <c r="AG240">
        <v>1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1</v>
      </c>
      <c r="AR240">
        <v>0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0</v>
      </c>
      <c r="BD240">
        <v>1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1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</row>
    <row r="241" spans="1:71">
      <c r="A241" s="20" t="s">
        <v>4894</v>
      </c>
      <c r="B241">
        <v>7</v>
      </c>
      <c r="C241">
        <v>53</v>
      </c>
      <c r="D241">
        <v>2021</v>
      </c>
      <c r="E241" s="14">
        <v>-0.57999999999999996</v>
      </c>
      <c r="F241" s="14">
        <f t="shared" si="13"/>
        <v>0.11350293542074362</v>
      </c>
      <c r="G241" s="14">
        <v>-5.1100000000000003</v>
      </c>
      <c r="H241" s="27">
        <v>0</v>
      </c>
      <c r="I241">
        <v>1</v>
      </c>
      <c r="J241">
        <v>264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1</v>
      </c>
      <c r="U241">
        <v>2004</v>
      </c>
      <c r="V241">
        <v>2013</v>
      </c>
      <c r="W241">
        <f t="shared" si="10"/>
        <v>2009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1</v>
      </c>
      <c r="AF241">
        <v>0</v>
      </c>
      <c r="AG241">
        <v>1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1</v>
      </c>
      <c r="AR241">
        <v>0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0</v>
      </c>
      <c r="BD241">
        <v>1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0</v>
      </c>
      <c r="BM241">
        <v>1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</row>
    <row r="242" spans="1:71">
      <c r="A242" s="20" t="s">
        <v>4894</v>
      </c>
      <c r="B242">
        <v>7</v>
      </c>
      <c r="C242">
        <v>54</v>
      </c>
      <c r="D242">
        <v>2021</v>
      </c>
      <c r="E242" s="14">
        <v>-0.56999999999999995</v>
      </c>
      <c r="F242" s="14">
        <f t="shared" si="13"/>
        <v>0.10142348754448398</v>
      </c>
      <c r="G242" s="14">
        <v>-5.62</v>
      </c>
      <c r="H242" s="27">
        <v>0</v>
      </c>
      <c r="I242">
        <v>1</v>
      </c>
      <c r="J242">
        <v>264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2004</v>
      </c>
      <c r="V242">
        <v>2013</v>
      </c>
      <c r="W242">
        <f t="shared" si="10"/>
        <v>2009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1</v>
      </c>
      <c r="AF242">
        <v>0</v>
      </c>
      <c r="AG242">
        <v>1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1</v>
      </c>
      <c r="AR242">
        <v>0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0</v>
      </c>
      <c r="BM242">
        <v>1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</row>
    <row r="243" spans="1:71">
      <c r="A243" s="20" t="s">
        <v>4900</v>
      </c>
      <c r="B243">
        <v>12</v>
      </c>
      <c r="C243">
        <v>70</v>
      </c>
      <c r="D243">
        <v>2021</v>
      </c>
      <c r="E243" s="14">
        <v>-1.1499999999999999</v>
      </c>
      <c r="F243" s="14">
        <v>7.0000000000000007E-2</v>
      </c>
      <c r="G243" s="14">
        <f t="shared" ref="G243:G281" si="14">E243/F243</f>
        <v>-16.428571428571427</v>
      </c>
      <c r="H243" s="27">
        <v>0</v>
      </c>
      <c r="I243">
        <v>1</v>
      </c>
      <c r="J243">
        <v>1209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2015</v>
      </c>
      <c r="V243">
        <v>2015</v>
      </c>
      <c r="W243">
        <f t="shared" si="10"/>
        <v>2015</v>
      </c>
      <c r="X243">
        <v>1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0</v>
      </c>
      <c r="AS243">
        <v>0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0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</row>
    <row r="244" spans="1:71">
      <c r="A244" s="20" t="s">
        <v>4900</v>
      </c>
      <c r="B244">
        <v>12</v>
      </c>
      <c r="C244">
        <v>71</v>
      </c>
      <c r="D244">
        <v>2021</v>
      </c>
      <c r="E244" s="14">
        <v>-0.72</v>
      </c>
      <c r="F244" s="14">
        <v>7.0000000000000007E-2</v>
      </c>
      <c r="G244" s="14">
        <f t="shared" si="14"/>
        <v>-10.285714285714285</v>
      </c>
      <c r="H244" s="27">
        <v>0</v>
      </c>
      <c r="I244">
        <v>1</v>
      </c>
      <c r="J244">
        <v>1209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2015</v>
      </c>
      <c r="V244">
        <v>2015</v>
      </c>
      <c r="W244">
        <f t="shared" si="10"/>
        <v>2015</v>
      </c>
      <c r="X244">
        <v>1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0</v>
      </c>
      <c r="AS244">
        <v>0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0</v>
      </c>
      <c r="BG244">
        <v>1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</row>
    <row r="245" spans="1:71">
      <c r="A245" s="20" t="s">
        <v>5175</v>
      </c>
      <c r="B245">
        <v>15</v>
      </c>
      <c r="C245">
        <v>86</v>
      </c>
      <c r="D245">
        <v>2021</v>
      </c>
      <c r="E245" s="14">
        <v>-2.23</v>
      </c>
      <c r="F245" s="14">
        <v>0.18</v>
      </c>
      <c r="G245" s="14">
        <f t="shared" si="14"/>
        <v>-12.388888888888889</v>
      </c>
      <c r="H245" s="27">
        <v>0</v>
      </c>
      <c r="I245">
        <v>1</v>
      </c>
      <c r="J245">
        <v>238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2011</v>
      </c>
      <c r="V245">
        <v>2017</v>
      </c>
      <c r="W245">
        <f t="shared" si="10"/>
        <v>2014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1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1</v>
      </c>
      <c r="AQ245">
        <v>1</v>
      </c>
      <c r="AR245">
        <v>0</v>
      </c>
      <c r="AS245">
        <v>1</v>
      </c>
      <c r="AT245">
        <v>1</v>
      </c>
      <c r="AU245">
        <v>1</v>
      </c>
      <c r="AV245">
        <v>0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1</v>
      </c>
      <c r="BO245">
        <v>0</v>
      </c>
      <c r="BP245">
        <v>0</v>
      </c>
      <c r="BQ245">
        <v>0</v>
      </c>
      <c r="BR245">
        <v>0</v>
      </c>
      <c r="BS245">
        <v>0</v>
      </c>
    </row>
    <row r="246" spans="1:71">
      <c r="A246" s="20" t="s">
        <v>5175</v>
      </c>
      <c r="B246">
        <v>15</v>
      </c>
      <c r="C246">
        <v>87</v>
      </c>
      <c r="D246">
        <v>2021</v>
      </c>
      <c r="E246" s="14">
        <v>-1.64</v>
      </c>
      <c r="F246" s="14">
        <v>0.18</v>
      </c>
      <c r="G246" s="14">
        <f t="shared" si="14"/>
        <v>-9.1111111111111107</v>
      </c>
      <c r="H246" s="27">
        <v>0</v>
      </c>
      <c r="I246">
        <v>1</v>
      </c>
      <c r="J246">
        <v>238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2011</v>
      </c>
      <c r="V246">
        <v>2017</v>
      </c>
      <c r="W246">
        <f t="shared" si="10"/>
        <v>2014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1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1</v>
      </c>
      <c r="AQ246">
        <v>1</v>
      </c>
      <c r="AR246">
        <v>0</v>
      </c>
      <c r="AS246">
        <v>1</v>
      </c>
      <c r="AT246">
        <v>1</v>
      </c>
      <c r="AU246">
        <v>1</v>
      </c>
      <c r="AV246">
        <v>0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0</v>
      </c>
    </row>
    <row r="247" spans="1:71">
      <c r="A247" s="20" t="s">
        <v>5175</v>
      </c>
      <c r="B247">
        <v>15</v>
      </c>
      <c r="C247">
        <v>88</v>
      </c>
      <c r="D247">
        <v>2021</v>
      </c>
      <c r="E247" s="14">
        <v>-2.62</v>
      </c>
      <c r="F247" s="14">
        <v>0.52</v>
      </c>
      <c r="G247" s="14">
        <f t="shared" si="14"/>
        <v>-5.0384615384615383</v>
      </c>
      <c r="H247" s="27">
        <v>0</v>
      </c>
      <c r="I247">
        <v>1</v>
      </c>
      <c r="J247">
        <v>238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2011</v>
      </c>
      <c r="V247">
        <v>2017</v>
      </c>
      <c r="W247">
        <f t="shared" si="10"/>
        <v>2014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1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1</v>
      </c>
      <c r="AQ247">
        <v>1</v>
      </c>
      <c r="AR247">
        <v>0</v>
      </c>
      <c r="AS247">
        <v>1</v>
      </c>
      <c r="AT247">
        <v>1</v>
      </c>
      <c r="AU247">
        <v>1</v>
      </c>
      <c r="AV247">
        <v>0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0</v>
      </c>
      <c r="BP247">
        <v>0</v>
      </c>
      <c r="BQ247">
        <v>0</v>
      </c>
      <c r="BR247">
        <v>0</v>
      </c>
      <c r="BS247">
        <v>0</v>
      </c>
    </row>
    <row r="248" spans="1:71">
      <c r="A248" s="20" t="s">
        <v>5175</v>
      </c>
      <c r="B248">
        <v>15</v>
      </c>
      <c r="C248">
        <v>89</v>
      </c>
      <c r="D248">
        <v>2021</v>
      </c>
      <c r="E248" s="14">
        <v>-2.62</v>
      </c>
      <c r="F248" s="14">
        <v>0.37</v>
      </c>
      <c r="G248" s="14">
        <f t="shared" si="14"/>
        <v>-7.0810810810810816</v>
      </c>
      <c r="H248" s="27">
        <v>0</v>
      </c>
      <c r="I248">
        <v>1</v>
      </c>
      <c r="J248">
        <v>238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2011</v>
      </c>
      <c r="V248">
        <v>2017</v>
      </c>
      <c r="W248">
        <f t="shared" si="10"/>
        <v>2014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1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1</v>
      </c>
      <c r="AQ248">
        <v>1</v>
      </c>
      <c r="AR248">
        <v>0</v>
      </c>
      <c r="AS248">
        <v>1</v>
      </c>
      <c r="AT248">
        <v>1</v>
      </c>
      <c r="AU248">
        <v>1</v>
      </c>
      <c r="AV248">
        <v>0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1</v>
      </c>
      <c r="BO248">
        <v>0</v>
      </c>
      <c r="BP248">
        <v>0</v>
      </c>
      <c r="BQ248">
        <v>0</v>
      </c>
      <c r="BR248">
        <v>0</v>
      </c>
      <c r="BS248">
        <v>0</v>
      </c>
    </row>
    <row r="249" spans="1:71">
      <c r="A249" s="20" t="s">
        <v>4978</v>
      </c>
      <c r="B249">
        <v>18</v>
      </c>
      <c r="C249">
        <v>96</v>
      </c>
      <c r="D249">
        <v>2021</v>
      </c>
      <c r="E249" s="14">
        <v>-1.58</v>
      </c>
      <c r="F249" s="14">
        <v>0.01</v>
      </c>
      <c r="G249" s="14">
        <f t="shared" si="14"/>
        <v>-158</v>
      </c>
      <c r="H249" s="27">
        <v>0</v>
      </c>
      <c r="I249">
        <v>1</v>
      </c>
      <c r="J249">
        <v>182356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1</v>
      </c>
      <c r="U249">
        <v>1995</v>
      </c>
      <c r="V249">
        <v>2015</v>
      </c>
      <c r="W249">
        <f t="shared" si="10"/>
        <v>2005</v>
      </c>
      <c r="X249">
        <v>1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0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0</v>
      </c>
      <c r="BG249">
        <v>1</v>
      </c>
      <c r="BH249">
        <v>0</v>
      </c>
      <c r="BI249">
        <v>1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1</v>
      </c>
    </row>
    <row r="250" spans="1:71">
      <c r="A250" s="20" t="s">
        <v>4978</v>
      </c>
      <c r="B250">
        <v>18</v>
      </c>
      <c r="C250">
        <v>97</v>
      </c>
      <c r="D250">
        <v>2021</v>
      </c>
      <c r="E250" s="14">
        <v>-1.71</v>
      </c>
      <c r="F250" s="14">
        <v>0.01</v>
      </c>
      <c r="G250" s="14">
        <f t="shared" si="14"/>
        <v>-171</v>
      </c>
      <c r="H250" s="27">
        <v>0</v>
      </c>
      <c r="I250">
        <v>1</v>
      </c>
      <c r="J250">
        <v>182356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1</v>
      </c>
      <c r="U250">
        <v>1995</v>
      </c>
      <c r="V250">
        <v>2015</v>
      </c>
      <c r="W250">
        <f t="shared" si="10"/>
        <v>2005</v>
      </c>
      <c r="X250">
        <v>1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0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0</v>
      </c>
      <c r="BG250">
        <v>1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1</v>
      </c>
    </row>
    <row r="251" spans="1:71">
      <c r="A251" s="20" t="s">
        <v>4978</v>
      </c>
      <c r="B251">
        <v>18</v>
      </c>
      <c r="C251">
        <v>98</v>
      </c>
      <c r="D251">
        <v>2021</v>
      </c>
      <c r="E251" s="14">
        <v>-1.67</v>
      </c>
      <c r="F251" s="14">
        <v>0.01</v>
      </c>
      <c r="G251" s="14">
        <f t="shared" si="14"/>
        <v>-167</v>
      </c>
      <c r="H251" s="27">
        <v>0</v>
      </c>
      <c r="I251">
        <v>1</v>
      </c>
      <c r="J251">
        <v>182356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1</v>
      </c>
      <c r="U251">
        <v>1995</v>
      </c>
      <c r="V251">
        <v>2015</v>
      </c>
      <c r="W251">
        <f t="shared" si="10"/>
        <v>2005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0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0</v>
      </c>
      <c r="BG251">
        <v>1</v>
      </c>
      <c r="BH251">
        <v>0</v>
      </c>
      <c r="BI251">
        <v>1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1</v>
      </c>
    </row>
    <row r="252" spans="1:71">
      <c r="A252" s="20" t="s">
        <v>4978</v>
      </c>
      <c r="B252">
        <v>18</v>
      </c>
      <c r="C252">
        <v>99</v>
      </c>
      <c r="D252">
        <v>2021</v>
      </c>
      <c r="E252" s="14">
        <v>-1.69</v>
      </c>
      <c r="F252" s="14">
        <v>0.01</v>
      </c>
      <c r="G252" s="14">
        <f t="shared" si="14"/>
        <v>-169</v>
      </c>
      <c r="H252" s="27">
        <v>0</v>
      </c>
      <c r="I252">
        <v>1</v>
      </c>
      <c r="J252">
        <v>182356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</v>
      </c>
      <c r="U252">
        <v>1995</v>
      </c>
      <c r="V252">
        <v>2015</v>
      </c>
      <c r="W252">
        <f t="shared" si="10"/>
        <v>2005</v>
      </c>
      <c r="X252">
        <v>1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0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0</v>
      </c>
      <c r="BG252">
        <v>1</v>
      </c>
      <c r="BH252">
        <v>0</v>
      </c>
      <c r="BI252">
        <v>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1</v>
      </c>
      <c r="BS252">
        <v>1</v>
      </c>
    </row>
    <row r="253" spans="1:71">
      <c r="A253" s="20" t="s">
        <v>4978</v>
      </c>
      <c r="B253">
        <v>18</v>
      </c>
      <c r="C253">
        <v>100</v>
      </c>
      <c r="D253">
        <v>2021</v>
      </c>
      <c r="E253" s="14">
        <v>-1.71</v>
      </c>
      <c r="F253" s="14">
        <v>0.01</v>
      </c>
      <c r="G253" s="14">
        <f t="shared" si="14"/>
        <v>-171</v>
      </c>
      <c r="H253" s="27">
        <v>0</v>
      </c>
      <c r="I253">
        <v>1</v>
      </c>
      <c r="J253">
        <v>182356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1</v>
      </c>
      <c r="U253">
        <v>1995</v>
      </c>
      <c r="V253">
        <v>2015</v>
      </c>
      <c r="W253">
        <f t="shared" si="10"/>
        <v>2005</v>
      </c>
      <c r="X253">
        <v>1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0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0</v>
      </c>
      <c r="BG253">
        <v>1</v>
      </c>
      <c r="BH253">
        <v>0</v>
      </c>
      <c r="BI253">
        <v>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1</v>
      </c>
      <c r="BS253">
        <v>1</v>
      </c>
    </row>
    <row r="254" spans="1:71">
      <c r="A254" s="20" t="s">
        <v>4978</v>
      </c>
      <c r="B254">
        <v>18</v>
      </c>
      <c r="C254">
        <v>101</v>
      </c>
      <c r="D254">
        <v>2021</v>
      </c>
      <c r="E254" s="14">
        <v>-1.7</v>
      </c>
      <c r="F254" s="14">
        <v>0.01</v>
      </c>
      <c r="G254" s="14">
        <f t="shared" si="14"/>
        <v>-170</v>
      </c>
      <c r="H254" s="27">
        <v>0</v>
      </c>
      <c r="I254">
        <v>1</v>
      </c>
      <c r="J254">
        <v>182356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</v>
      </c>
      <c r="U254">
        <v>1995</v>
      </c>
      <c r="V254">
        <v>2015</v>
      </c>
      <c r="W254">
        <f t="shared" si="10"/>
        <v>2005</v>
      </c>
      <c r="X254">
        <v>1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0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0</v>
      </c>
      <c r="BG254">
        <v>1</v>
      </c>
      <c r="BH254">
        <v>0</v>
      </c>
      <c r="BI254">
        <v>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1</v>
      </c>
      <c r="BS254">
        <v>1</v>
      </c>
    </row>
    <row r="255" spans="1:71">
      <c r="A255" s="20" t="s">
        <v>4978</v>
      </c>
      <c r="B255">
        <v>18</v>
      </c>
      <c r="C255">
        <v>102</v>
      </c>
      <c r="D255">
        <v>2021</v>
      </c>
      <c r="E255" s="14">
        <v>-1.33</v>
      </c>
      <c r="F255" s="14">
        <v>0.02</v>
      </c>
      <c r="G255" s="14">
        <f t="shared" si="14"/>
        <v>-66.5</v>
      </c>
      <c r="H255" s="27">
        <v>0</v>
      </c>
      <c r="I255">
        <v>1</v>
      </c>
      <c r="J255">
        <v>39064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</v>
      </c>
      <c r="U255">
        <v>1995</v>
      </c>
      <c r="V255">
        <v>2015</v>
      </c>
      <c r="W255">
        <f t="shared" si="10"/>
        <v>2005</v>
      </c>
      <c r="X255">
        <v>1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1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1</v>
      </c>
      <c r="AQ255">
        <v>0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0</v>
      </c>
      <c r="BG255">
        <v>1</v>
      </c>
      <c r="BH255">
        <v>0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1</v>
      </c>
      <c r="BS255">
        <v>1</v>
      </c>
    </row>
    <row r="256" spans="1:71">
      <c r="A256" s="20" t="s">
        <v>4978</v>
      </c>
      <c r="B256">
        <v>18</v>
      </c>
      <c r="C256">
        <v>103</v>
      </c>
      <c r="D256">
        <v>2021</v>
      </c>
      <c r="E256" s="14">
        <v>-1.63</v>
      </c>
      <c r="F256" s="14">
        <v>0.01</v>
      </c>
      <c r="G256" s="14">
        <f t="shared" si="14"/>
        <v>-163</v>
      </c>
      <c r="H256" s="27">
        <v>0</v>
      </c>
      <c r="I256">
        <v>1</v>
      </c>
      <c r="J256">
        <v>39873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</v>
      </c>
      <c r="U256">
        <v>1995</v>
      </c>
      <c r="V256">
        <v>2015</v>
      </c>
      <c r="W256">
        <f t="shared" si="10"/>
        <v>2005</v>
      </c>
      <c r="X256">
        <v>1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1</v>
      </c>
      <c r="AH256">
        <v>0</v>
      </c>
      <c r="AI256">
        <v>0</v>
      </c>
      <c r="AJ256">
        <v>0</v>
      </c>
      <c r="AK256">
        <v>1</v>
      </c>
      <c r="AL256">
        <v>1</v>
      </c>
      <c r="AM256">
        <v>0</v>
      </c>
      <c r="AN256">
        <v>1</v>
      </c>
      <c r="AO256">
        <v>1</v>
      </c>
      <c r="AP256">
        <v>1</v>
      </c>
      <c r="AQ256">
        <v>0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0</v>
      </c>
      <c r="BG256">
        <v>1</v>
      </c>
      <c r="BH256">
        <v>0</v>
      </c>
      <c r="BI256">
        <v>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1</v>
      </c>
      <c r="BS256">
        <v>1</v>
      </c>
    </row>
    <row r="257" spans="1:71">
      <c r="A257" s="20" t="s">
        <v>4978</v>
      </c>
      <c r="B257">
        <v>18</v>
      </c>
      <c r="C257">
        <v>104</v>
      </c>
      <c r="D257">
        <v>2021</v>
      </c>
      <c r="E257" s="14">
        <v>-1.69</v>
      </c>
      <c r="F257" s="14">
        <v>0.02</v>
      </c>
      <c r="G257" s="14">
        <f t="shared" si="14"/>
        <v>-84.5</v>
      </c>
      <c r="H257" s="27">
        <v>0</v>
      </c>
      <c r="I257">
        <v>1</v>
      </c>
      <c r="J257">
        <v>42555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1</v>
      </c>
      <c r="U257">
        <v>1995</v>
      </c>
      <c r="V257">
        <v>2015</v>
      </c>
      <c r="W257">
        <f t="shared" si="10"/>
        <v>2005</v>
      </c>
      <c r="X257">
        <v>1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1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1</v>
      </c>
      <c r="AN257">
        <v>1</v>
      </c>
      <c r="AO257">
        <v>1</v>
      </c>
      <c r="AP257">
        <v>1</v>
      </c>
      <c r="AQ257">
        <v>0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0</v>
      </c>
      <c r="BG257">
        <v>1</v>
      </c>
      <c r="BH257">
        <v>0</v>
      </c>
      <c r="BI257">
        <v>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1</v>
      </c>
      <c r="BS257">
        <v>1</v>
      </c>
    </row>
    <row r="258" spans="1:71">
      <c r="A258" s="20" t="s">
        <v>4978</v>
      </c>
      <c r="B258">
        <v>18</v>
      </c>
      <c r="C258">
        <v>105</v>
      </c>
      <c r="D258">
        <v>2021</v>
      </c>
      <c r="E258" s="14">
        <v>-1.62</v>
      </c>
      <c r="F258" s="14">
        <v>0.02</v>
      </c>
      <c r="G258" s="14">
        <f t="shared" si="14"/>
        <v>-81</v>
      </c>
      <c r="H258" s="27">
        <v>0</v>
      </c>
      <c r="I258">
        <v>1</v>
      </c>
      <c r="J258">
        <v>60864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1</v>
      </c>
      <c r="U258">
        <v>1995</v>
      </c>
      <c r="V258">
        <v>2015</v>
      </c>
      <c r="W258">
        <f t="shared" ref="W258:W321" si="15">ROUND(AVERAGE(U258:V258), 0)</f>
        <v>2005</v>
      </c>
      <c r="X258">
        <v>1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1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1</v>
      </c>
      <c r="AQ258">
        <v>0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0</v>
      </c>
      <c r="BG258">
        <v>1</v>
      </c>
      <c r="BH258">
        <v>0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1</v>
      </c>
      <c r="BS258">
        <v>1</v>
      </c>
    </row>
    <row r="259" spans="1:71">
      <c r="A259" s="20" t="s">
        <v>4978</v>
      </c>
      <c r="B259">
        <v>18</v>
      </c>
      <c r="C259">
        <v>106</v>
      </c>
      <c r="D259">
        <v>2021</v>
      </c>
      <c r="E259" s="14">
        <v>-1.22</v>
      </c>
      <c r="F259" s="14">
        <v>0.01</v>
      </c>
      <c r="G259" s="14">
        <f t="shared" si="14"/>
        <v>-122</v>
      </c>
      <c r="H259" s="27">
        <v>0</v>
      </c>
      <c r="I259">
        <v>1</v>
      </c>
      <c r="J259">
        <v>278565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</v>
      </c>
      <c r="U259">
        <v>1995</v>
      </c>
      <c r="V259">
        <v>2015</v>
      </c>
      <c r="W259">
        <f t="shared" si="15"/>
        <v>2005</v>
      </c>
      <c r="X259">
        <v>1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0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0</v>
      </c>
      <c r="BG259">
        <v>1</v>
      </c>
      <c r="BH259">
        <v>0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1</v>
      </c>
    </row>
    <row r="260" spans="1:71">
      <c r="A260" s="20" t="s">
        <v>4978</v>
      </c>
      <c r="B260">
        <v>18</v>
      </c>
      <c r="C260">
        <v>107</v>
      </c>
      <c r="D260">
        <v>2021</v>
      </c>
      <c r="E260" s="14">
        <v>-1.41</v>
      </c>
      <c r="F260" s="14">
        <v>0.01</v>
      </c>
      <c r="G260" s="14">
        <f t="shared" si="14"/>
        <v>-141</v>
      </c>
      <c r="H260" s="27">
        <v>0</v>
      </c>
      <c r="I260">
        <v>1</v>
      </c>
      <c r="J260">
        <v>278565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1</v>
      </c>
      <c r="U260">
        <v>1995</v>
      </c>
      <c r="V260">
        <v>2015</v>
      </c>
      <c r="W260">
        <f t="shared" si="15"/>
        <v>2005</v>
      </c>
      <c r="X260">
        <v>1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0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0</v>
      </c>
      <c r="BG260">
        <v>1</v>
      </c>
      <c r="BH260">
        <v>0</v>
      </c>
      <c r="BI260">
        <v>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1</v>
      </c>
      <c r="BS260">
        <v>1</v>
      </c>
    </row>
    <row r="261" spans="1:71">
      <c r="A261" s="20" t="s">
        <v>4978</v>
      </c>
      <c r="B261">
        <v>18</v>
      </c>
      <c r="C261">
        <v>108</v>
      </c>
      <c r="D261">
        <v>2021</v>
      </c>
      <c r="E261" s="14">
        <v>-1.37</v>
      </c>
      <c r="F261" s="14">
        <v>0.01</v>
      </c>
      <c r="G261" s="14">
        <f t="shared" si="14"/>
        <v>-137</v>
      </c>
      <c r="H261" s="27">
        <v>0</v>
      </c>
      <c r="I261">
        <v>1</v>
      </c>
      <c r="J261">
        <v>278565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1</v>
      </c>
      <c r="U261">
        <v>1995</v>
      </c>
      <c r="V261">
        <v>2015</v>
      </c>
      <c r="W261">
        <f t="shared" si="15"/>
        <v>2005</v>
      </c>
      <c r="X261">
        <v>1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0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0</v>
      </c>
      <c r="BG261">
        <v>1</v>
      </c>
      <c r="BH261">
        <v>0</v>
      </c>
      <c r="BI261">
        <v>1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1</v>
      </c>
    </row>
    <row r="262" spans="1:71">
      <c r="A262" s="20" t="s">
        <v>4978</v>
      </c>
      <c r="B262">
        <v>18</v>
      </c>
      <c r="C262">
        <v>109</v>
      </c>
      <c r="D262">
        <v>2021</v>
      </c>
      <c r="E262" s="14">
        <v>-1.4</v>
      </c>
      <c r="F262" s="14">
        <v>0.01</v>
      </c>
      <c r="G262" s="14">
        <f t="shared" si="14"/>
        <v>-140</v>
      </c>
      <c r="H262" s="27">
        <v>0</v>
      </c>
      <c r="I262">
        <v>1</v>
      </c>
      <c r="J262">
        <v>278565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1</v>
      </c>
      <c r="U262">
        <v>1995</v>
      </c>
      <c r="V262">
        <v>2015</v>
      </c>
      <c r="W262">
        <f t="shared" si="15"/>
        <v>2005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0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0</v>
      </c>
      <c r="BG262">
        <v>1</v>
      </c>
      <c r="BH262">
        <v>0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1</v>
      </c>
      <c r="BS262">
        <v>1</v>
      </c>
    </row>
    <row r="263" spans="1:71">
      <c r="A263" s="20" t="s">
        <v>4978</v>
      </c>
      <c r="B263">
        <v>18</v>
      </c>
      <c r="C263">
        <v>110</v>
      </c>
      <c r="D263">
        <v>2021</v>
      </c>
      <c r="E263" s="14">
        <v>-1.37</v>
      </c>
      <c r="F263" s="14">
        <v>0.01</v>
      </c>
      <c r="G263" s="14">
        <f t="shared" si="14"/>
        <v>-137</v>
      </c>
      <c r="H263" s="27">
        <v>0</v>
      </c>
      <c r="I263">
        <v>1</v>
      </c>
      <c r="J263">
        <v>278565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1995</v>
      </c>
      <c r="V263">
        <v>2015</v>
      </c>
      <c r="W263">
        <f t="shared" si="15"/>
        <v>2005</v>
      </c>
      <c r="X263">
        <v>1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0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0</v>
      </c>
      <c r="BG263">
        <v>1</v>
      </c>
      <c r="BH263">
        <v>0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1</v>
      </c>
      <c r="BS263">
        <v>1</v>
      </c>
    </row>
    <row r="264" spans="1:71">
      <c r="A264" s="20" t="s">
        <v>4978</v>
      </c>
      <c r="B264">
        <v>18</v>
      </c>
      <c r="C264">
        <v>111</v>
      </c>
      <c r="D264">
        <v>2021</v>
      </c>
      <c r="E264" s="14">
        <v>-1.35</v>
      </c>
      <c r="F264" s="14">
        <v>0.01</v>
      </c>
      <c r="G264" s="14">
        <f t="shared" si="14"/>
        <v>-135</v>
      </c>
      <c r="H264" s="27">
        <v>0</v>
      </c>
      <c r="I264">
        <v>1</v>
      </c>
      <c r="J264">
        <v>278565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1</v>
      </c>
      <c r="U264">
        <v>1995</v>
      </c>
      <c r="V264">
        <v>2015</v>
      </c>
      <c r="W264">
        <f t="shared" si="15"/>
        <v>2005</v>
      </c>
      <c r="X264">
        <v>1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0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0</v>
      </c>
      <c r="BG264">
        <v>1</v>
      </c>
      <c r="BH264">
        <v>0</v>
      </c>
      <c r="BI264">
        <v>1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1</v>
      </c>
    </row>
    <row r="265" spans="1:71">
      <c r="A265" s="20" t="s">
        <v>4978</v>
      </c>
      <c r="B265">
        <v>18</v>
      </c>
      <c r="C265">
        <v>112</v>
      </c>
      <c r="D265">
        <v>2021</v>
      </c>
      <c r="E265" s="14">
        <v>-1.1000000000000001</v>
      </c>
      <c r="F265" s="14">
        <v>0.04</v>
      </c>
      <c r="G265" s="14">
        <f t="shared" si="14"/>
        <v>-27.5</v>
      </c>
      <c r="H265" s="27">
        <v>0</v>
      </c>
      <c r="I265">
        <v>1</v>
      </c>
      <c r="J265">
        <v>50593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</v>
      </c>
      <c r="U265">
        <v>1995</v>
      </c>
      <c r="V265">
        <v>2015</v>
      </c>
      <c r="W265">
        <f t="shared" si="15"/>
        <v>2005</v>
      </c>
      <c r="X265">
        <v>1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1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1</v>
      </c>
      <c r="AQ265">
        <v>0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0</v>
      </c>
      <c r="BG265">
        <v>1</v>
      </c>
      <c r="BH265">
        <v>0</v>
      </c>
      <c r="BI265">
        <v>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1</v>
      </c>
      <c r="BS265">
        <v>1</v>
      </c>
    </row>
    <row r="266" spans="1:71">
      <c r="A266" s="20" t="s">
        <v>4978</v>
      </c>
      <c r="B266">
        <v>18</v>
      </c>
      <c r="C266">
        <v>113</v>
      </c>
      <c r="D266">
        <v>2021</v>
      </c>
      <c r="E266" s="14">
        <v>-1.67</v>
      </c>
      <c r="F266" s="14">
        <v>0.03</v>
      </c>
      <c r="G266" s="14">
        <f t="shared" si="14"/>
        <v>-55.666666666666664</v>
      </c>
      <c r="H266" s="27">
        <v>0</v>
      </c>
      <c r="I266">
        <v>1</v>
      </c>
      <c r="J266">
        <v>68024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</v>
      </c>
      <c r="U266">
        <v>1995</v>
      </c>
      <c r="V266">
        <v>2015</v>
      </c>
      <c r="W266">
        <f t="shared" si="15"/>
        <v>2005</v>
      </c>
      <c r="X266">
        <v>1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1</v>
      </c>
      <c r="AH266">
        <v>0</v>
      </c>
      <c r="AI266">
        <v>0</v>
      </c>
      <c r="AJ266">
        <v>0</v>
      </c>
      <c r="AK266">
        <v>1</v>
      </c>
      <c r="AL266">
        <v>1</v>
      </c>
      <c r="AM266">
        <v>0</v>
      </c>
      <c r="AN266">
        <v>1</v>
      </c>
      <c r="AO266">
        <v>1</v>
      </c>
      <c r="AP266">
        <v>1</v>
      </c>
      <c r="AQ266">
        <v>0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0</v>
      </c>
      <c r="BG266">
        <v>1</v>
      </c>
      <c r="BH266">
        <v>0</v>
      </c>
      <c r="BI266">
        <v>1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1</v>
      </c>
      <c r="BS266">
        <v>1</v>
      </c>
    </row>
    <row r="267" spans="1:71">
      <c r="A267" s="20" t="s">
        <v>4978</v>
      </c>
      <c r="B267">
        <v>18</v>
      </c>
      <c r="C267">
        <v>114</v>
      </c>
      <c r="D267">
        <v>2021</v>
      </c>
      <c r="E267" s="14">
        <v>-1.1000000000000001</v>
      </c>
      <c r="F267" s="14">
        <v>0.03</v>
      </c>
      <c r="G267" s="14">
        <f t="shared" si="14"/>
        <v>-36.666666666666671</v>
      </c>
      <c r="H267" s="27">
        <v>0</v>
      </c>
      <c r="I267">
        <v>1</v>
      </c>
      <c r="J267">
        <v>63256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</v>
      </c>
      <c r="U267">
        <v>1995</v>
      </c>
      <c r="V267">
        <v>2015</v>
      </c>
      <c r="W267">
        <f t="shared" si="15"/>
        <v>2005</v>
      </c>
      <c r="X267">
        <v>1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1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1</v>
      </c>
      <c r="AN267">
        <v>1</v>
      </c>
      <c r="AO267">
        <v>1</v>
      </c>
      <c r="AP267">
        <v>1</v>
      </c>
      <c r="AQ267">
        <v>0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0</v>
      </c>
      <c r="BG267">
        <v>1</v>
      </c>
      <c r="BH267">
        <v>0</v>
      </c>
      <c r="BI267">
        <v>1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1</v>
      </c>
      <c r="BS267">
        <v>1</v>
      </c>
    </row>
    <row r="268" spans="1:71">
      <c r="A268" s="20" t="s">
        <v>4978</v>
      </c>
      <c r="B268">
        <v>18</v>
      </c>
      <c r="C268">
        <v>115</v>
      </c>
      <c r="D268">
        <v>2021</v>
      </c>
      <c r="E268" s="14">
        <v>-1.45</v>
      </c>
      <c r="F268" s="14">
        <v>0.04</v>
      </c>
      <c r="G268" s="14">
        <f t="shared" si="14"/>
        <v>-36.25</v>
      </c>
      <c r="H268" s="27">
        <v>0</v>
      </c>
      <c r="I268">
        <v>1</v>
      </c>
      <c r="J268">
        <v>96692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</v>
      </c>
      <c r="U268">
        <v>1995</v>
      </c>
      <c r="V268">
        <v>2015</v>
      </c>
      <c r="W268">
        <f t="shared" si="15"/>
        <v>2005</v>
      </c>
      <c r="X268">
        <v>1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1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1</v>
      </c>
      <c r="AQ268">
        <v>0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0</v>
      </c>
      <c r="BG268">
        <v>1</v>
      </c>
      <c r="BH268">
        <v>0</v>
      </c>
      <c r="BI268">
        <v>1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1</v>
      </c>
      <c r="BS268">
        <v>1</v>
      </c>
    </row>
    <row r="269" spans="1:71">
      <c r="A269" s="46" t="s">
        <v>5080</v>
      </c>
      <c r="B269">
        <v>24</v>
      </c>
      <c r="C269">
        <v>158</v>
      </c>
      <c r="D269" s="21">
        <v>2021</v>
      </c>
      <c r="E269" s="23">
        <v>-2.12</v>
      </c>
      <c r="F269" s="23">
        <v>0.02</v>
      </c>
      <c r="G269" s="14">
        <f t="shared" si="14"/>
        <v>-106</v>
      </c>
      <c r="H269" s="27">
        <v>0</v>
      </c>
      <c r="I269" s="21">
        <v>1</v>
      </c>
      <c r="J269" s="21">
        <v>7557</v>
      </c>
      <c r="K269" s="21">
        <v>0</v>
      </c>
      <c r="L269" s="21">
        <v>0</v>
      </c>
      <c r="M269" s="21">
        <v>0</v>
      </c>
      <c r="N269" s="21">
        <v>0</v>
      </c>
      <c r="O269" s="21">
        <v>1</v>
      </c>
      <c r="P269">
        <v>0</v>
      </c>
      <c r="Q269" s="21">
        <v>0</v>
      </c>
      <c r="R269" s="21">
        <v>0</v>
      </c>
      <c r="S269" s="21">
        <v>0</v>
      </c>
      <c r="T269" s="21">
        <v>0</v>
      </c>
      <c r="U269" s="21">
        <v>2017</v>
      </c>
      <c r="V269" s="21">
        <v>2017</v>
      </c>
      <c r="W269">
        <f t="shared" si="15"/>
        <v>2017</v>
      </c>
      <c r="X269" s="21">
        <v>0</v>
      </c>
      <c r="Y269" s="21">
        <v>1</v>
      </c>
      <c r="Z269" s="21">
        <v>0</v>
      </c>
      <c r="AA269" s="21">
        <v>1</v>
      </c>
      <c r="AB269" s="21">
        <v>0</v>
      </c>
      <c r="AC269" s="21">
        <v>0</v>
      </c>
      <c r="AD269" s="21">
        <v>0</v>
      </c>
      <c r="AE269" s="21">
        <v>0</v>
      </c>
      <c r="AF269" s="21">
        <v>1</v>
      </c>
      <c r="AG269" s="21">
        <v>1</v>
      </c>
      <c r="AH269" s="21">
        <v>1</v>
      </c>
      <c r="AI269" s="21">
        <v>0</v>
      </c>
      <c r="AJ269" s="21">
        <v>0</v>
      </c>
      <c r="AK269" s="21">
        <v>0</v>
      </c>
      <c r="AL269" s="21">
        <v>0</v>
      </c>
      <c r="AM269" s="21">
        <v>0</v>
      </c>
      <c r="AN269" s="21">
        <v>0</v>
      </c>
      <c r="AO269" s="21">
        <v>1</v>
      </c>
      <c r="AP269" s="21">
        <v>1</v>
      </c>
      <c r="AQ269" s="21">
        <v>0</v>
      </c>
      <c r="AR269" s="21">
        <v>1</v>
      </c>
      <c r="AS269" s="21">
        <v>1</v>
      </c>
      <c r="AT269" s="21">
        <v>0</v>
      </c>
      <c r="AU269" s="21">
        <v>0</v>
      </c>
      <c r="AV269" s="21">
        <v>0</v>
      </c>
      <c r="AW269" s="21">
        <v>0</v>
      </c>
      <c r="AX269" s="21">
        <v>0</v>
      </c>
      <c r="AY269" s="21">
        <v>0</v>
      </c>
      <c r="AZ269" s="21">
        <v>0</v>
      </c>
      <c r="BA269" s="21">
        <v>1</v>
      </c>
      <c r="BB269" s="21">
        <v>1</v>
      </c>
      <c r="BC269" s="21">
        <v>0</v>
      </c>
      <c r="BD269" s="21">
        <v>0</v>
      </c>
      <c r="BE269" s="21">
        <v>0</v>
      </c>
      <c r="BF269" s="21">
        <v>0</v>
      </c>
      <c r="BG269" s="21">
        <v>0</v>
      </c>
      <c r="BH269" s="21">
        <v>0</v>
      </c>
      <c r="BI269" s="21">
        <v>0</v>
      </c>
      <c r="BJ269" s="21">
        <v>0</v>
      </c>
      <c r="BK269" s="21">
        <v>0</v>
      </c>
      <c r="BL269" s="21">
        <v>1</v>
      </c>
      <c r="BM269" s="21">
        <v>0</v>
      </c>
      <c r="BN269" s="21">
        <v>0</v>
      </c>
      <c r="BO269" s="21">
        <v>0</v>
      </c>
      <c r="BP269" s="21">
        <v>0</v>
      </c>
      <c r="BQ269" s="21">
        <v>0</v>
      </c>
      <c r="BR269" s="21">
        <v>0</v>
      </c>
      <c r="BS269" s="21">
        <v>0</v>
      </c>
    </row>
    <row r="270" spans="1:71">
      <c r="A270" s="46" t="s">
        <v>5080</v>
      </c>
      <c r="B270">
        <v>24</v>
      </c>
      <c r="C270">
        <v>159</v>
      </c>
      <c r="D270" s="21">
        <v>2021</v>
      </c>
      <c r="E270" s="23">
        <v>-2.12</v>
      </c>
      <c r="F270" s="23">
        <v>0.02</v>
      </c>
      <c r="G270" s="14">
        <f t="shared" si="14"/>
        <v>-106</v>
      </c>
      <c r="H270" s="27">
        <v>0</v>
      </c>
      <c r="I270" s="21">
        <v>1</v>
      </c>
      <c r="J270" s="21">
        <v>7557</v>
      </c>
      <c r="K270" s="21">
        <v>0</v>
      </c>
      <c r="L270" s="21">
        <v>0</v>
      </c>
      <c r="M270" s="21">
        <v>0</v>
      </c>
      <c r="N270" s="21">
        <v>0</v>
      </c>
      <c r="O270" s="21">
        <v>1</v>
      </c>
      <c r="P270">
        <v>0</v>
      </c>
      <c r="Q270" s="21">
        <v>0</v>
      </c>
      <c r="R270" s="21">
        <v>0</v>
      </c>
      <c r="S270" s="21">
        <v>0</v>
      </c>
      <c r="T270" s="21">
        <v>0</v>
      </c>
      <c r="U270" s="21">
        <v>2017</v>
      </c>
      <c r="V270" s="21">
        <v>2017</v>
      </c>
      <c r="W270">
        <f t="shared" si="15"/>
        <v>2017</v>
      </c>
      <c r="X270" s="21">
        <v>0</v>
      </c>
      <c r="Y270" s="21">
        <v>1</v>
      </c>
      <c r="Z270" s="21">
        <v>0</v>
      </c>
      <c r="AA270" s="21">
        <v>1</v>
      </c>
      <c r="AB270" s="21">
        <v>0</v>
      </c>
      <c r="AC270" s="21">
        <v>0</v>
      </c>
      <c r="AD270" s="21">
        <v>0</v>
      </c>
      <c r="AE270" s="21">
        <v>0</v>
      </c>
      <c r="AF270" s="21">
        <v>1</v>
      </c>
      <c r="AG270" s="21">
        <v>1</v>
      </c>
      <c r="AH270" s="21">
        <v>1</v>
      </c>
      <c r="AI270" s="21">
        <v>0</v>
      </c>
      <c r="AJ270" s="21">
        <v>0</v>
      </c>
      <c r="AK270" s="21">
        <v>0</v>
      </c>
      <c r="AL270" s="21">
        <v>0</v>
      </c>
      <c r="AM270" s="21">
        <v>0</v>
      </c>
      <c r="AN270" s="21">
        <v>0</v>
      </c>
      <c r="AO270" s="21">
        <v>1</v>
      </c>
      <c r="AP270" s="21">
        <v>1</v>
      </c>
      <c r="AQ270" s="21">
        <v>0</v>
      </c>
      <c r="AR270" s="21">
        <v>1</v>
      </c>
      <c r="AS270" s="21">
        <v>1</v>
      </c>
      <c r="AT270" s="21">
        <v>0</v>
      </c>
      <c r="AU270" s="21">
        <v>0</v>
      </c>
      <c r="AV270" s="21">
        <v>0</v>
      </c>
      <c r="AW270" s="21">
        <v>0</v>
      </c>
      <c r="AX270" s="21">
        <v>0</v>
      </c>
      <c r="AY270" s="21">
        <v>0</v>
      </c>
      <c r="AZ270" s="21">
        <v>0</v>
      </c>
      <c r="BA270" s="21">
        <v>1</v>
      </c>
      <c r="BB270" s="21">
        <v>1</v>
      </c>
      <c r="BC270" s="21">
        <v>0</v>
      </c>
      <c r="BD270" s="21">
        <v>0</v>
      </c>
      <c r="BE270" s="21">
        <v>0</v>
      </c>
      <c r="BF270" s="21">
        <v>0</v>
      </c>
      <c r="BG270" s="21">
        <v>0</v>
      </c>
      <c r="BH270" s="21">
        <v>1</v>
      </c>
      <c r="BI270" s="21">
        <v>0</v>
      </c>
      <c r="BJ270" s="21">
        <v>0</v>
      </c>
      <c r="BK270" s="21">
        <v>0</v>
      </c>
      <c r="BL270" s="21">
        <v>0</v>
      </c>
      <c r="BM270" s="21">
        <v>0</v>
      </c>
      <c r="BN270" s="21">
        <v>0</v>
      </c>
      <c r="BO270" s="21">
        <v>0</v>
      </c>
      <c r="BP270" s="21">
        <v>0</v>
      </c>
      <c r="BQ270" s="21">
        <v>0</v>
      </c>
      <c r="BR270" s="21">
        <v>0</v>
      </c>
      <c r="BS270" s="21">
        <v>0</v>
      </c>
    </row>
    <row r="271" spans="1:71">
      <c r="A271" s="46" t="s">
        <v>5080</v>
      </c>
      <c r="B271">
        <v>24</v>
      </c>
      <c r="C271">
        <v>160</v>
      </c>
      <c r="D271" s="21">
        <v>2021</v>
      </c>
      <c r="E271" s="23">
        <v>-2.2000000000000002</v>
      </c>
      <c r="F271" s="23">
        <v>0.03</v>
      </c>
      <c r="G271" s="14">
        <f t="shared" si="14"/>
        <v>-73.333333333333343</v>
      </c>
      <c r="H271" s="27">
        <v>0</v>
      </c>
      <c r="I271" s="21">
        <v>1</v>
      </c>
      <c r="J271" s="21">
        <v>7557</v>
      </c>
      <c r="K271" s="21">
        <v>0</v>
      </c>
      <c r="L271" s="21">
        <v>0</v>
      </c>
      <c r="M271" s="21">
        <v>0</v>
      </c>
      <c r="N271" s="21">
        <v>0</v>
      </c>
      <c r="O271" s="21">
        <v>1</v>
      </c>
      <c r="P271">
        <v>0</v>
      </c>
      <c r="Q271" s="21">
        <v>0</v>
      </c>
      <c r="R271" s="21">
        <v>0</v>
      </c>
      <c r="S271" s="21">
        <v>0</v>
      </c>
      <c r="T271" s="21">
        <v>0</v>
      </c>
      <c r="U271" s="21">
        <v>2017</v>
      </c>
      <c r="V271" s="21">
        <v>2017</v>
      </c>
      <c r="W271">
        <f t="shared" si="15"/>
        <v>2017</v>
      </c>
      <c r="X271" s="21">
        <v>0</v>
      </c>
      <c r="Y271" s="21">
        <v>1</v>
      </c>
      <c r="Z271" s="21">
        <v>0</v>
      </c>
      <c r="AA271" s="21">
        <v>1</v>
      </c>
      <c r="AB271" s="21">
        <v>0</v>
      </c>
      <c r="AC271" s="21">
        <v>0</v>
      </c>
      <c r="AD271" s="21">
        <v>0</v>
      </c>
      <c r="AE271" s="21">
        <v>0</v>
      </c>
      <c r="AF271" s="21">
        <v>1</v>
      </c>
      <c r="AG271" s="21">
        <v>1</v>
      </c>
      <c r="AH271" s="21">
        <v>1</v>
      </c>
      <c r="AI271" s="21">
        <v>0</v>
      </c>
      <c r="AJ271" s="21">
        <v>0</v>
      </c>
      <c r="AK271" s="21">
        <v>0</v>
      </c>
      <c r="AL271" s="21">
        <v>0</v>
      </c>
      <c r="AM271" s="21">
        <v>0</v>
      </c>
      <c r="AN271" s="21">
        <v>0</v>
      </c>
      <c r="AO271" s="21">
        <v>1</v>
      </c>
      <c r="AP271" s="21">
        <v>1</v>
      </c>
      <c r="AQ271" s="21">
        <v>0</v>
      </c>
      <c r="AR271" s="21">
        <v>1</v>
      </c>
      <c r="AS271" s="21">
        <v>1</v>
      </c>
      <c r="AT271" s="21">
        <v>0</v>
      </c>
      <c r="AU271" s="21">
        <v>0</v>
      </c>
      <c r="AV271" s="21">
        <v>0</v>
      </c>
      <c r="AW271" s="21">
        <v>0</v>
      </c>
      <c r="AX271" s="21">
        <v>0</v>
      </c>
      <c r="AY271" s="21">
        <v>0</v>
      </c>
      <c r="AZ271" s="21">
        <v>0</v>
      </c>
      <c r="BA271" s="21">
        <v>1</v>
      </c>
      <c r="BB271" s="21">
        <v>1</v>
      </c>
      <c r="BC271" s="21">
        <v>0</v>
      </c>
      <c r="BD271" s="21">
        <v>0</v>
      </c>
      <c r="BE271" s="21">
        <v>0</v>
      </c>
      <c r="BF271" s="21">
        <v>0</v>
      </c>
      <c r="BG271" s="21">
        <v>0</v>
      </c>
      <c r="BH271" s="21">
        <v>1</v>
      </c>
      <c r="BI271" s="21">
        <v>0</v>
      </c>
      <c r="BJ271" s="21">
        <v>0</v>
      </c>
      <c r="BK271" s="21">
        <v>0</v>
      </c>
      <c r="BL271" s="21">
        <v>0</v>
      </c>
      <c r="BM271" s="21">
        <v>0</v>
      </c>
      <c r="BN271" s="21">
        <v>0</v>
      </c>
      <c r="BO271" s="21">
        <v>0</v>
      </c>
      <c r="BP271" s="21">
        <v>0</v>
      </c>
      <c r="BQ271" s="21">
        <v>0</v>
      </c>
      <c r="BR271" s="21">
        <v>0</v>
      </c>
      <c r="BS271" s="21">
        <v>0</v>
      </c>
    </row>
    <row r="272" spans="1:71">
      <c r="A272" s="46" t="s">
        <v>5080</v>
      </c>
      <c r="B272">
        <v>24</v>
      </c>
      <c r="C272">
        <v>161</v>
      </c>
      <c r="D272" s="21">
        <v>2021</v>
      </c>
      <c r="E272" s="23">
        <v>-2.23</v>
      </c>
      <c r="F272" s="23">
        <v>0.02</v>
      </c>
      <c r="G272" s="14">
        <f t="shared" si="14"/>
        <v>-111.5</v>
      </c>
      <c r="H272" s="27">
        <v>0</v>
      </c>
      <c r="I272" s="21">
        <v>1</v>
      </c>
      <c r="J272" s="21">
        <v>7557</v>
      </c>
      <c r="K272" s="21">
        <v>0</v>
      </c>
      <c r="L272" s="21">
        <v>0</v>
      </c>
      <c r="M272" s="21">
        <v>0</v>
      </c>
      <c r="N272" s="21">
        <v>0</v>
      </c>
      <c r="O272" s="21">
        <v>1</v>
      </c>
      <c r="P272">
        <v>0</v>
      </c>
      <c r="Q272" s="21">
        <v>0</v>
      </c>
      <c r="R272" s="21">
        <v>0</v>
      </c>
      <c r="S272" s="21">
        <v>0</v>
      </c>
      <c r="T272" s="21">
        <v>0</v>
      </c>
      <c r="U272" s="21">
        <v>2017</v>
      </c>
      <c r="V272" s="21">
        <v>2017</v>
      </c>
      <c r="W272">
        <f t="shared" si="15"/>
        <v>2017</v>
      </c>
      <c r="X272" s="21">
        <v>0</v>
      </c>
      <c r="Y272" s="21">
        <v>1</v>
      </c>
      <c r="Z272" s="21">
        <v>0</v>
      </c>
      <c r="AA272" s="21">
        <v>1</v>
      </c>
      <c r="AB272" s="21">
        <v>0</v>
      </c>
      <c r="AC272" s="21">
        <v>0</v>
      </c>
      <c r="AD272" s="21">
        <v>0</v>
      </c>
      <c r="AE272" s="21">
        <v>0</v>
      </c>
      <c r="AF272" s="21">
        <v>1</v>
      </c>
      <c r="AG272" s="21">
        <v>1</v>
      </c>
      <c r="AH272" s="21">
        <v>1</v>
      </c>
      <c r="AI272" s="21">
        <v>0</v>
      </c>
      <c r="AJ272" s="21">
        <v>0</v>
      </c>
      <c r="AK272" s="21">
        <v>0</v>
      </c>
      <c r="AL272" s="21">
        <v>0</v>
      </c>
      <c r="AM272" s="21">
        <v>0</v>
      </c>
      <c r="AN272" s="21">
        <v>0</v>
      </c>
      <c r="AO272" s="21">
        <v>1</v>
      </c>
      <c r="AP272" s="21">
        <v>1</v>
      </c>
      <c r="AQ272" s="21">
        <v>0</v>
      </c>
      <c r="AR272" s="21">
        <v>1</v>
      </c>
      <c r="AS272" s="21">
        <v>1</v>
      </c>
      <c r="AT272" s="21">
        <v>0</v>
      </c>
      <c r="AU272" s="21">
        <v>0</v>
      </c>
      <c r="AV272" s="21">
        <v>0</v>
      </c>
      <c r="AW272" s="21">
        <v>0</v>
      </c>
      <c r="AX272" s="21">
        <v>0</v>
      </c>
      <c r="AY272" s="21">
        <v>0</v>
      </c>
      <c r="AZ272" s="21">
        <v>0</v>
      </c>
      <c r="BA272" s="21">
        <v>1</v>
      </c>
      <c r="BB272" s="21">
        <v>1</v>
      </c>
      <c r="BC272" s="21">
        <v>0</v>
      </c>
      <c r="BD272" s="21">
        <v>0</v>
      </c>
      <c r="BE272" s="21">
        <v>0</v>
      </c>
      <c r="BF272" s="21">
        <v>0</v>
      </c>
      <c r="BG272" s="21">
        <v>0</v>
      </c>
      <c r="BH272" s="21">
        <v>1</v>
      </c>
      <c r="BI272" s="21">
        <v>0</v>
      </c>
      <c r="BJ272" s="21">
        <v>1</v>
      </c>
      <c r="BK272" s="21">
        <v>0</v>
      </c>
      <c r="BL272" s="21">
        <v>0</v>
      </c>
      <c r="BM272" s="21">
        <v>0</v>
      </c>
      <c r="BN272" s="21">
        <v>0</v>
      </c>
      <c r="BO272" s="21">
        <v>0</v>
      </c>
      <c r="BP272" s="21">
        <v>0</v>
      </c>
      <c r="BQ272" s="21">
        <v>0</v>
      </c>
      <c r="BR272" s="21">
        <v>1</v>
      </c>
      <c r="BS272" s="21">
        <v>0</v>
      </c>
    </row>
    <row r="273" spans="1:71">
      <c r="A273" s="46" t="s">
        <v>4815</v>
      </c>
      <c r="B273">
        <v>25</v>
      </c>
      <c r="C273">
        <v>162</v>
      </c>
      <c r="D273" s="21">
        <v>2021</v>
      </c>
      <c r="E273" s="23">
        <v>-1.72</v>
      </c>
      <c r="F273" s="23">
        <v>0.01</v>
      </c>
      <c r="G273" s="14">
        <f t="shared" si="14"/>
        <v>-172</v>
      </c>
      <c r="H273" s="27">
        <v>0</v>
      </c>
      <c r="I273" s="21">
        <v>1</v>
      </c>
      <c r="J273" s="21">
        <v>132716</v>
      </c>
      <c r="K273" s="21">
        <v>1</v>
      </c>
      <c r="L273" s="21">
        <v>0</v>
      </c>
      <c r="M273" s="21">
        <v>0</v>
      </c>
      <c r="N273" s="21">
        <v>0</v>
      </c>
      <c r="O273" s="21">
        <v>0</v>
      </c>
      <c r="P273">
        <v>0</v>
      </c>
      <c r="Q273" s="21">
        <v>1</v>
      </c>
      <c r="R273" s="21">
        <v>0</v>
      </c>
      <c r="S273" s="21">
        <v>0</v>
      </c>
      <c r="T273" s="21">
        <v>1</v>
      </c>
      <c r="U273" s="21">
        <v>1995</v>
      </c>
      <c r="V273" s="21">
        <v>2013</v>
      </c>
      <c r="W273">
        <f t="shared" si="15"/>
        <v>2004</v>
      </c>
      <c r="X273" s="21">
        <v>1</v>
      </c>
      <c r="Y273" s="21">
        <v>0</v>
      </c>
      <c r="Z273" s="21">
        <v>1</v>
      </c>
      <c r="AA273" s="21">
        <v>0</v>
      </c>
      <c r="AB273" s="21">
        <v>0</v>
      </c>
      <c r="AC273" s="21">
        <v>0</v>
      </c>
      <c r="AD273" s="21">
        <v>0</v>
      </c>
      <c r="AE273" s="21">
        <v>0</v>
      </c>
      <c r="AF273" s="21">
        <v>0</v>
      </c>
      <c r="AG273" s="21">
        <v>1</v>
      </c>
      <c r="AH273" s="21">
        <v>1</v>
      </c>
      <c r="AI273" s="21">
        <v>0</v>
      </c>
      <c r="AJ273" s="21">
        <v>1</v>
      </c>
      <c r="AK273" s="21">
        <v>0</v>
      </c>
      <c r="AL273" s="21">
        <v>1</v>
      </c>
      <c r="AM273" s="21">
        <v>1</v>
      </c>
      <c r="AN273" s="21">
        <v>1</v>
      </c>
      <c r="AO273" s="21">
        <v>1</v>
      </c>
      <c r="AP273" s="21">
        <v>1</v>
      </c>
      <c r="AQ273" s="21">
        <v>0</v>
      </c>
      <c r="AR273" s="21">
        <v>1</v>
      </c>
      <c r="AS273" s="21">
        <v>0</v>
      </c>
      <c r="AT273" s="21">
        <v>1</v>
      </c>
      <c r="AU273" s="21">
        <v>0</v>
      </c>
      <c r="AV273" s="21">
        <v>1</v>
      </c>
      <c r="AW273" s="21">
        <v>0</v>
      </c>
      <c r="AX273" s="21">
        <v>1</v>
      </c>
      <c r="AY273" s="21">
        <v>1</v>
      </c>
      <c r="AZ273" s="21">
        <v>1</v>
      </c>
      <c r="BA273" s="21">
        <v>1</v>
      </c>
      <c r="BB273" s="21">
        <v>1</v>
      </c>
      <c r="BC273" s="21">
        <v>1</v>
      </c>
      <c r="BD273" s="21">
        <v>1</v>
      </c>
      <c r="BE273" s="21">
        <v>1</v>
      </c>
      <c r="BF273" s="21">
        <v>0</v>
      </c>
      <c r="BG273" s="21">
        <v>0</v>
      </c>
      <c r="BH273" s="21">
        <v>0</v>
      </c>
      <c r="BI273" s="21">
        <v>0</v>
      </c>
      <c r="BJ273" s="21">
        <v>0</v>
      </c>
      <c r="BK273" s="21">
        <v>0</v>
      </c>
      <c r="BL273" s="21">
        <v>0</v>
      </c>
      <c r="BM273" s="21">
        <v>0</v>
      </c>
      <c r="BN273" s="21">
        <v>0</v>
      </c>
      <c r="BO273" s="21">
        <v>0</v>
      </c>
      <c r="BP273" s="21">
        <v>0</v>
      </c>
      <c r="BQ273" s="21">
        <v>0</v>
      </c>
      <c r="BR273" s="21">
        <v>0</v>
      </c>
      <c r="BS273" s="21">
        <v>0</v>
      </c>
    </row>
    <row r="274" spans="1:71">
      <c r="A274" s="20" t="s">
        <v>4961</v>
      </c>
      <c r="B274">
        <v>37</v>
      </c>
      <c r="C274">
        <v>227</v>
      </c>
      <c r="D274" s="21">
        <v>2021</v>
      </c>
      <c r="E274" s="23">
        <v>-1.45</v>
      </c>
      <c r="F274" s="23">
        <v>0.26</v>
      </c>
      <c r="G274" s="14">
        <f t="shared" si="14"/>
        <v>-5.5769230769230766</v>
      </c>
      <c r="H274" s="27">
        <v>0</v>
      </c>
      <c r="I274" s="21">
        <v>1</v>
      </c>
      <c r="J274" s="21">
        <v>2313</v>
      </c>
      <c r="K274" s="21">
        <v>1</v>
      </c>
      <c r="L274" s="21">
        <v>0</v>
      </c>
      <c r="M274" s="21">
        <v>0</v>
      </c>
      <c r="N274" s="21">
        <v>0</v>
      </c>
      <c r="O274" s="21">
        <v>0</v>
      </c>
      <c r="P274">
        <v>0</v>
      </c>
      <c r="Q274" s="21">
        <v>0</v>
      </c>
      <c r="R274" s="21">
        <v>0</v>
      </c>
      <c r="S274" s="21">
        <v>1</v>
      </c>
      <c r="T274" s="21">
        <v>1</v>
      </c>
      <c r="U274" s="21">
        <v>2008</v>
      </c>
      <c r="V274" s="21">
        <v>2018</v>
      </c>
      <c r="W274">
        <f t="shared" si="15"/>
        <v>2013</v>
      </c>
      <c r="X274" s="21">
        <v>1</v>
      </c>
      <c r="Y274" s="21">
        <v>0</v>
      </c>
      <c r="Z274" s="21">
        <v>0</v>
      </c>
      <c r="AA274" s="21">
        <v>1</v>
      </c>
      <c r="AB274" s="21">
        <v>0</v>
      </c>
      <c r="AC274" s="21">
        <v>0</v>
      </c>
      <c r="AD274" s="21">
        <v>0</v>
      </c>
      <c r="AE274" s="21">
        <v>0</v>
      </c>
      <c r="AF274" s="21">
        <v>1</v>
      </c>
      <c r="AG274" s="21">
        <v>0</v>
      </c>
      <c r="AH274" s="21">
        <v>0</v>
      </c>
      <c r="AI274" s="21">
        <v>0</v>
      </c>
      <c r="AJ274" s="21">
        <v>0</v>
      </c>
      <c r="AK274" s="21">
        <v>0</v>
      </c>
      <c r="AL274" s="21">
        <v>0</v>
      </c>
      <c r="AM274" s="21">
        <v>1</v>
      </c>
      <c r="AN274" s="21">
        <v>1</v>
      </c>
      <c r="AO274" s="21">
        <v>1</v>
      </c>
      <c r="AP274" s="21">
        <v>0</v>
      </c>
      <c r="AQ274" s="21">
        <v>0</v>
      </c>
      <c r="AR274" s="21">
        <v>1</v>
      </c>
      <c r="AS274" s="21">
        <v>0</v>
      </c>
      <c r="AT274" s="21">
        <v>1</v>
      </c>
      <c r="AU274" s="21">
        <v>1</v>
      </c>
      <c r="AV274" s="21">
        <v>1</v>
      </c>
      <c r="AW274" s="21">
        <v>1</v>
      </c>
      <c r="AX274" s="21">
        <v>1</v>
      </c>
      <c r="AY274" s="21">
        <v>1</v>
      </c>
      <c r="AZ274" s="21">
        <v>1</v>
      </c>
      <c r="BA274" s="21">
        <v>1</v>
      </c>
      <c r="BB274" s="21">
        <v>1</v>
      </c>
      <c r="BC274" s="21">
        <v>0</v>
      </c>
      <c r="BD274" s="21">
        <v>1</v>
      </c>
      <c r="BE274" s="21">
        <v>1</v>
      </c>
      <c r="BF274" s="21">
        <v>0</v>
      </c>
      <c r="BG274" s="21">
        <v>1</v>
      </c>
      <c r="BH274" s="21">
        <v>0</v>
      </c>
      <c r="BI274" s="21">
        <v>0</v>
      </c>
      <c r="BJ274" s="21">
        <v>0</v>
      </c>
      <c r="BK274" s="21">
        <v>1</v>
      </c>
      <c r="BL274" s="21">
        <v>0</v>
      </c>
      <c r="BM274" s="21">
        <v>0</v>
      </c>
      <c r="BN274" s="21">
        <v>0</v>
      </c>
      <c r="BO274" s="21">
        <v>0</v>
      </c>
      <c r="BP274" s="21">
        <v>0</v>
      </c>
      <c r="BQ274" s="21">
        <v>0</v>
      </c>
      <c r="BR274" s="21">
        <v>0</v>
      </c>
      <c r="BS274" s="21">
        <v>0</v>
      </c>
    </row>
    <row r="275" spans="1:71">
      <c r="A275" s="20" t="s">
        <v>4961</v>
      </c>
      <c r="B275">
        <v>37</v>
      </c>
      <c r="C275">
        <v>228</v>
      </c>
      <c r="D275" s="21">
        <v>2021</v>
      </c>
      <c r="E275" s="23">
        <v>-1.71</v>
      </c>
      <c r="F275" s="23">
        <v>0.26</v>
      </c>
      <c r="G275" s="14">
        <f t="shared" si="14"/>
        <v>-6.5769230769230766</v>
      </c>
      <c r="H275" s="27">
        <v>0</v>
      </c>
      <c r="I275" s="21">
        <v>1</v>
      </c>
      <c r="J275" s="21">
        <v>2313</v>
      </c>
      <c r="K275" s="21">
        <v>1</v>
      </c>
      <c r="L275" s="21">
        <v>0</v>
      </c>
      <c r="M275" s="21">
        <v>0</v>
      </c>
      <c r="N275" s="21">
        <v>0</v>
      </c>
      <c r="O275" s="21">
        <v>0</v>
      </c>
      <c r="P275">
        <v>0</v>
      </c>
      <c r="Q275" s="21">
        <v>0</v>
      </c>
      <c r="R275" s="21">
        <v>0</v>
      </c>
      <c r="S275" s="21">
        <v>0</v>
      </c>
      <c r="T275" s="21">
        <v>1</v>
      </c>
      <c r="U275" s="21">
        <v>2008</v>
      </c>
      <c r="V275" s="21">
        <v>2018</v>
      </c>
      <c r="W275">
        <f t="shared" si="15"/>
        <v>2013</v>
      </c>
      <c r="X275" s="21">
        <v>1</v>
      </c>
      <c r="Y275" s="21">
        <v>0</v>
      </c>
      <c r="Z275" s="21">
        <v>0</v>
      </c>
      <c r="AA275" s="21">
        <v>1</v>
      </c>
      <c r="AB275" s="21">
        <v>0</v>
      </c>
      <c r="AC275" s="21">
        <v>0</v>
      </c>
      <c r="AD275" s="21">
        <v>0</v>
      </c>
      <c r="AE275" s="21">
        <v>0</v>
      </c>
      <c r="AF275" s="21">
        <v>1</v>
      </c>
      <c r="AG275" s="21">
        <v>0</v>
      </c>
      <c r="AH275" s="21">
        <v>0</v>
      </c>
      <c r="AI275" s="21">
        <v>0</v>
      </c>
      <c r="AJ275" s="21">
        <v>0</v>
      </c>
      <c r="AK275" s="21">
        <v>0</v>
      </c>
      <c r="AL275" s="21">
        <v>0</v>
      </c>
      <c r="AM275" s="21">
        <v>1</v>
      </c>
      <c r="AN275" s="21">
        <v>1</v>
      </c>
      <c r="AO275" s="21">
        <v>1</v>
      </c>
      <c r="AP275" s="21">
        <v>0</v>
      </c>
      <c r="AQ275" s="21">
        <v>0</v>
      </c>
      <c r="AR275" s="21">
        <v>1</v>
      </c>
      <c r="AS275" s="21">
        <v>0</v>
      </c>
      <c r="AT275" s="21">
        <v>1</v>
      </c>
      <c r="AU275" s="21">
        <v>1</v>
      </c>
      <c r="AV275" s="21">
        <v>1</v>
      </c>
      <c r="AW275" s="21">
        <v>1</v>
      </c>
      <c r="AX275" s="21">
        <v>1</v>
      </c>
      <c r="AY275" s="21">
        <v>1</v>
      </c>
      <c r="AZ275" s="21">
        <v>1</v>
      </c>
      <c r="BA275" s="21">
        <v>1</v>
      </c>
      <c r="BB275" s="21">
        <v>1</v>
      </c>
      <c r="BC275" s="21">
        <v>0</v>
      </c>
      <c r="BD275" s="21">
        <v>1</v>
      </c>
      <c r="BE275" s="21">
        <v>1</v>
      </c>
      <c r="BF275" s="21">
        <v>0</v>
      </c>
      <c r="BG275" s="21">
        <v>1</v>
      </c>
      <c r="BH275" s="21">
        <v>0</v>
      </c>
      <c r="BI275" s="21">
        <v>0</v>
      </c>
      <c r="BJ275" s="21">
        <v>0</v>
      </c>
      <c r="BK275" s="21">
        <v>1</v>
      </c>
      <c r="BL275" s="21">
        <v>0</v>
      </c>
      <c r="BM275" s="21">
        <v>0</v>
      </c>
      <c r="BN275" s="21">
        <v>0</v>
      </c>
      <c r="BO275" s="21">
        <v>0</v>
      </c>
      <c r="BP275" s="21">
        <v>0</v>
      </c>
      <c r="BQ275" s="21">
        <v>0</v>
      </c>
      <c r="BR275" s="21">
        <v>0</v>
      </c>
      <c r="BS275" s="21">
        <v>0</v>
      </c>
    </row>
    <row r="276" spans="1:71">
      <c r="A276" s="20" t="s">
        <v>4961</v>
      </c>
      <c r="B276">
        <v>37</v>
      </c>
      <c r="C276">
        <v>229</v>
      </c>
      <c r="D276" s="21">
        <v>2021</v>
      </c>
      <c r="E276" s="23">
        <v>-1.02</v>
      </c>
      <c r="F276" s="23">
        <v>0.37</v>
      </c>
      <c r="G276" s="14">
        <f t="shared" si="14"/>
        <v>-2.756756756756757</v>
      </c>
      <c r="H276" s="27">
        <v>0</v>
      </c>
      <c r="I276" s="21">
        <v>1</v>
      </c>
      <c r="J276" s="21">
        <v>964</v>
      </c>
      <c r="K276" s="21">
        <v>1</v>
      </c>
      <c r="L276" s="21">
        <v>0</v>
      </c>
      <c r="M276" s="21">
        <v>0</v>
      </c>
      <c r="N276" s="21">
        <v>0</v>
      </c>
      <c r="O276" s="21">
        <v>0</v>
      </c>
      <c r="P276">
        <v>0</v>
      </c>
      <c r="Q276" s="21">
        <v>0</v>
      </c>
      <c r="R276" s="21">
        <v>0</v>
      </c>
      <c r="S276" s="21">
        <v>1</v>
      </c>
      <c r="T276" s="21">
        <v>1</v>
      </c>
      <c r="U276" s="21">
        <v>2008</v>
      </c>
      <c r="V276" s="21">
        <v>2018</v>
      </c>
      <c r="W276">
        <f t="shared" si="15"/>
        <v>2013</v>
      </c>
      <c r="X276" s="21">
        <v>1</v>
      </c>
      <c r="Y276" s="21">
        <v>0</v>
      </c>
      <c r="Z276" s="21">
        <v>0</v>
      </c>
      <c r="AA276" s="21">
        <v>1</v>
      </c>
      <c r="AB276" s="21">
        <v>0</v>
      </c>
      <c r="AC276" s="21">
        <v>0</v>
      </c>
      <c r="AD276" s="21">
        <v>0</v>
      </c>
      <c r="AE276" s="21">
        <v>0</v>
      </c>
      <c r="AF276" s="21">
        <v>1</v>
      </c>
      <c r="AG276" s="21">
        <v>0</v>
      </c>
      <c r="AH276" s="21">
        <v>0</v>
      </c>
      <c r="AI276" s="21">
        <v>0</v>
      </c>
      <c r="AJ276" s="21">
        <v>0</v>
      </c>
      <c r="AK276" s="21">
        <v>0</v>
      </c>
      <c r="AL276" s="21">
        <v>0</v>
      </c>
      <c r="AM276" s="21">
        <v>1</v>
      </c>
      <c r="AN276" s="21">
        <v>1</v>
      </c>
      <c r="AO276" s="21">
        <v>1</v>
      </c>
      <c r="AP276" s="21">
        <v>0</v>
      </c>
      <c r="AQ276" s="21">
        <v>0</v>
      </c>
      <c r="AR276" s="21">
        <v>1</v>
      </c>
      <c r="AS276" s="21">
        <v>0</v>
      </c>
      <c r="AT276" s="21">
        <v>0</v>
      </c>
      <c r="AU276" s="21">
        <v>1</v>
      </c>
      <c r="AV276" s="21">
        <v>0</v>
      </c>
      <c r="AW276" s="21">
        <v>0</v>
      </c>
      <c r="AX276" s="21">
        <v>0</v>
      </c>
      <c r="AY276" s="21">
        <v>1</v>
      </c>
      <c r="AZ276" s="21">
        <v>1</v>
      </c>
      <c r="BA276" s="21">
        <v>1</v>
      </c>
      <c r="BB276" s="21">
        <v>1</v>
      </c>
      <c r="BC276" s="21">
        <v>0</v>
      </c>
      <c r="BD276" s="21">
        <v>1</v>
      </c>
      <c r="BE276" s="21">
        <v>1</v>
      </c>
      <c r="BF276" s="21">
        <v>0</v>
      </c>
      <c r="BG276" s="21">
        <v>1</v>
      </c>
      <c r="BH276" s="21">
        <v>0</v>
      </c>
      <c r="BI276" s="21">
        <v>0</v>
      </c>
      <c r="BJ276" s="21">
        <v>0</v>
      </c>
      <c r="BK276" s="21">
        <v>1</v>
      </c>
      <c r="BL276" s="21">
        <v>0</v>
      </c>
      <c r="BM276" s="21">
        <v>0</v>
      </c>
      <c r="BN276" s="21">
        <v>0</v>
      </c>
      <c r="BO276" s="21">
        <v>0</v>
      </c>
      <c r="BP276" s="21">
        <v>0</v>
      </c>
      <c r="BQ276" s="21">
        <v>0</v>
      </c>
      <c r="BR276" s="21">
        <v>0</v>
      </c>
      <c r="BS276" s="21">
        <v>0</v>
      </c>
    </row>
    <row r="277" spans="1:71">
      <c r="A277" s="20" t="s">
        <v>4961</v>
      </c>
      <c r="B277">
        <v>37</v>
      </c>
      <c r="C277">
        <v>230</v>
      </c>
      <c r="D277" s="21">
        <v>2021</v>
      </c>
      <c r="E277" s="23">
        <v>-2.74</v>
      </c>
      <c r="F277" s="23">
        <v>0.54</v>
      </c>
      <c r="G277" s="14">
        <f t="shared" si="14"/>
        <v>-5.0740740740740744</v>
      </c>
      <c r="H277" s="27">
        <v>0</v>
      </c>
      <c r="I277" s="21">
        <v>1</v>
      </c>
      <c r="J277" s="21">
        <v>663</v>
      </c>
      <c r="K277" s="21">
        <v>1</v>
      </c>
      <c r="L277" s="21">
        <v>0</v>
      </c>
      <c r="M277" s="21">
        <v>0</v>
      </c>
      <c r="N277" s="21">
        <v>0</v>
      </c>
      <c r="O277" s="21">
        <v>0</v>
      </c>
      <c r="P277">
        <v>0</v>
      </c>
      <c r="Q277" s="21">
        <v>0</v>
      </c>
      <c r="R277" s="21">
        <v>0</v>
      </c>
      <c r="S277" s="21">
        <v>1</v>
      </c>
      <c r="T277" s="21">
        <v>1</v>
      </c>
      <c r="U277" s="21">
        <v>2008</v>
      </c>
      <c r="V277" s="21">
        <v>2018</v>
      </c>
      <c r="W277">
        <f t="shared" si="15"/>
        <v>2013</v>
      </c>
      <c r="X277" s="21">
        <v>1</v>
      </c>
      <c r="Y277" s="21">
        <v>0</v>
      </c>
      <c r="Z277" s="21">
        <v>0</v>
      </c>
      <c r="AA277" s="21">
        <v>1</v>
      </c>
      <c r="AB277" s="21">
        <v>0</v>
      </c>
      <c r="AC277" s="21">
        <v>0</v>
      </c>
      <c r="AD277" s="21">
        <v>0</v>
      </c>
      <c r="AE277" s="21">
        <v>0</v>
      </c>
      <c r="AF277" s="21">
        <v>1</v>
      </c>
      <c r="AG277" s="21">
        <v>0</v>
      </c>
      <c r="AH277" s="21">
        <v>0</v>
      </c>
      <c r="AI277" s="21">
        <v>0</v>
      </c>
      <c r="AJ277" s="21">
        <v>0</v>
      </c>
      <c r="AK277" s="21">
        <v>0</v>
      </c>
      <c r="AL277" s="21">
        <v>0</v>
      </c>
      <c r="AM277" s="21">
        <v>1</v>
      </c>
      <c r="AN277" s="21">
        <v>1</v>
      </c>
      <c r="AO277" s="21">
        <v>1</v>
      </c>
      <c r="AP277" s="21">
        <v>0</v>
      </c>
      <c r="AQ277" s="21">
        <v>0</v>
      </c>
      <c r="AR277" s="21">
        <v>1</v>
      </c>
      <c r="AS277" s="21">
        <v>0</v>
      </c>
      <c r="AT277" s="21">
        <v>1</v>
      </c>
      <c r="AU277" s="21">
        <v>1</v>
      </c>
      <c r="AV277" s="21">
        <v>1</v>
      </c>
      <c r="AW277" s="21">
        <v>1</v>
      </c>
      <c r="AX277" s="21">
        <v>1</v>
      </c>
      <c r="AY277" s="21">
        <v>1</v>
      </c>
      <c r="AZ277" s="21">
        <v>1</v>
      </c>
      <c r="BA277" s="21">
        <v>1</v>
      </c>
      <c r="BB277" s="21">
        <v>1</v>
      </c>
      <c r="BC277" s="21">
        <v>0</v>
      </c>
      <c r="BD277" s="21">
        <v>1</v>
      </c>
      <c r="BE277" s="21">
        <v>1</v>
      </c>
      <c r="BF277" s="21">
        <v>0</v>
      </c>
      <c r="BG277" s="21">
        <v>1</v>
      </c>
      <c r="BH277" s="21">
        <v>0</v>
      </c>
      <c r="BI277" s="21">
        <v>0</v>
      </c>
      <c r="BJ277" s="21">
        <v>0</v>
      </c>
      <c r="BK277" s="21">
        <v>1</v>
      </c>
      <c r="BL277" s="21">
        <v>0</v>
      </c>
      <c r="BM277" s="21">
        <v>0</v>
      </c>
      <c r="BN277" s="21">
        <v>0</v>
      </c>
      <c r="BO277" s="21">
        <v>0</v>
      </c>
      <c r="BP277" s="21">
        <v>0</v>
      </c>
      <c r="BQ277" s="21">
        <v>0</v>
      </c>
      <c r="BR277" s="21">
        <v>0</v>
      </c>
      <c r="BS277" s="21">
        <v>0</v>
      </c>
    </row>
    <row r="278" spans="1:71">
      <c r="A278" s="20" t="s">
        <v>5069</v>
      </c>
      <c r="B278">
        <v>55</v>
      </c>
      <c r="C278">
        <v>371</v>
      </c>
      <c r="D278">
        <v>2021</v>
      </c>
      <c r="E278">
        <v>-0.36</v>
      </c>
      <c r="F278">
        <v>0.45</v>
      </c>
      <c r="G278">
        <f t="shared" si="14"/>
        <v>-0.79999999999999993</v>
      </c>
      <c r="H278" s="27">
        <v>0</v>
      </c>
      <c r="I278">
        <v>1</v>
      </c>
      <c r="J278">
        <v>2211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s="21">
        <v>0</v>
      </c>
      <c r="S278">
        <v>1</v>
      </c>
      <c r="T278">
        <v>1</v>
      </c>
      <c r="U278">
        <v>1995</v>
      </c>
      <c r="V278">
        <v>2018</v>
      </c>
      <c r="W278">
        <f t="shared" si="15"/>
        <v>2007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 s="21">
        <v>0</v>
      </c>
      <c r="AE278">
        <v>0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 s="21">
        <v>1</v>
      </c>
      <c r="AO278" s="21">
        <v>1</v>
      </c>
      <c r="AP278" s="21">
        <v>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  <c r="AZ278" s="21">
        <v>0</v>
      </c>
      <c r="BA278" s="21">
        <v>1</v>
      </c>
      <c r="BB278" s="21">
        <v>0</v>
      </c>
      <c r="BC278">
        <v>1</v>
      </c>
      <c r="BD278">
        <v>1</v>
      </c>
      <c r="BE278">
        <v>1</v>
      </c>
      <c r="BF278">
        <v>0</v>
      </c>
      <c r="BG278" s="21">
        <v>1</v>
      </c>
      <c r="BH278">
        <v>0</v>
      </c>
      <c r="BI278" s="21">
        <v>1</v>
      </c>
      <c r="BJ278" s="21">
        <v>0</v>
      </c>
      <c r="BK278" s="21">
        <v>0</v>
      </c>
      <c r="BL278" s="21">
        <v>0</v>
      </c>
      <c r="BM278" s="21">
        <v>0</v>
      </c>
      <c r="BN278" s="21">
        <v>0</v>
      </c>
      <c r="BO278" s="21">
        <v>0</v>
      </c>
      <c r="BP278" s="21">
        <v>0</v>
      </c>
      <c r="BQ278" s="21">
        <v>0</v>
      </c>
      <c r="BR278" s="21">
        <v>1</v>
      </c>
      <c r="BS278" s="21">
        <v>0</v>
      </c>
    </row>
    <row r="279" spans="1:71">
      <c r="A279" s="20" t="s">
        <v>5069</v>
      </c>
      <c r="B279">
        <v>55</v>
      </c>
      <c r="C279">
        <v>372</v>
      </c>
      <c r="D279">
        <v>2021</v>
      </c>
      <c r="E279">
        <v>-0.43</v>
      </c>
      <c r="F279">
        <v>0.43</v>
      </c>
      <c r="G279">
        <f t="shared" si="14"/>
        <v>-1</v>
      </c>
      <c r="H279" s="27">
        <v>0</v>
      </c>
      <c r="I279">
        <v>1</v>
      </c>
      <c r="J279">
        <v>2157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s="21">
        <v>0</v>
      </c>
      <c r="S279">
        <v>1</v>
      </c>
      <c r="T279">
        <v>1</v>
      </c>
      <c r="U279">
        <v>1995</v>
      </c>
      <c r="V279">
        <v>2018</v>
      </c>
      <c r="W279">
        <f t="shared" si="15"/>
        <v>2007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 s="21">
        <v>0</v>
      </c>
      <c r="AE279">
        <v>0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 s="21">
        <v>1</v>
      </c>
      <c r="AO279" s="21">
        <v>1</v>
      </c>
      <c r="AP279" s="21">
        <v>1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  <c r="AZ279" s="21">
        <v>0</v>
      </c>
      <c r="BA279" s="21">
        <v>1</v>
      </c>
      <c r="BB279" s="21">
        <v>0</v>
      </c>
      <c r="BC279">
        <v>1</v>
      </c>
      <c r="BD279">
        <v>1</v>
      </c>
      <c r="BE279">
        <v>1</v>
      </c>
      <c r="BF279">
        <v>0</v>
      </c>
      <c r="BG279" s="21">
        <v>1</v>
      </c>
      <c r="BH279">
        <v>0</v>
      </c>
      <c r="BI279" s="21">
        <v>1</v>
      </c>
      <c r="BJ279" s="21">
        <v>0</v>
      </c>
      <c r="BK279" s="21">
        <v>0</v>
      </c>
      <c r="BL279" s="21">
        <v>0</v>
      </c>
      <c r="BM279" s="21">
        <v>0</v>
      </c>
      <c r="BN279" s="21">
        <v>0</v>
      </c>
      <c r="BO279" s="21">
        <v>0</v>
      </c>
      <c r="BP279" s="21">
        <v>0</v>
      </c>
      <c r="BQ279" s="21">
        <v>0</v>
      </c>
      <c r="BR279" s="21">
        <v>1</v>
      </c>
      <c r="BS279" s="21">
        <v>0</v>
      </c>
    </row>
    <row r="280" spans="1:71">
      <c r="A280" s="20" t="s">
        <v>5069</v>
      </c>
      <c r="B280">
        <v>55</v>
      </c>
      <c r="C280">
        <v>373</v>
      </c>
      <c r="D280">
        <v>2021</v>
      </c>
      <c r="E280">
        <v>-0.48</v>
      </c>
      <c r="F280">
        <v>0.42</v>
      </c>
      <c r="G280">
        <f t="shared" si="14"/>
        <v>-1.1428571428571428</v>
      </c>
      <c r="H280" s="27">
        <v>0</v>
      </c>
      <c r="I280">
        <v>1</v>
      </c>
      <c r="J280">
        <v>2102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s="21">
        <v>0</v>
      </c>
      <c r="S280">
        <v>1</v>
      </c>
      <c r="T280">
        <v>1</v>
      </c>
      <c r="U280">
        <v>1995</v>
      </c>
      <c r="V280">
        <v>2018</v>
      </c>
      <c r="W280">
        <f t="shared" si="15"/>
        <v>2007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 s="21">
        <v>0</v>
      </c>
      <c r="AE280">
        <v>0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 s="21">
        <v>1</v>
      </c>
      <c r="AO280" s="21">
        <v>1</v>
      </c>
      <c r="AP280" s="21">
        <v>1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 s="21">
        <v>0</v>
      </c>
      <c r="BA280" s="21">
        <v>1</v>
      </c>
      <c r="BB280" s="21">
        <v>0</v>
      </c>
      <c r="BC280">
        <v>1</v>
      </c>
      <c r="BD280">
        <v>1</v>
      </c>
      <c r="BE280">
        <v>1</v>
      </c>
      <c r="BF280">
        <v>0</v>
      </c>
      <c r="BG280" s="21">
        <v>1</v>
      </c>
      <c r="BH280">
        <v>0</v>
      </c>
      <c r="BI280" s="21">
        <v>1</v>
      </c>
      <c r="BJ280" s="21">
        <v>0</v>
      </c>
      <c r="BK280" s="21">
        <v>0</v>
      </c>
      <c r="BL280" s="21">
        <v>0</v>
      </c>
      <c r="BM280" s="21">
        <v>0</v>
      </c>
      <c r="BN280" s="21">
        <v>0</v>
      </c>
      <c r="BO280" s="21">
        <v>0</v>
      </c>
      <c r="BP280" s="21">
        <v>0</v>
      </c>
      <c r="BQ280" s="21">
        <v>0</v>
      </c>
      <c r="BR280" s="21">
        <v>1</v>
      </c>
      <c r="BS280" s="21">
        <v>0</v>
      </c>
    </row>
    <row r="281" spans="1:71">
      <c r="A281" s="20" t="s">
        <v>5069</v>
      </c>
      <c r="B281">
        <v>55</v>
      </c>
      <c r="C281">
        <v>374</v>
      </c>
      <c r="D281">
        <v>2021</v>
      </c>
      <c r="E281">
        <v>-0.55000000000000004</v>
      </c>
      <c r="F281">
        <v>0.42</v>
      </c>
      <c r="G281">
        <f t="shared" si="14"/>
        <v>-1.3095238095238098</v>
      </c>
      <c r="H281" s="27">
        <v>0</v>
      </c>
      <c r="I281">
        <v>1</v>
      </c>
      <c r="J281">
        <v>2043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s="21">
        <v>0</v>
      </c>
      <c r="S281">
        <v>1</v>
      </c>
      <c r="T281">
        <v>1</v>
      </c>
      <c r="U281">
        <v>1995</v>
      </c>
      <c r="V281">
        <v>2018</v>
      </c>
      <c r="W281">
        <f t="shared" si="15"/>
        <v>2007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 s="21">
        <v>1</v>
      </c>
      <c r="AO281" s="21">
        <v>1</v>
      </c>
      <c r="AP281" s="21">
        <v>1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</v>
      </c>
      <c r="AZ281" s="21">
        <v>0</v>
      </c>
      <c r="BA281" s="21">
        <v>1</v>
      </c>
      <c r="BB281" s="21">
        <v>0</v>
      </c>
      <c r="BC281">
        <v>1</v>
      </c>
      <c r="BD281">
        <v>1</v>
      </c>
      <c r="BE281">
        <v>1</v>
      </c>
      <c r="BF281">
        <v>0</v>
      </c>
      <c r="BG281" s="21">
        <v>1</v>
      </c>
      <c r="BH281">
        <v>0</v>
      </c>
      <c r="BI281" s="21">
        <v>1</v>
      </c>
      <c r="BJ281" s="21">
        <v>0</v>
      </c>
      <c r="BK281" s="21">
        <v>0</v>
      </c>
      <c r="BL281" s="21">
        <v>0</v>
      </c>
      <c r="BM281" s="21">
        <v>0</v>
      </c>
      <c r="BN281" s="21">
        <v>0</v>
      </c>
      <c r="BO281" s="21">
        <v>0</v>
      </c>
      <c r="BP281" s="21">
        <v>0</v>
      </c>
      <c r="BQ281" s="21">
        <v>0</v>
      </c>
      <c r="BR281" s="21">
        <v>1</v>
      </c>
      <c r="BS281" s="21">
        <v>0</v>
      </c>
    </row>
    <row r="282" spans="1:71">
      <c r="A282" s="20" t="s">
        <v>4789</v>
      </c>
      <c r="B282">
        <v>63</v>
      </c>
      <c r="C282">
        <v>415</v>
      </c>
      <c r="D282">
        <v>2021</v>
      </c>
      <c r="E282">
        <v>-0.59199999999999997</v>
      </c>
      <c r="F282">
        <f t="shared" ref="F282:F298" si="16">E282/G282</f>
        <v>0.13929411764705882</v>
      </c>
      <c r="G282">
        <v>-4.25</v>
      </c>
      <c r="H282" s="27">
        <v>0</v>
      </c>
      <c r="I282">
        <v>1</v>
      </c>
      <c r="J282">
        <v>361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2000</v>
      </c>
      <c r="V282">
        <v>2018</v>
      </c>
      <c r="W282">
        <f t="shared" si="15"/>
        <v>2009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1</v>
      </c>
      <c r="AD282" s="21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 s="21">
        <v>1</v>
      </c>
      <c r="AO282" s="21">
        <v>0</v>
      </c>
      <c r="AP282" s="21">
        <v>0</v>
      </c>
      <c r="AQ282">
        <v>0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0</v>
      </c>
      <c r="AY282">
        <v>1</v>
      </c>
      <c r="AZ282" s="21">
        <v>1</v>
      </c>
      <c r="BA282" s="21">
        <v>1</v>
      </c>
      <c r="BB282" s="21">
        <v>1</v>
      </c>
      <c r="BC282">
        <v>0</v>
      </c>
      <c r="BD282">
        <v>0</v>
      </c>
      <c r="BE282">
        <v>0</v>
      </c>
      <c r="BF282">
        <v>0</v>
      </c>
      <c r="BG282">
        <v>1</v>
      </c>
      <c r="BH282">
        <v>0</v>
      </c>
      <c r="BI282">
        <v>0</v>
      </c>
      <c r="BJ282">
        <v>0</v>
      </c>
      <c r="BK282">
        <v>1</v>
      </c>
      <c r="BL282">
        <v>0</v>
      </c>
      <c r="BM282">
        <v>0</v>
      </c>
      <c r="BN282">
        <v>1</v>
      </c>
      <c r="BO282">
        <v>0</v>
      </c>
      <c r="BP282">
        <v>0</v>
      </c>
      <c r="BQ282">
        <v>0</v>
      </c>
      <c r="BR282" s="21">
        <v>0</v>
      </c>
      <c r="BS282" s="21">
        <v>0</v>
      </c>
    </row>
    <row r="283" spans="1:71">
      <c r="A283" s="20" t="s">
        <v>4789</v>
      </c>
      <c r="B283">
        <v>63</v>
      </c>
      <c r="C283">
        <v>416</v>
      </c>
      <c r="D283">
        <v>2021</v>
      </c>
      <c r="E283">
        <v>-0.59</v>
      </c>
      <c r="F283">
        <f t="shared" si="16"/>
        <v>0.15364583333333334</v>
      </c>
      <c r="G283">
        <v>-3.84</v>
      </c>
      <c r="H283" s="27">
        <v>0</v>
      </c>
      <c r="I283">
        <v>1</v>
      </c>
      <c r="J283">
        <v>361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2000</v>
      </c>
      <c r="V283">
        <v>2018</v>
      </c>
      <c r="W283">
        <f t="shared" si="15"/>
        <v>2009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1</v>
      </c>
      <c r="AD283" s="21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 s="21">
        <v>1</v>
      </c>
      <c r="AO283" s="21">
        <v>0</v>
      </c>
      <c r="AP283" s="21">
        <v>0</v>
      </c>
      <c r="AQ283">
        <v>0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0</v>
      </c>
      <c r="AY283">
        <v>1</v>
      </c>
      <c r="AZ283" s="21">
        <v>1</v>
      </c>
      <c r="BA283" s="21">
        <v>1</v>
      </c>
      <c r="BB283" s="21">
        <v>1</v>
      </c>
      <c r="BC283">
        <v>0</v>
      </c>
      <c r="BD283">
        <v>0</v>
      </c>
      <c r="BE283">
        <v>0</v>
      </c>
      <c r="BF283">
        <v>0</v>
      </c>
      <c r="BG283">
        <v>1</v>
      </c>
      <c r="BH283">
        <v>0</v>
      </c>
      <c r="BI283">
        <v>0</v>
      </c>
      <c r="BJ283">
        <v>0</v>
      </c>
      <c r="BK283">
        <v>1</v>
      </c>
      <c r="BL283">
        <v>0</v>
      </c>
      <c r="BM283">
        <v>0</v>
      </c>
      <c r="BN283">
        <v>1</v>
      </c>
      <c r="BO283">
        <v>0</v>
      </c>
      <c r="BP283">
        <v>0</v>
      </c>
      <c r="BQ283">
        <v>0</v>
      </c>
      <c r="BR283" s="21">
        <v>0</v>
      </c>
      <c r="BS283" s="21">
        <v>0</v>
      </c>
    </row>
    <row r="284" spans="1:71">
      <c r="A284" s="20" t="s">
        <v>4789</v>
      </c>
      <c r="B284">
        <v>63</v>
      </c>
      <c r="C284">
        <v>417</v>
      </c>
      <c r="D284">
        <v>2021</v>
      </c>
      <c r="E284">
        <v>-0.58699999999999997</v>
      </c>
      <c r="F284">
        <f t="shared" si="16"/>
        <v>0.16305555555555554</v>
      </c>
      <c r="G284">
        <v>-3.6</v>
      </c>
      <c r="H284" s="27">
        <v>0</v>
      </c>
      <c r="I284">
        <v>1</v>
      </c>
      <c r="J284">
        <v>361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2000</v>
      </c>
      <c r="V284">
        <v>2018</v>
      </c>
      <c r="W284">
        <f t="shared" si="15"/>
        <v>2009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1</v>
      </c>
      <c r="AD284" s="21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</v>
      </c>
      <c r="AN284" s="21">
        <v>1</v>
      </c>
      <c r="AO284" s="21">
        <v>0</v>
      </c>
      <c r="AP284" s="21">
        <v>0</v>
      </c>
      <c r="AQ284">
        <v>0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0</v>
      </c>
      <c r="AY284">
        <v>1</v>
      </c>
      <c r="AZ284" s="21">
        <v>1</v>
      </c>
      <c r="BA284" s="21">
        <v>1</v>
      </c>
      <c r="BB284" s="21">
        <v>1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0</v>
      </c>
      <c r="BI284">
        <v>0</v>
      </c>
      <c r="BJ284">
        <v>0</v>
      </c>
      <c r="BK284">
        <v>1</v>
      </c>
      <c r="BL284">
        <v>0</v>
      </c>
      <c r="BM284">
        <v>0</v>
      </c>
      <c r="BN284">
        <v>1</v>
      </c>
      <c r="BO284">
        <v>0</v>
      </c>
      <c r="BP284">
        <v>0</v>
      </c>
      <c r="BQ284">
        <v>0</v>
      </c>
      <c r="BR284" s="21">
        <v>0</v>
      </c>
      <c r="BS284" s="21">
        <v>0</v>
      </c>
    </row>
    <row r="285" spans="1:71">
      <c r="A285" s="20" t="s">
        <v>5045</v>
      </c>
      <c r="B285">
        <v>86</v>
      </c>
      <c r="C285">
        <v>535</v>
      </c>
      <c r="D285">
        <v>2021</v>
      </c>
      <c r="E285">
        <v>-0.54200000000000004</v>
      </c>
      <c r="F285">
        <f t="shared" si="16"/>
        <v>0.19288256227758008</v>
      </c>
      <c r="G285">
        <v>-2.81</v>
      </c>
      <c r="H285" s="27">
        <v>1</v>
      </c>
      <c r="I285">
        <v>0</v>
      </c>
      <c r="J285">
        <v>16320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2011</v>
      </c>
      <c r="V285">
        <v>2015</v>
      </c>
      <c r="W285">
        <f t="shared" si="15"/>
        <v>2013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 s="21">
        <v>0</v>
      </c>
      <c r="AO285" s="21">
        <v>0</v>
      </c>
      <c r="AP285" s="21">
        <v>1</v>
      </c>
      <c r="AQ285">
        <v>0</v>
      </c>
      <c r="AR285">
        <v>1</v>
      </c>
      <c r="AS285">
        <v>1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0</v>
      </c>
      <c r="AZ285" s="21">
        <v>0</v>
      </c>
      <c r="BA285" s="21">
        <v>0</v>
      </c>
      <c r="BB285" s="21">
        <v>1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 s="21">
        <v>1</v>
      </c>
      <c r="BS285" s="21">
        <v>0</v>
      </c>
    </row>
    <row r="286" spans="1:71">
      <c r="A286" s="20" t="s">
        <v>5045</v>
      </c>
      <c r="B286">
        <v>86</v>
      </c>
      <c r="C286">
        <v>536</v>
      </c>
      <c r="D286">
        <v>2021</v>
      </c>
      <c r="E286">
        <v>-0.57899999999999996</v>
      </c>
      <c r="F286">
        <f t="shared" si="16"/>
        <v>0.20604982206405692</v>
      </c>
      <c r="G286">
        <v>-2.81</v>
      </c>
      <c r="H286" s="27">
        <v>1</v>
      </c>
      <c r="I286">
        <v>0</v>
      </c>
      <c r="J286">
        <v>16320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2011</v>
      </c>
      <c r="V286">
        <v>2015</v>
      </c>
      <c r="W286">
        <f t="shared" si="15"/>
        <v>2013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 s="21">
        <v>0</v>
      </c>
      <c r="AO286" s="21">
        <v>0</v>
      </c>
      <c r="AP286" s="21">
        <v>1</v>
      </c>
      <c r="AQ286">
        <v>0</v>
      </c>
      <c r="AR286">
        <v>1</v>
      </c>
      <c r="AS286">
        <v>1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0</v>
      </c>
      <c r="AZ286" s="21">
        <v>0</v>
      </c>
      <c r="BA286" s="21">
        <v>0</v>
      </c>
      <c r="BB286" s="21">
        <v>1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 s="21">
        <v>1</v>
      </c>
      <c r="BS286" s="21">
        <v>0</v>
      </c>
    </row>
    <row r="287" spans="1:71">
      <c r="A287" s="20" t="s">
        <v>5045</v>
      </c>
      <c r="B287">
        <v>86</v>
      </c>
      <c r="C287">
        <v>537</v>
      </c>
      <c r="D287">
        <v>2021</v>
      </c>
      <c r="E287">
        <v>-0.499</v>
      </c>
      <c r="F287">
        <f t="shared" si="16"/>
        <v>0.17758007117437721</v>
      </c>
      <c r="G287">
        <v>-2.81</v>
      </c>
      <c r="H287" s="27">
        <v>1</v>
      </c>
      <c r="I287">
        <v>0</v>
      </c>
      <c r="J287">
        <v>16320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2011</v>
      </c>
      <c r="V287">
        <v>2015</v>
      </c>
      <c r="W287">
        <f t="shared" si="15"/>
        <v>2013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 s="21">
        <v>0</v>
      </c>
      <c r="AO287" s="21">
        <v>0</v>
      </c>
      <c r="AP287" s="21">
        <v>1</v>
      </c>
      <c r="AQ287">
        <v>0</v>
      </c>
      <c r="AR287">
        <v>1</v>
      </c>
      <c r="AS287">
        <v>1</v>
      </c>
      <c r="AT287">
        <v>1</v>
      </c>
      <c r="AU287">
        <v>0</v>
      </c>
      <c r="AV287">
        <v>0</v>
      </c>
      <c r="AW287">
        <v>0</v>
      </c>
      <c r="AX287">
        <v>0</v>
      </c>
      <c r="AY287">
        <v>0</v>
      </c>
      <c r="AZ287" s="21">
        <v>0</v>
      </c>
      <c r="BA287" s="21">
        <v>0</v>
      </c>
      <c r="BB287" s="21">
        <v>1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 s="21">
        <v>1</v>
      </c>
      <c r="BS287" s="21">
        <v>0</v>
      </c>
    </row>
    <row r="288" spans="1:71">
      <c r="A288" s="20" t="s">
        <v>5045</v>
      </c>
      <c r="B288">
        <v>86</v>
      </c>
      <c r="C288">
        <v>538</v>
      </c>
      <c r="D288">
        <v>2021</v>
      </c>
      <c r="E288">
        <v>-0.50800000000000001</v>
      </c>
      <c r="F288">
        <f t="shared" si="16"/>
        <v>0.1807829181494662</v>
      </c>
      <c r="G288">
        <v>-2.81</v>
      </c>
      <c r="H288" s="27">
        <v>1</v>
      </c>
      <c r="I288">
        <v>0</v>
      </c>
      <c r="J288">
        <v>16320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2011</v>
      </c>
      <c r="V288">
        <v>2015</v>
      </c>
      <c r="W288">
        <f t="shared" si="15"/>
        <v>2013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 s="21">
        <v>0</v>
      </c>
      <c r="AO288" s="21">
        <v>0</v>
      </c>
      <c r="AP288" s="21">
        <v>1</v>
      </c>
      <c r="AQ288">
        <v>0</v>
      </c>
      <c r="AR288">
        <v>1</v>
      </c>
      <c r="AS288">
        <v>1</v>
      </c>
      <c r="AT288">
        <v>1</v>
      </c>
      <c r="AU288">
        <v>0</v>
      </c>
      <c r="AV288">
        <v>0</v>
      </c>
      <c r="AW288">
        <v>0</v>
      </c>
      <c r="AX288">
        <v>0</v>
      </c>
      <c r="AY288">
        <v>0</v>
      </c>
      <c r="AZ288" s="21">
        <v>0</v>
      </c>
      <c r="BA288" s="21">
        <v>0</v>
      </c>
      <c r="BB288" s="21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 s="21">
        <v>1</v>
      </c>
      <c r="BS288" s="21">
        <v>0</v>
      </c>
    </row>
    <row r="289" spans="1:71">
      <c r="A289" s="20" t="s">
        <v>5045</v>
      </c>
      <c r="B289">
        <v>86</v>
      </c>
      <c r="C289">
        <v>539</v>
      </c>
      <c r="D289">
        <v>2021</v>
      </c>
      <c r="E289">
        <v>-0.504</v>
      </c>
      <c r="F289">
        <f t="shared" si="16"/>
        <v>0.17935943060498222</v>
      </c>
      <c r="G289">
        <v>-2.81</v>
      </c>
      <c r="H289" s="27">
        <v>1</v>
      </c>
      <c r="I289">
        <v>0</v>
      </c>
      <c r="J289">
        <v>16320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2011</v>
      </c>
      <c r="V289">
        <v>2015</v>
      </c>
      <c r="W289">
        <f t="shared" si="15"/>
        <v>2013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 s="21">
        <v>0</v>
      </c>
      <c r="AO289" s="21">
        <v>0</v>
      </c>
      <c r="AP289" s="21">
        <v>1</v>
      </c>
      <c r="AQ289">
        <v>0</v>
      </c>
      <c r="AR289">
        <v>1</v>
      </c>
      <c r="AS289">
        <v>1</v>
      </c>
      <c r="AT289">
        <v>1</v>
      </c>
      <c r="AU289">
        <v>0</v>
      </c>
      <c r="AV289">
        <v>0</v>
      </c>
      <c r="AW289">
        <v>0</v>
      </c>
      <c r="AX289">
        <v>0</v>
      </c>
      <c r="AY289">
        <v>0</v>
      </c>
      <c r="AZ289" s="21">
        <v>0</v>
      </c>
      <c r="BA289" s="21">
        <v>0</v>
      </c>
      <c r="BB289" s="21">
        <v>1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 s="21">
        <v>1</v>
      </c>
      <c r="BS289" s="21">
        <v>0</v>
      </c>
    </row>
    <row r="290" spans="1:71">
      <c r="A290" s="20" t="s">
        <v>5045</v>
      </c>
      <c r="B290">
        <v>86</v>
      </c>
      <c r="C290">
        <v>540</v>
      </c>
      <c r="D290">
        <v>2021</v>
      </c>
      <c r="E290">
        <v>-0.49199999999999999</v>
      </c>
      <c r="F290">
        <f t="shared" si="16"/>
        <v>0.17508896797153023</v>
      </c>
      <c r="G290">
        <v>-2.81</v>
      </c>
      <c r="H290" s="27">
        <v>1</v>
      </c>
      <c r="I290">
        <v>0</v>
      </c>
      <c r="J290">
        <v>16320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2011</v>
      </c>
      <c r="V290">
        <v>2015</v>
      </c>
      <c r="W290">
        <f t="shared" si="15"/>
        <v>2013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 s="21">
        <v>0</v>
      </c>
      <c r="AO290" s="21">
        <v>0</v>
      </c>
      <c r="AP290" s="21">
        <v>1</v>
      </c>
      <c r="AQ290">
        <v>0</v>
      </c>
      <c r="AR290">
        <v>1</v>
      </c>
      <c r="AS290">
        <v>1</v>
      </c>
      <c r="AT290">
        <v>1</v>
      </c>
      <c r="AU290">
        <v>0</v>
      </c>
      <c r="AV290">
        <v>0</v>
      </c>
      <c r="AW290">
        <v>0</v>
      </c>
      <c r="AX290">
        <v>0</v>
      </c>
      <c r="AY290">
        <v>0</v>
      </c>
      <c r="AZ290" s="21">
        <v>0</v>
      </c>
      <c r="BA290" s="21">
        <v>0</v>
      </c>
      <c r="BB290" s="21">
        <v>1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 s="21">
        <v>1</v>
      </c>
      <c r="BS290" s="21">
        <v>0</v>
      </c>
    </row>
    <row r="291" spans="1:71">
      <c r="A291" s="20" t="s">
        <v>5045</v>
      </c>
      <c r="B291">
        <v>86</v>
      </c>
      <c r="C291">
        <v>541</v>
      </c>
      <c r="D291">
        <v>2021</v>
      </c>
      <c r="E291">
        <v>-0.54</v>
      </c>
      <c r="F291">
        <f t="shared" si="16"/>
        <v>0.1921708185053381</v>
      </c>
      <c r="G291">
        <v>-2.81</v>
      </c>
      <c r="H291" s="27">
        <v>1</v>
      </c>
      <c r="I291">
        <v>0</v>
      </c>
      <c r="J291">
        <v>16320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2011</v>
      </c>
      <c r="V291">
        <v>2015</v>
      </c>
      <c r="W291">
        <f t="shared" si="15"/>
        <v>2013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 s="21">
        <v>0</v>
      </c>
      <c r="AO291" s="21">
        <v>0</v>
      </c>
      <c r="AP291" s="21">
        <v>1</v>
      </c>
      <c r="AQ291">
        <v>0</v>
      </c>
      <c r="AR291">
        <v>1</v>
      </c>
      <c r="AS291">
        <v>1</v>
      </c>
      <c r="AT291">
        <v>1</v>
      </c>
      <c r="AU291">
        <v>0</v>
      </c>
      <c r="AV291">
        <v>0</v>
      </c>
      <c r="AW291">
        <v>0</v>
      </c>
      <c r="AX291">
        <v>0</v>
      </c>
      <c r="AY291">
        <v>0</v>
      </c>
      <c r="AZ291" s="21">
        <v>0</v>
      </c>
      <c r="BA291" s="21">
        <v>0</v>
      </c>
      <c r="BB291" s="21">
        <v>1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 s="21">
        <v>1</v>
      </c>
      <c r="BS291" s="21">
        <v>0</v>
      </c>
    </row>
    <row r="292" spans="1:71">
      <c r="A292" s="20" t="s">
        <v>5045</v>
      </c>
      <c r="B292">
        <v>86</v>
      </c>
      <c r="C292">
        <v>542</v>
      </c>
      <c r="D292">
        <v>2021</v>
      </c>
      <c r="E292">
        <v>-0.54700000000000004</v>
      </c>
      <c r="F292">
        <f t="shared" si="16"/>
        <v>0.19466192170818505</v>
      </c>
      <c r="G292">
        <v>-2.81</v>
      </c>
      <c r="H292" s="27">
        <v>1</v>
      </c>
      <c r="I292">
        <v>0</v>
      </c>
      <c r="J292">
        <v>16320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2011</v>
      </c>
      <c r="V292">
        <v>2015</v>
      </c>
      <c r="W292">
        <f t="shared" si="15"/>
        <v>2013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 s="21">
        <v>0</v>
      </c>
      <c r="AO292" s="21">
        <v>0</v>
      </c>
      <c r="AP292" s="21">
        <v>1</v>
      </c>
      <c r="AQ292">
        <v>0</v>
      </c>
      <c r="AR292">
        <v>1</v>
      </c>
      <c r="AS292">
        <v>1</v>
      </c>
      <c r="AT292">
        <v>1</v>
      </c>
      <c r="AU292">
        <v>0</v>
      </c>
      <c r="AV292">
        <v>0</v>
      </c>
      <c r="AW292">
        <v>0</v>
      </c>
      <c r="AX292">
        <v>0</v>
      </c>
      <c r="AY292">
        <v>0</v>
      </c>
      <c r="AZ292" s="21">
        <v>0</v>
      </c>
      <c r="BA292" s="21">
        <v>0</v>
      </c>
      <c r="BB292" s="21">
        <v>1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 s="21">
        <v>1</v>
      </c>
      <c r="BS292" s="21">
        <v>0</v>
      </c>
    </row>
    <row r="293" spans="1:71">
      <c r="A293" s="20" t="s">
        <v>5045</v>
      </c>
      <c r="B293">
        <v>86</v>
      </c>
      <c r="C293">
        <v>543</v>
      </c>
      <c r="D293">
        <v>2021</v>
      </c>
      <c r="E293">
        <v>-0.55100000000000005</v>
      </c>
      <c r="F293">
        <f t="shared" si="16"/>
        <v>0.19608540925266904</v>
      </c>
      <c r="G293">
        <v>-2.81</v>
      </c>
      <c r="H293" s="27">
        <v>1</v>
      </c>
      <c r="I293">
        <v>0</v>
      </c>
      <c r="J293">
        <v>16320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2011</v>
      </c>
      <c r="V293">
        <v>2015</v>
      </c>
      <c r="W293">
        <f t="shared" si="15"/>
        <v>2013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 s="21">
        <v>0</v>
      </c>
      <c r="AO293" s="21">
        <v>0</v>
      </c>
      <c r="AP293" s="21">
        <v>1</v>
      </c>
      <c r="AQ293">
        <v>0</v>
      </c>
      <c r="AR293">
        <v>1</v>
      </c>
      <c r="AS293">
        <v>1</v>
      </c>
      <c r="AT293">
        <v>1</v>
      </c>
      <c r="AU293">
        <v>0</v>
      </c>
      <c r="AV293">
        <v>0</v>
      </c>
      <c r="AW293">
        <v>0</v>
      </c>
      <c r="AX293">
        <v>0</v>
      </c>
      <c r="AY293">
        <v>0</v>
      </c>
      <c r="AZ293" s="21">
        <v>0</v>
      </c>
      <c r="BA293" s="21">
        <v>0</v>
      </c>
      <c r="BB293" s="21">
        <v>1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 s="21">
        <v>1</v>
      </c>
      <c r="BS293" s="21">
        <v>0</v>
      </c>
    </row>
    <row r="294" spans="1:71">
      <c r="A294" s="20" t="s">
        <v>5045</v>
      </c>
      <c r="B294">
        <v>86</v>
      </c>
      <c r="C294">
        <v>544</v>
      </c>
      <c r="D294">
        <v>2021</v>
      </c>
      <c r="E294">
        <v>-0.55100000000000005</v>
      </c>
      <c r="F294">
        <f t="shared" si="16"/>
        <v>0.19608540925266904</v>
      </c>
      <c r="G294">
        <v>-2.81</v>
      </c>
      <c r="H294" s="27">
        <v>1</v>
      </c>
      <c r="I294">
        <v>0</v>
      </c>
      <c r="J294">
        <v>16320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2011</v>
      </c>
      <c r="V294">
        <v>2015</v>
      </c>
      <c r="W294">
        <f t="shared" si="15"/>
        <v>2013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 s="21">
        <v>0</v>
      </c>
      <c r="AO294" s="21">
        <v>0</v>
      </c>
      <c r="AP294" s="21">
        <v>1</v>
      </c>
      <c r="AQ294">
        <v>0</v>
      </c>
      <c r="AR294">
        <v>1</v>
      </c>
      <c r="AS294">
        <v>1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0</v>
      </c>
      <c r="AZ294" s="21">
        <v>0</v>
      </c>
      <c r="BA294" s="21">
        <v>0</v>
      </c>
      <c r="BB294" s="21">
        <v>1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 s="21">
        <v>1</v>
      </c>
      <c r="BS294" s="21">
        <v>0</v>
      </c>
    </row>
    <row r="295" spans="1:71">
      <c r="A295" s="20" t="s">
        <v>5045</v>
      </c>
      <c r="B295">
        <v>86</v>
      </c>
      <c r="C295">
        <v>545</v>
      </c>
      <c r="D295">
        <v>2021</v>
      </c>
      <c r="E295">
        <v>-0.49099999999999999</v>
      </c>
      <c r="F295">
        <f t="shared" si="16"/>
        <v>0.17473309608540924</v>
      </c>
      <c r="G295">
        <v>-2.81</v>
      </c>
      <c r="H295" s="27">
        <v>1</v>
      </c>
      <c r="I295">
        <v>0</v>
      </c>
      <c r="J295">
        <v>16320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2011</v>
      </c>
      <c r="V295">
        <v>2015</v>
      </c>
      <c r="W295">
        <f t="shared" si="15"/>
        <v>2013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 s="21">
        <v>0</v>
      </c>
      <c r="AO295" s="21">
        <v>0</v>
      </c>
      <c r="AP295" s="21">
        <v>1</v>
      </c>
      <c r="AQ295">
        <v>0</v>
      </c>
      <c r="AR295">
        <v>1</v>
      </c>
      <c r="AS295">
        <v>1</v>
      </c>
      <c r="AT295">
        <v>1</v>
      </c>
      <c r="AU295">
        <v>0</v>
      </c>
      <c r="AV295">
        <v>0</v>
      </c>
      <c r="AW295">
        <v>0</v>
      </c>
      <c r="AX295">
        <v>0</v>
      </c>
      <c r="AY295">
        <v>0</v>
      </c>
      <c r="AZ295" s="21">
        <v>0</v>
      </c>
      <c r="BA295" s="21">
        <v>0</v>
      </c>
      <c r="BB295" s="21">
        <v>1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 s="21">
        <v>1</v>
      </c>
      <c r="BS295" s="21">
        <v>0</v>
      </c>
    </row>
    <row r="296" spans="1:71">
      <c r="A296" s="20" t="s">
        <v>5045</v>
      </c>
      <c r="B296">
        <v>86</v>
      </c>
      <c r="C296">
        <v>546</v>
      </c>
      <c r="D296">
        <v>2021</v>
      </c>
      <c r="E296">
        <v>-0.54</v>
      </c>
      <c r="F296">
        <f t="shared" si="16"/>
        <v>0.1921708185053381</v>
      </c>
      <c r="G296">
        <v>-2.81</v>
      </c>
      <c r="H296" s="27">
        <v>1</v>
      </c>
      <c r="I296">
        <v>0</v>
      </c>
      <c r="J296">
        <v>16320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2011</v>
      </c>
      <c r="V296">
        <v>2015</v>
      </c>
      <c r="W296">
        <f t="shared" si="15"/>
        <v>2013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 s="21">
        <v>0</v>
      </c>
      <c r="AO296" s="21">
        <v>0</v>
      </c>
      <c r="AP296" s="21">
        <v>1</v>
      </c>
      <c r="AQ296">
        <v>0</v>
      </c>
      <c r="AR296">
        <v>1</v>
      </c>
      <c r="AS296">
        <v>1</v>
      </c>
      <c r="AT296">
        <v>1</v>
      </c>
      <c r="AU296">
        <v>0</v>
      </c>
      <c r="AV296">
        <v>0</v>
      </c>
      <c r="AW296">
        <v>0</v>
      </c>
      <c r="AX296">
        <v>0</v>
      </c>
      <c r="AY296">
        <v>0</v>
      </c>
      <c r="AZ296" s="21">
        <v>0</v>
      </c>
      <c r="BA296" s="21">
        <v>0</v>
      </c>
      <c r="BB296" s="21">
        <v>1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 s="21">
        <v>1</v>
      </c>
      <c r="BS296" s="21">
        <v>0</v>
      </c>
    </row>
    <row r="297" spans="1:71">
      <c r="A297" s="20" t="s">
        <v>5045</v>
      </c>
      <c r="B297">
        <v>86</v>
      </c>
      <c r="C297">
        <v>547</v>
      </c>
      <c r="D297">
        <v>2021</v>
      </c>
      <c r="E297">
        <v>-0.54600000000000004</v>
      </c>
      <c r="F297">
        <f t="shared" si="16"/>
        <v>0.19430604982206406</v>
      </c>
      <c r="G297">
        <v>-2.81</v>
      </c>
      <c r="H297" s="27">
        <v>1</v>
      </c>
      <c r="I297">
        <v>0</v>
      </c>
      <c r="J297">
        <v>16320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2011</v>
      </c>
      <c r="V297">
        <v>2015</v>
      </c>
      <c r="W297">
        <f t="shared" si="15"/>
        <v>2013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 s="21">
        <v>0</v>
      </c>
      <c r="AO297" s="21">
        <v>0</v>
      </c>
      <c r="AP297" s="21">
        <v>1</v>
      </c>
      <c r="AQ297">
        <v>0</v>
      </c>
      <c r="AR297">
        <v>1</v>
      </c>
      <c r="AS297">
        <v>1</v>
      </c>
      <c r="AT297">
        <v>1</v>
      </c>
      <c r="AU297">
        <v>0</v>
      </c>
      <c r="AV297">
        <v>0</v>
      </c>
      <c r="AW297">
        <v>0</v>
      </c>
      <c r="AX297">
        <v>0</v>
      </c>
      <c r="AY297">
        <v>0</v>
      </c>
      <c r="AZ297" s="21">
        <v>0</v>
      </c>
      <c r="BA297" s="21">
        <v>0</v>
      </c>
      <c r="BB297" s="21">
        <v>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 s="21">
        <v>1</v>
      </c>
      <c r="BS297" s="21">
        <v>0</v>
      </c>
    </row>
    <row r="298" spans="1:71">
      <c r="A298" s="20" t="s">
        <v>5045</v>
      </c>
      <c r="B298">
        <v>86</v>
      </c>
      <c r="C298">
        <v>548</v>
      </c>
      <c r="D298">
        <v>2021</v>
      </c>
      <c r="E298">
        <v>-0.5</v>
      </c>
      <c r="F298">
        <f t="shared" si="16"/>
        <v>0.17793594306049823</v>
      </c>
      <c r="G298">
        <v>-2.81</v>
      </c>
      <c r="H298" s="27">
        <v>1</v>
      </c>
      <c r="I298">
        <v>0</v>
      </c>
      <c r="J298">
        <v>16320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2011</v>
      </c>
      <c r="V298">
        <v>2015</v>
      </c>
      <c r="W298">
        <f t="shared" si="15"/>
        <v>2013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 s="21">
        <v>0</v>
      </c>
      <c r="AO298" s="21">
        <v>0</v>
      </c>
      <c r="AP298" s="21">
        <v>1</v>
      </c>
      <c r="AQ298">
        <v>0</v>
      </c>
      <c r="AR298">
        <v>1</v>
      </c>
      <c r="AS298">
        <v>1</v>
      </c>
      <c r="AT298">
        <v>1</v>
      </c>
      <c r="AU298">
        <v>0</v>
      </c>
      <c r="AV298">
        <v>0</v>
      </c>
      <c r="AW298">
        <v>0</v>
      </c>
      <c r="AX298">
        <v>0</v>
      </c>
      <c r="AY298">
        <v>0</v>
      </c>
      <c r="AZ298" s="21">
        <v>0</v>
      </c>
      <c r="BA298" s="21">
        <v>0</v>
      </c>
      <c r="BB298" s="21">
        <v>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 s="21">
        <v>1</v>
      </c>
      <c r="BS298" s="21">
        <v>0</v>
      </c>
    </row>
    <row r="299" spans="1:71">
      <c r="A299" s="20" t="s">
        <v>5060</v>
      </c>
      <c r="B299">
        <v>113</v>
      </c>
      <c r="C299">
        <v>716</v>
      </c>
      <c r="D299">
        <v>2021</v>
      </c>
      <c r="E299">
        <v>-1.6120000000000001</v>
      </c>
      <c r="F299">
        <v>1.7000000000000001E-2</v>
      </c>
      <c r="G299">
        <f t="shared" ref="G299:G319" si="17">E299/F299</f>
        <v>-94.82352941176471</v>
      </c>
      <c r="H299" s="27">
        <v>0</v>
      </c>
      <c r="I299">
        <v>1</v>
      </c>
      <c r="J299">
        <v>56402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</v>
      </c>
      <c r="U299">
        <v>1995</v>
      </c>
      <c r="V299">
        <v>2015</v>
      </c>
      <c r="W299">
        <f t="shared" si="15"/>
        <v>2005</v>
      </c>
      <c r="X299">
        <v>1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1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1</v>
      </c>
      <c r="AN299" s="21">
        <v>1</v>
      </c>
      <c r="AO299" s="21">
        <v>1</v>
      </c>
      <c r="AP299" s="21">
        <v>1</v>
      </c>
      <c r="AQ299">
        <v>0</v>
      </c>
      <c r="AR299">
        <v>1</v>
      </c>
      <c r="AS299">
        <v>1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1</v>
      </c>
      <c r="AZ299" s="21">
        <v>1</v>
      </c>
      <c r="BA299" s="21">
        <v>1</v>
      </c>
      <c r="BB299" s="21">
        <v>1</v>
      </c>
      <c r="BC299">
        <v>1</v>
      </c>
      <c r="BD299">
        <v>1</v>
      </c>
      <c r="BE299">
        <v>1</v>
      </c>
      <c r="BF299">
        <v>0</v>
      </c>
      <c r="BG299">
        <v>1</v>
      </c>
      <c r="BH299">
        <v>0</v>
      </c>
      <c r="BI299">
        <v>1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 s="21">
        <v>0</v>
      </c>
      <c r="BS299" s="21">
        <v>1</v>
      </c>
    </row>
    <row r="300" spans="1:71">
      <c r="A300" s="20" t="s">
        <v>5060</v>
      </c>
      <c r="B300">
        <v>113</v>
      </c>
      <c r="C300">
        <v>717</v>
      </c>
      <c r="D300">
        <v>2021</v>
      </c>
      <c r="E300">
        <v>-1.4430000000000001</v>
      </c>
      <c r="F300">
        <v>3.5000000000000003E-2</v>
      </c>
      <c r="G300">
        <f t="shared" si="17"/>
        <v>-41.228571428571428</v>
      </c>
      <c r="H300" s="27">
        <v>0</v>
      </c>
      <c r="I300">
        <v>1</v>
      </c>
      <c r="J300">
        <v>90270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1</v>
      </c>
      <c r="U300">
        <v>1995</v>
      </c>
      <c r="V300">
        <v>2015</v>
      </c>
      <c r="W300">
        <f t="shared" si="15"/>
        <v>2005</v>
      </c>
      <c r="X300">
        <v>1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1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1</v>
      </c>
      <c r="AN300" s="21">
        <v>1</v>
      </c>
      <c r="AO300" s="21">
        <v>1</v>
      </c>
      <c r="AP300" s="21">
        <v>1</v>
      </c>
      <c r="AQ300">
        <v>0</v>
      </c>
      <c r="AR300">
        <v>1</v>
      </c>
      <c r="AS300">
        <v>1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1</v>
      </c>
      <c r="AZ300" s="21">
        <v>1</v>
      </c>
      <c r="BA300" s="21">
        <v>1</v>
      </c>
      <c r="BB300" s="21">
        <v>1</v>
      </c>
      <c r="BC300">
        <v>1</v>
      </c>
      <c r="BD300">
        <v>1</v>
      </c>
      <c r="BE300">
        <v>1</v>
      </c>
      <c r="BF300">
        <v>0</v>
      </c>
      <c r="BG300">
        <v>1</v>
      </c>
      <c r="BH300">
        <v>0</v>
      </c>
      <c r="BI300">
        <v>1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 s="21">
        <v>0</v>
      </c>
      <c r="BS300" s="21">
        <v>1</v>
      </c>
    </row>
    <row r="301" spans="1:71">
      <c r="A301" s="20" t="s">
        <v>5060</v>
      </c>
      <c r="B301">
        <v>113</v>
      </c>
      <c r="C301">
        <v>718</v>
      </c>
      <c r="D301">
        <v>2021</v>
      </c>
      <c r="E301">
        <v>-1.72</v>
      </c>
      <c r="F301">
        <v>2.7E-2</v>
      </c>
      <c r="G301">
        <f t="shared" si="17"/>
        <v>-63.703703703703702</v>
      </c>
      <c r="H301" s="27">
        <v>0</v>
      </c>
      <c r="I301">
        <v>1</v>
      </c>
      <c r="J301">
        <v>27717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</v>
      </c>
      <c r="U301">
        <v>1995</v>
      </c>
      <c r="V301">
        <v>2015</v>
      </c>
      <c r="W301">
        <f t="shared" si="15"/>
        <v>2005</v>
      </c>
      <c r="X301">
        <v>1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1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1</v>
      </c>
      <c r="AN301" s="21">
        <v>1</v>
      </c>
      <c r="AO301" s="21">
        <v>1</v>
      </c>
      <c r="AP301" s="21">
        <v>1</v>
      </c>
      <c r="AQ301">
        <v>0</v>
      </c>
      <c r="AR301">
        <v>1</v>
      </c>
      <c r="AS301">
        <v>1</v>
      </c>
      <c r="AT301">
        <v>0</v>
      </c>
      <c r="AU301">
        <v>0</v>
      </c>
      <c r="AV301">
        <v>1</v>
      </c>
      <c r="AW301">
        <v>0</v>
      </c>
      <c r="AX301">
        <v>0</v>
      </c>
      <c r="AY301">
        <v>1</v>
      </c>
      <c r="AZ301" s="21">
        <v>1</v>
      </c>
      <c r="BA301" s="21">
        <v>1</v>
      </c>
      <c r="BB301" s="21">
        <v>1</v>
      </c>
      <c r="BC301">
        <v>1</v>
      </c>
      <c r="BD301">
        <v>1</v>
      </c>
      <c r="BE301">
        <v>1</v>
      </c>
      <c r="BF301">
        <v>0</v>
      </c>
      <c r="BG301">
        <v>1</v>
      </c>
      <c r="BH301">
        <v>0</v>
      </c>
      <c r="BI301">
        <v>1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 s="21">
        <v>0</v>
      </c>
      <c r="BS301" s="21">
        <v>1</v>
      </c>
    </row>
    <row r="302" spans="1:71">
      <c r="A302" s="20" t="s">
        <v>5060</v>
      </c>
      <c r="B302">
        <v>113</v>
      </c>
      <c r="C302">
        <v>719</v>
      </c>
      <c r="D302">
        <v>2021</v>
      </c>
      <c r="E302">
        <v>-1.492</v>
      </c>
      <c r="F302">
        <v>4.4999999999999998E-2</v>
      </c>
      <c r="G302">
        <f t="shared" si="17"/>
        <v>-33.155555555555559</v>
      </c>
      <c r="H302" s="27">
        <v>0</v>
      </c>
      <c r="I302">
        <v>1</v>
      </c>
      <c r="J302">
        <v>35421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</v>
      </c>
      <c r="U302">
        <v>1995</v>
      </c>
      <c r="V302">
        <v>2015</v>
      </c>
      <c r="W302">
        <f t="shared" si="15"/>
        <v>2005</v>
      </c>
      <c r="X302">
        <v>1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1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1</v>
      </c>
      <c r="AN302" s="21">
        <v>1</v>
      </c>
      <c r="AO302" s="21">
        <v>1</v>
      </c>
      <c r="AP302" s="21">
        <v>1</v>
      </c>
      <c r="AQ302">
        <v>0</v>
      </c>
      <c r="AR302">
        <v>1</v>
      </c>
      <c r="AS302">
        <v>1</v>
      </c>
      <c r="AT302">
        <v>0</v>
      </c>
      <c r="AU302">
        <v>0</v>
      </c>
      <c r="AV302">
        <v>1</v>
      </c>
      <c r="AW302">
        <v>0</v>
      </c>
      <c r="AX302">
        <v>0</v>
      </c>
      <c r="AY302">
        <v>1</v>
      </c>
      <c r="AZ302" s="21">
        <v>1</v>
      </c>
      <c r="BA302" s="21">
        <v>1</v>
      </c>
      <c r="BB302" s="21">
        <v>1</v>
      </c>
      <c r="BC302">
        <v>1</v>
      </c>
      <c r="BD302">
        <v>1</v>
      </c>
      <c r="BE302">
        <v>1</v>
      </c>
      <c r="BF302">
        <v>0</v>
      </c>
      <c r="BG302">
        <v>1</v>
      </c>
      <c r="BH302">
        <v>0</v>
      </c>
      <c r="BI302">
        <v>1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 s="21">
        <v>0</v>
      </c>
      <c r="BS302" s="21">
        <v>1</v>
      </c>
    </row>
    <row r="303" spans="1:71">
      <c r="A303" s="20" t="s">
        <v>5054</v>
      </c>
      <c r="B303">
        <v>114</v>
      </c>
      <c r="C303">
        <v>720</v>
      </c>
      <c r="D303">
        <v>2021</v>
      </c>
      <c r="E303">
        <v>-1.657</v>
      </c>
      <c r="F303">
        <v>8.0000000000000002E-3</v>
      </c>
      <c r="G303">
        <f t="shared" si="17"/>
        <v>-207.125</v>
      </c>
      <c r="H303" s="27">
        <v>0</v>
      </c>
      <c r="I303">
        <v>1</v>
      </c>
      <c r="J303">
        <v>77737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1</v>
      </c>
      <c r="U303">
        <v>1995</v>
      </c>
      <c r="V303">
        <v>2015</v>
      </c>
      <c r="W303">
        <f t="shared" si="15"/>
        <v>2005</v>
      </c>
      <c r="X303">
        <v>1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 s="21">
        <v>1</v>
      </c>
      <c r="AO303" s="21">
        <v>1</v>
      </c>
      <c r="AP303" s="21">
        <v>1</v>
      </c>
      <c r="AQ303">
        <v>0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 s="21">
        <v>1</v>
      </c>
      <c r="BA303" s="21">
        <v>1</v>
      </c>
      <c r="BB303" s="21">
        <v>1</v>
      </c>
      <c r="BC303">
        <v>1</v>
      </c>
      <c r="BD303">
        <v>1</v>
      </c>
      <c r="BE303">
        <v>1</v>
      </c>
      <c r="BF303">
        <v>1</v>
      </c>
      <c r="BG303">
        <v>0</v>
      </c>
      <c r="BH303">
        <v>0</v>
      </c>
      <c r="BI303">
        <v>1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 s="21">
        <v>0</v>
      </c>
      <c r="BS303" s="21">
        <v>0</v>
      </c>
    </row>
    <row r="304" spans="1:71">
      <c r="A304" s="20" t="s">
        <v>4989</v>
      </c>
      <c r="B304">
        <v>126</v>
      </c>
      <c r="C304">
        <v>786</v>
      </c>
      <c r="D304">
        <v>2021</v>
      </c>
      <c r="E304">
        <v>-0.66500000000000004</v>
      </c>
      <c r="F304">
        <v>0.215</v>
      </c>
      <c r="G304">
        <f t="shared" si="17"/>
        <v>-3.0930232558139537</v>
      </c>
      <c r="H304" s="27">
        <v>0</v>
      </c>
      <c r="I304">
        <v>1</v>
      </c>
      <c r="J304">
        <v>312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2014</v>
      </c>
      <c r="V304">
        <v>2015</v>
      </c>
      <c r="W304">
        <f t="shared" si="15"/>
        <v>2015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1</v>
      </c>
      <c r="AF304">
        <v>1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  <c r="AN304" s="21">
        <v>1</v>
      </c>
      <c r="AO304" s="21">
        <v>0</v>
      </c>
      <c r="AP304" s="21">
        <v>0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</row>
    <row r="305" spans="1:71">
      <c r="A305" s="20" t="s">
        <v>4989</v>
      </c>
      <c r="B305">
        <v>126</v>
      </c>
      <c r="C305">
        <v>787</v>
      </c>
      <c r="D305">
        <v>2021</v>
      </c>
      <c r="E305">
        <v>-0.67100000000000004</v>
      </c>
      <c r="F305">
        <v>0.216</v>
      </c>
      <c r="G305">
        <f t="shared" si="17"/>
        <v>-3.1064814814814818</v>
      </c>
      <c r="H305" s="27">
        <v>0</v>
      </c>
      <c r="I305">
        <v>1</v>
      </c>
      <c r="J305">
        <v>312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2014</v>
      </c>
      <c r="V305">
        <v>2015</v>
      </c>
      <c r="W305">
        <f t="shared" si="15"/>
        <v>2015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1</v>
      </c>
      <c r="AG305">
        <v>1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0</v>
      </c>
      <c r="AN305" s="21">
        <v>1</v>
      </c>
      <c r="AO305" s="21">
        <v>0</v>
      </c>
      <c r="AP305" s="21">
        <v>0</v>
      </c>
      <c r="AQ305">
        <v>0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</row>
    <row r="306" spans="1:71">
      <c r="A306" s="20" t="s">
        <v>4989</v>
      </c>
      <c r="B306">
        <v>126</v>
      </c>
      <c r="C306">
        <v>788</v>
      </c>
      <c r="D306">
        <v>2021</v>
      </c>
      <c r="E306">
        <v>-0.66400000000000003</v>
      </c>
      <c r="F306">
        <v>0.215</v>
      </c>
      <c r="G306">
        <f t="shared" si="17"/>
        <v>-3.0883720930232559</v>
      </c>
      <c r="H306" s="27">
        <v>0</v>
      </c>
      <c r="I306">
        <v>1</v>
      </c>
      <c r="J306">
        <v>312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2014</v>
      </c>
      <c r="V306">
        <v>2015</v>
      </c>
      <c r="W306">
        <f t="shared" si="15"/>
        <v>2015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1</v>
      </c>
      <c r="AF306">
        <v>1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 s="21">
        <v>1</v>
      </c>
      <c r="AO306" s="21">
        <v>0</v>
      </c>
      <c r="AP306" s="21">
        <v>0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</row>
    <row r="307" spans="1:71">
      <c r="A307" s="20" t="s">
        <v>4944</v>
      </c>
      <c r="B307">
        <v>8</v>
      </c>
      <c r="C307">
        <v>55</v>
      </c>
      <c r="D307">
        <v>2020</v>
      </c>
      <c r="E307" s="14">
        <v>-0.86</v>
      </c>
      <c r="F307" s="14">
        <v>0.05</v>
      </c>
      <c r="G307" s="14">
        <f t="shared" si="17"/>
        <v>-17.2</v>
      </c>
      <c r="H307" s="27">
        <v>0</v>
      </c>
      <c r="I307">
        <v>1</v>
      </c>
      <c r="J307">
        <v>18156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</v>
      </c>
      <c r="U307">
        <v>1995</v>
      </c>
      <c r="V307">
        <v>2015</v>
      </c>
      <c r="W307">
        <f t="shared" si="15"/>
        <v>2005</v>
      </c>
      <c r="X307">
        <v>1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1</v>
      </c>
      <c r="AI307">
        <v>1</v>
      </c>
      <c r="AJ307">
        <v>0</v>
      </c>
      <c r="AK307">
        <v>1</v>
      </c>
      <c r="AL307">
        <v>0</v>
      </c>
      <c r="AM307">
        <v>1</v>
      </c>
      <c r="AN307">
        <v>0</v>
      </c>
      <c r="AO307">
        <v>1</v>
      </c>
      <c r="AP307">
        <v>1</v>
      </c>
      <c r="AQ307">
        <v>1</v>
      </c>
      <c r="AR307">
        <v>0</v>
      </c>
      <c r="AS307">
        <v>0</v>
      </c>
      <c r="AT307">
        <v>1</v>
      </c>
      <c r="AU307">
        <v>1</v>
      </c>
      <c r="AV307">
        <v>0</v>
      </c>
      <c r="AW307">
        <v>1</v>
      </c>
      <c r="AX307">
        <v>0</v>
      </c>
      <c r="AY307">
        <v>1</v>
      </c>
      <c r="AZ307">
        <v>0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</v>
      </c>
      <c r="BO307">
        <v>1</v>
      </c>
      <c r="BP307">
        <v>0</v>
      </c>
      <c r="BQ307">
        <v>0</v>
      </c>
      <c r="BR307">
        <v>0</v>
      </c>
      <c r="BS307">
        <v>0</v>
      </c>
    </row>
    <row r="308" spans="1:71">
      <c r="A308" s="20" t="s">
        <v>5398</v>
      </c>
      <c r="B308">
        <v>10</v>
      </c>
      <c r="C308">
        <v>66</v>
      </c>
      <c r="D308">
        <v>2020</v>
      </c>
      <c r="E308" s="14">
        <v>-0.85</v>
      </c>
      <c r="F308" s="14">
        <v>0.08</v>
      </c>
      <c r="G308" s="14">
        <f t="shared" si="17"/>
        <v>-10.625</v>
      </c>
      <c r="H308" s="27">
        <v>0</v>
      </c>
      <c r="I308">
        <v>1</v>
      </c>
      <c r="J308">
        <v>185418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1</v>
      </c>
      <c r="R308">
        <v>1</v>
      </c>
      <c r="S308">
        <v>0</v>
      </c>
      <c r="T308">
        <v>1</v>
      </c>
      <c r="U308">
        <v>1995</v>
      </c>
      <c r="V308">
        <v>2013</v>
      </c>
      <c r="W308">
        <f t="shared" si="15"/>
        <v>2004</v>
      </c>
      <c r="X308">
        <v>1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0</v>
      </c>
      <c r="AR308">
        <v>0</v>
      </c>
      <c r="AS308">
        <v>0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0</v>
      </c>
      <c r="BE308">
        <v>1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1</v>
      </c>
      <c r="BQ308">
        <v>0</v>
      </c>
      <c r="BR308">
        <v>0</v>
      </c>
      <c r="BS308">
        <v>0</v>
      </c>
    </row>
    <row r="309" spans="1:71">
      <c r="A309" s="20" t="s">
        <v>5398</v>
      </c>
      <c r="B309">
        <v>10</v>
      </c>
      <c r="C309">
        <v>67</v>
      </c>
      <c r="D309">
        <v>2020</v>
      </c>
      <c r="E309" s="14">
        <v>-0.56000000000000005</v>
      </c>
      <c r="F309" s="14">
        <v>0.1</v>
      </c>
      <c r="G309" s="14">
        <f t="shared" si="17"/>
        <v>-5.6000000000000005</v>
      </c>
      <c r="H309" s="27">
        <v>0</v>
      </c>
      <c r="I309">
        <v>1</v>
      </c>
      <c r="J309">
        <v>185418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1</v>
      </c>
      <c r="R309">
        <v>1</v>
      </c>
      <c r="S309">
        <v>0</v>
      </c>
      <c r="T309">
        <v>1</v>
      </c>
      <c r="U309">
        <v>1995</v>
      </c>
      <c r="V309">
        <v>2013</v>
      </c>
      <c r="W309">
        <f t="shared" si="15"/>
        <v>2004</v>
      </c>
      <c r="X309">
        <v>1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0</v>
      </c>
      <c r="AR309">
        <v>0</v>
      </c>
      <c r="AS309">
        <v>0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0</v>
      </c>
      <c r="BE309">
        <v>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</v>
      </c>
      <c r="BQ309">
        <v>0</v>
      </c>
      <c r="BR309">
        <v>0</v>
      </c>
      <c r="BS309">
        <v>0</v>
      </c>
    </row>
    <row r="310" spans="1:71">
      <c r="A310" s="20" t="s">
        <v>5398</v>
      </c>
      <c r="B310">
        <v>10</v>
      </c>
      <c r="C310">
        <v>68</v>
      </c>
      <c r="D310">
        <v>2020</v>
      </c>
      <c r="E310" s="14">
        <v>-0.56000000000000005</v>
      </c>
      <c r="F310" s="14">
        <v>0.1</v>
      </c>
      <c r="G310" s="14">
        <f t="shared" si="17"/>
        <v>-5.6000000000000005</v>
      </c>
      <c r="H310" s="27">
        <v>0</v>
      </c>
      <c r="I310">
        <v>1</v>
      </c>
      <c r="J310">
        <v>185418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1</v>
      </c>
      <c r="R310">
        <v>1</v>
      </c>
      <c r="S310">
        <v>0</v>
      </c>
      <c r="T310">
        <v>1</v>
      </c>
      <c r="U310">
        <v>1995</v>
      </c>
      <c r="V310">
        <v>2013</v>
      </c>
      <c r="W310">
        <f t="shared" si="15"/>
        <v>2004</v>
      </c>
      <c r="X310">
        <v>1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0</v>
      </c>
      <c r="AR310">
        <v>0</v>
      </c>
      <c r="AS310">
        <v>0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0</v>
      </c>
      <c r="BE310">
        <v>1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1</v>
      </c>
      <c r="BQ310">
        <v>0</v>
      </c>
      <c r="BR310">
        <v>0</v>
      </c>
      <c r="BS310">
        <v>0</v>
      </c>
    </row>
    <row r="311" spans="1:71">
      <c r="A311" s="20" t="s">
        <v>5056</v>
      </c>
      <c r="B311">
        <v>11</v>
      </c>
      <c r="C311">
        <v>69</v>
      </c>
      <c r="D311">
        <v>2020</v>
      </c>
      <c r="E311" s="14">
        <v>-1.75</v>
      </c>
      <c r="F311" s="14">
        <v>0.01</v>
      </c>
      <c r="G311" s="14">
        <f t="shared" si="17"/>
        <v>-175</v>
      </c>
      <c r="H311" s="27">
        <v>0</v>
      </c>
      <c r="I311">
        <v>1</v>
      </c>
      <c r="J311">
        <v>61949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1</v>
      </c>
      <c r="U311">
        <v>1995</v>
      </c>
      <c r="V311">
        <v>2013</v>
      </c>
      <c r="W311">
        <f t="shared" si="15"/>
        <v>2004</v>
      </c>
      <c r="X311">
        <v>1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0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0</v>
      </c>
      <c r="BG311">
        <v>0</v>
      </c>
      <c r="BH311">
        <v>0</v>
      </c>
      <c r="BI311">
        <v>1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1</v>
      </c>
      <c r="BS311">
        <v>0</v>
      </c>
    </row>
    <row r="312" spans="1:71">
      <c r="A312" s="46" t="s">
        <v>4985</v>
      </c>
      <c r="B312">
        <v>21</v>
      </c>
      <c r="C312">
        <v>146</v>
      </c>
      <c r="D312" s="21">
        <v>2020</v>
      </c>
      <c r="E312" s="23">
        <v>-1.68</v>
      </c>
      <c r="F312" s="23">
        <v>0.01</v>
      </c>
      <c r="G312" s="14">
        <f t="shared" si="17"/>
        <v>-168</v>
      </c>
      <c r="H312" s="27">
        <v>0</v>
      </c>
      <c r="I312" s="21">
        <v>1</v>
      </c>
      <c r="J312" s="21">
        <v>55711</v>
      </c>
      <c r="K312" s="21">
        <v>1</v>
      </c>
      <c r="L312" s="21">
        <v>0</v>
      </c>
      <c r="M312" s="21">
        <v>0</v>
      </c>
      <c r="N312" s="21">
        <v>0</v>
      </c>
      <c r="O312" s="21">
        <v>0</v>
      </c>
      <c r="P312">
        <v>0</v>
      </c>
      <c r="Q312" s="21">
        <v>1</v>
      </c>
      <c r="R312" s="21">
        <v>0</v>
      </c>
      <c r="S312" s="21">
        <v>0</v>
      </c>
      <c r="T312" s="21">
        <v>1</v>
      </c>
      <c r="U312" s="21">
        <v>1995</v>
      </c>
      <c r="V312" s="21">
        <v>2010</v>
      </c>
      <c r="W312">
        <f t="shared" si="15"/>
        <v>2003</v>
      </c>
      <c r="X312" s="21">
        <v>1</v>
      </c>
      <c r="Y312" s="21">
        <v>0</v>
      </c>
      <c r="Z312" s="21">
        <v>1</v>
      </c>
      <c r="AA312" s="21">
        <v>0</v>
      </c>
      <c r="AB312" s="21">
        <v>0</v>
      </c>
      <c r="AC312" s="21">
        <v>0</v>
      </c>
      <c r="AD312" s="21">
        <v>0</v>
      </c>
      <c r="AE312" s="21">
        <v>0</v>
      </c>
      <c r="AF312" s="21">
        <v>1</v>
      </c>
      <c r="AG312" s="21">
        <v>1</v>
      </c>
      <c r="AH312" s="21">
        <v>1</v>
      </c>
      <c r="AI312" s="21">
        <v>1</v>
      </c>
      <c r="AJ312" s="21">
        <v>1</v>
      </c>
      <c r="AK312" s="21">
        <v>1</v>
      </c>
      <c r="AL312" s="21">
        <v>1</v>
      </c>
      <c r="AM312" s="21">
        <v>1</v>
      </c>
      <c r="AN312" s="21">
        <v>1</v>
      </c>
      <c r="AO312" s="21">
        <v>1</v>
      </c>
      <c r="AP312" s="21">
        <v>1</v>
      </c>
      <c r="AQ312" s="21">
        <v>0</v>
      </c>
      <c r="AR312" s="21">
        <v>1</v>
      </c>
      <c r="AS312" s="21">
        <v>1</v>
      </c>
      <c r="AT312" s="21">
        <v>1</v>
      </c>
      <c r="AU312" s="21">
        <v>1</v>
      </c>
      <c r="AV312" s="21">
        <v>1</v>
      </c>
      <c r="AW312" s="21">
        <v>1</v>
      </c>
      <c r="AX312" s="21">
        <v>1</v>
      </c>
      <c r="AY312" s="21">
        <v>1</v>
      </c>
      <c r="AZ312" s="21">
        <v>1</v>
      </c>
      <c r="BA312" s="21">
        <v>1</v>
      </c>
      <c r="BB312" s="21">
        <v>1</v>
      </c>
      <c r="BC312" s="21">
        <v>1</v>
      </c>
      <c r="BD312" s="21">
        <v>1</v>
      </c>
      <c r="BE312" s="21">
        <v>1</v>
      </c>
      <c r="BF312" s="21">
        <v>0</v>
      </c>
      <c r="BG312" s="21">
        <v>0</v>
      </c>
      <c r="BH312" s="21">
        <v>0</v>
      </c>
      <c r="BI312" s="21">
        <v>1</v>
      </c>
      <c r="BJ312" s="21">
        <v>0</v>
      </c>
      <c r="BK312" s="21">
        <v>0</v>
      </c>
      <c r="BL312" s="21">
        <v>0</v>
      </c>
      <c r="BM312" s="21">
        <v>0</v>
      </c>
      <c r="BN312" s="21">
        <v>0</v>
      </c>
      <c r="BO312" s="21">
        <v>0</v>
      </c>
      <c r="BP312" s="21">
        <v>0</v>
      </c>
      <c r="BQ312" s="21">
        <v>0</v>
      </c>
      <c r="BR312" s="21">
        <v>1</v>
      </c>
      <c r="BS312" s="21">
        <v>0</v>
      </c>
    </row>
    <row r="313" spans="1:71">
      <c r="A313" s="46" t="s">
        <v>4985</v>
      </c>
      <c r="B313">
        <v>21</v>
      </c>
      <c r="C313">
        <v>147</v>
      </c>
      <c r="D313" s="21">
        <v>2020</v>
      </c>
      <c r="E313" s="23">
        <v>-1.45</v>
      </c>
      <c r="F313" s="23">
        <v>0.01</v>
      </c>
      <c r="G313" s="14">
        <f t="shared" si="17"/>
        <v>-145</v>
      </c>
      <c r="H313" s="27">
        <v>0</v>
      </c>
      <c r="I313" s="21">
        <v>1</v>
      </c>
      <c r="J313" s="21">
        <v>62911</v>
      </c>
      <c r="K313" s="21">
        <v>1</v>
      </c>
      <c r="L313" s="21">
        <v>0</v>
      </c>
      <c r="M313" s="21">
        <v>0</v>
      </c>
      <c r="N313" s="21">
        <v>0</v>
      </c>
      <c r="O313" s="21">
        <v>0</v>
      </c>
      <c r="P313">
        <v>0</v>
      </c>
      <c r="Q313" s="21">
        <v>1</v>
      </c>
      <c r="R313" s="21">
        <v>0</v>
      </c>
      <c r="S313" s="21">
        <v>0</v>
      </c>
      <c r="T313" s="21">
        <v>1</v>
      </c>
      <c r="U313" s="21">
        <v>1995</v>
      </c>
      <c r="V313" s="21">
        <v>2010</v>
      </c>
      <c r="W313">
        <f t="shared" si="15"/>
        <v>2003</v>
      </c>
      <c r="X313" s="21">
        <v>1</v>
      </c>
      <c r="Y313" s="21">
        <v>0</v>
      </c>
      <c r="Z313" s="21">
        <v>1</v>
      </c>
      <c r="AA313" s="21">
        <v>0</v>
      </c>
      <c r="AB313" s="21">
        <v>0</v>
      </c>
      <c r="AC313" s="21">
        <v>0</v>
      </c>
      <c r="AD313" s="21">
        <v>0</v>
      </c>
      <c r="AE313" s="21">
        <v>0</v>
      </c>
      <c r="AF313" s="21">
        <v>1</v>
      </c>
      <c r="AG313" s="21">
        <v>1</v>
      </c>
      <c r="AH313" s="21">
        <v>1</v>
      </c>
      <c r="AI313" s="21">
        <v>1</v>
      </c>
      <c r="AJ313" s="21">
        <v>1</v>
      </c>
      <c r="AK313" s="21">
        <v>1</v>
      </c>
      <c r="AL313" s="21">
        <v>1</v>
      </c>
      <c r="AM313" s="21">
        <v>1</v>
      </c>
      <c r="AN313" s="21">
        <v>1</v>
      </c>
      <c r="AO313" s="21">
        <v>1</v>
      </c>
      <c r="AP313" s="21">
        <v>1</v>
      </c>
      <c r="AQ313" s="21">
        <v>0</v>
      </c>
      <c r="AR313" s="21">
        <v>1</v>
      </c>
      <c r="AS313" s="21">
        <v>1</v>
      </c>
      <c r="AT313" s="21">
        <v>1</v>
      </c>
      <c r="AU313" s="21">
        <v>1</v>
      </c>
      <c r="AV313" s="21">
        <v>1</v>
      </c>
      <c r="AW313" s="21">
        <v>1</v>
      </c>
      <c r="AX313" s="21">
        <v>1</v>
      </c>
      <c r="AY313" s="21">
        <v>1</v>
      </c>
      <c r="AZ313" s="21">
        <v>1</v>
      </c>
      <c r="BA313" s="21">
        <v>1</v>
      </c>
      <c r="BB313" s="21">
        <v>1</v>
      </c>
      <c r="BC313" s="21">
        <v>1</v>
      </c>
      <c r="BD313" s="21">
        <v>1</v>
      </c>
      <c r="BE313" s="21">
        <v>1</v>
      </c>
      <c r="BF313" s="21">
        <v>0</v>
      </c>
      <c r="BG313" s="21">
        <v>0</v>
      </c>
      <c r="BH313" s="21">
        <v>0</v>
      </c>
      <c r="BI313" s="21">
        <v>1</v>
      </c>
      <c r="BJ313" s="21">
        <v>0</v>
      </c>
      <c r="BK313" s="21">
        <v>0</v>
      </c>
      <c r="BL313" s="21">
        <v>0</v>
      </c>
      <c r="BM313" s="21">
        <v>0</v>
      </c>
      <c r="BN313" s="21">
        <v>0</v>
      </c>
      <c r="BO313" s="21">
        <v>0</v>
      </c>
      <c r="BP313" s="21">
        <v>0</v>
      </c>
      <c r="BQ313" s="21">
        <v>0</v>
      </c>
      <c r="BR313" s="21">
        <v>1</v>
      </c>
      <c r="BS313" s="21">
        <v>0</v>
      </c>
    </row>
    <row r="314" spans="1:71">
      <c r="A314" s="20" t="s">
        <v>4944</v>
      </c>
      <c r="B314">
        <v>36</v>
      </c>
      <c r="C314">
        <v>224</v>
      </c>
      <c r="D314" s="21">
        <v>2020</v>
      </c>
      <c r="E314" s="23">
        <v>-0.4</v>
      </c>
      <c r="F314" s="23">
        <v>0.08</v>
      </c>
      <c r="G314" s="14">
        <f t="shared" si="17"/>
        <v>-5</v>
      </c>
      <c r="H314" s="27">
        <v>0</v>
      </c>
      <c r="I314" s="21">
        <v>1</v>
      </c>
      <c r="J314" s="21">
        <v>13036</v>
      </c>
      <c r="K314" s="21">
        <v>0</v>
      </c>
      <c r="L314" s="21">
        <v>0</v>
      </c>
      <c r="M314" s="21">
        <v>1</v>
      </c>
      <c r="N314" s="21">
        <v>0</v>
      </c>
      <c r="O314" s="21">
        <v>0</v>
      </c>
      <c r="P314">
        <v>0</v>
      </c>
      <c r="Q314" s="21">
        <v>1</v>
      </c>
      <c r="R314" s="21">
        <v>0</v>
      </c>
      <c r="S314" s="21">
        <v>0</v>
      </c>
      <c r="T314" s="21">
        <v>1</v>
      </c>
      <c r="U314" s="21">
        <v>1995</v>
      </c>
      <c r="V314" s="21">
        <v>2015</v>
      </c>
      <c r="W314">
        <f t="shared" si="15"/>
        <v>2005</v>
      </c>
      <c r="X314" s="21">
        <v>1</v>
      </c>
      <c r="Y314" s="21">
        <v>0</v>
      </c>
      <c r="Z314" s="21">
        <v>1</v>
      </c>
      <c r="AA314" s="21">
        <v>0</v>
      </c>
      <c r="AB314" s="21">
        <v>0</v>
      </c>
      <c r="AC314" s="21">
        <v>0</v>
      </c>
      <c r="AD314" s="21">
        <v>0</v>
      </c>
      <c r="AE314" s="21">
        <v>1</v>
      </c>
      <c r="AF314" s="21">
        <v>0</v>
      </c>
      <c r="AG314" s="21">
        <v>0</v>
      </c>
      <c r="AH314" s="21">
        <v>1</v>
      </c>
      <c r="AI314" s="21">
        <v>1</v>
      </c>
      <c r="AJ314" s="21">
        <v>0</v>
      </c>
      <c r="AK314" s="21">
        <v>1</v>
      </c>
      <c r="AL314" s="21">
        <v>1</v>
      </c>
      <c r="AM314" s="21">
        <v>1</v>
      </c>
      <c r="AN314" s="21">
        <v>0</v>
      </c>
      <c r="AO314" s="21">
        <v>1</v>
      </c>
      <c r="AP314" s="21">
        <v>1</v>
      </c>
      <c r="AQ314" s="21">
        <v>1</v>
      </c>
      <c r="AR314" s="21">
        <v>0</v>
      </c>
      <c r="AS314" s="21">
        <v>0</v>
      </c>
      <c r="AT314" s="21">
        <v>1</v>
      </c>
      <c r="AU314" s="21">
        <v>1</v>
      </c>
      <c r="AV314" s="21">
        <v>0</v>
      </c>
      <c r="AW314" s="21">
        <v>1</v>
      </c>
      <c r="AX314" s="21">
        <v>1</v>
      </c>
      <c r="AY314" s="21">
        <v>1</v>
      </c>
      <c r="AZ314" s="21">
        <v>0</v>
      </c>
      <c r="BA314" s="21">
        <v>1</v>
      </c>
      <c r="BB314" s="21">
        <v>1</v>
      </c>
      <c r="BC314" s="21">
        <v>1</v>
      </c>
      <c r="BD314" s="21">
        <v>1</v>
      </c>
      <c r="BE314" s="21">
        <v>1</v>
      </c>
      <c r="BF314" s="21">
        <v>1</v>
      </c>
      <c r="BG314" s="21">
        <v>0</v>
      </c>
      <c r="BH314" s="21">
        <v>0</v>
      </c>
      <c r="BI314" s="21">
        <v>0</v>
      </c>
      <c r="BJ314" s="21">
        <v>0</v>
      </c>
      <c r="BK314" s="21">
        <v>0</v>
      </c>
      <c r="BL314" s="21">
        <v>0</v>
      </c>
      <c r="BM314" s="21">
        <v>0</v>
      </c>
      <c r="BN314" s="21">
        <v>1</v>
      </c>
      <c r="BO314" s="21">
        <v>1</v>
      </c>
      <c r="BP314" s="21">
        <v>0</v>
      </c>
      <c r="BQ314" s="21">
        <v>0</v>
      </c>
      <c r="BR314" s="21">
        <v>0</v>
      </c>
      <c r="BS314" s="21">
        <v>0</v>
      </c>
    </row>
    <row r="315" spans="1:71">
      <c r="A315" s="20" t="s">
        <v>4944</v>
      </c>
      <c r="B315">
        <v>36</v>
      </c>
      <c r="C315">
        <v>225</v>
      </c>
      <c r="D315" s="21">
        <v>2020</v>
      </c>
      <c r="E315" s="23">
        <v>-0.4</v>
      </c>
      <c r="F315" s="23">
        <v>0.08</v>
      </c>
      <c r="G315" s="14">
        <f t="shared" si="17"/>
        <v>-5</v>
      </c>
      <c r="H315" s="27">
        <v>0</v>
      </c>
      <c r="I315" s="21">
        <v>1</v>
      </c>
      <c r="J315" s="21">
        <v>13036</v>
      </c>
      <c r="K315" s="21">
        <v>0</v>
      </c>
      <c r="L315" s="21">
        <v>0</v>
      </c>
      <c r="M315" s="21">
        <v>1</v>
      </c>
      <c r="N315" s="21">
        <v>0</v>
      </c>
      <c r="O315" s="21">
        <v>0</v>
      </c>
      <c r="P315">
        <v>0</v>
      </c>
      <c r="Q315" s="21">
        <v>1</v>
      </c>
      <c r="R315" s="21">
        <v>0</v>
      </c>
      <c r="S315" s="21">
        <v>0</v>
      </c>
      <c r="T315" s="21">
        <v>1</v>
      </c>
      <c r="U315" s="21">
        <v>1995</v>
      </c>
      <c r="V315" s="21">
        <v>2015</v>
      </c>
      <c r="W315">
        <f t="shared" si="15"/>
        <v>2005</v>
      </c>
      <c r="X315" s="21">
        <v>1</v>
      </c>
      <c r="Y315" s="21">
        <v>0</v>
      </c>
      <c r="Z315" s="21">
        <v>1</v>
      </c>
      <c r="AA315" s="21">
        <v>0</v>
      </c>
      <c r="AB315" s="21">
        <v>0</v>
      </c>
      <c r="AC315" s="21">
        <v>0</v>
      </c>
      <c r="AD315" s="21">
        <v>0</v>
      </c>
      <c r="AE315" s="21">
        <v>1</v>
      </c>
      <c r="AF315" s="21">
        <v>0</v>
      </c>
      <c r="AG315" s="21">
        <v>0</v>
      </c>
      <c r="AH315" s="21">
        <v>1</v>
      </c>
      <c r="AI315" s="21">
        <v>1</v>
      </c>
      <c r="AJ315" s="21">
        <v>0</v>
      </c>
      <c r="AK315" s="21">
        <v>1</v>
      </c>
      <c r="AL315" s="21">
        <v>1</v>
      </c>
      <c r="AM315" s="21">
        <v>1</v>
      </c>
      <c r="AN315" s="21">
        <v>0</v>
      </c>
      <c r="AO315" s="21">
        <v>1</v>
      </c>
      <c r="AP315" s="21">
        <v>1</v>
      </c>
      <c r="AQ315" s="21">
        <v>1</v>
      </c>
      <c r="AR315" s="21">
        <v>0</v>
      </c>
      <c r="AS315" s="21">
        <v>0</v>
      </c>
      <c r="AT315" s="21">
        <v>1</v>
      </c>
      <c r="AU315" s="21">
        <v>1</v>
      </c>
      <c r="AV315" s="21">
        <v>0</v>
      </c>
      <c r="AW315" s="21">
        <v>1</v>
      </c>
      <c r="AX315" s="21">
        <v>1</v>
      </c>
      <c r="AY315" s="21">
        <v>1</v>
      </c>
      <c r="AZ315" s="21">
        <v>0</v>
      </c>
      <c r="BA315" s="21">
        <v>1</v>
      </c>
      <c r="BB315" s="21">
        <v>1</v>
      </c>
      <c r="BC315" s="21">
        <v>1</v>
      </c>
      <c r="BD315" s="21">
        <v>1</v>
      </c>
      <c r="BE315" s="21">
        <v>1</v>
      </c>
      <c r="BF315" s="21">
        <v>1</v>
      </c>
      <c r="BG315" s="21">
        <v>0</v>
      </c>
      <c r="BH315" s="21">
        <v>0</v>
      </c>
      <c r="BI315" s="21">
        <v>0</v>
      </c>
      <c r="BJ315" s="21">
        <v>0</v>
      </c>
      <c r="BK315" s="21">
        <v>0</v>
      </c>
      <c r="BL315" s="21">
        <v>0</v>
      </c>
      <c r="BM315" s="21">
        <v>0</v>
      </c>
      <c r="BN315" s="21">
        <v>1</v>
      </c>
      <c r="BO315" s="21">
        <v>1</v>
      </c>
      <c r="BP315" s="21">
        <v>0</v>
      </c>
      <c r="BQ315" s="21">
        <v>0</v>
      </c>
      <c r="BR315" s="21">
        <v>0</v>
      </c>
      <c r="BS315" s="21">
        <v>0</v>
      </c>
    </row>
    <row r="316" spans="1:71">
      <c r="A316" s="20" t="s">
        <v>4944</v>
      </c>
      <c r="B316">
        <v>36</v>
      </c>
      <c r="C316">
        <v>226</v>
      </c>
      <c r="D316" s="21">
        <v>2020</v>
      </c>
      <c r="E316" s="23">
        <v>-0.4</v>
      </c>
      <c r="F316" s="23">
        <v>0.08</v>
      </c>
      <c r="G316" s="14">
        <f t="shared" si="17"/>
        <v>-5</v>
      </c>
      <c r="H316" s="27">
        <v>0</v>
      </c>
      <c r="I316" s="21">
        <v>1</v>
      </c>
      <c r="J316" s="21">
        <v>13036</v>
      </c>
      <c r="K316" s="21">
        <v>0</v>
      </c>
      <c r="L316" s="21">
        <v>0</v>
      </c>
      <c r="M316" s="21">
        <v>1</v>
      </c>
      <c r="N316" s="21">
        <v>0</v>
      </c>
      <c r="O316" s="21">
        <v>0</v>
      </c>
      <c r="P316">
        <v>0</v>
      </c>
      <c r="Q316" s="21">
        <v>1</v>
      </c>
      <c r="R316" s="21">
        <v>0</v>
      </c>
      <c r="S316" s="21">
        <v>0</v>
      </c>
      <c r="T316" s="21">
        <v>1</v>
      </c>
      <c r="U316" s="21">
        <v>1995</v>
      </c>
      <c r="V316" s="21">
        <v>2015</v>
      </c>
      <c r="W316">
        <f t="shared" si="15"/>
        <v>2005</v>
      </c>
      <c r="X316" s="21">
        <v>1</v>
      </c>
      <c r="Y316" s="21">
        <v>0</v>
      </c>
      <c r="Z316" s="21">
        <v>1</v>
      </c>
      <c r="AA316" s="21">
        <v>0</v>
      </c>
      <c r="AB316" s="21">
        <v>0</v>
      </c>
      <c r="AC316" s="21">
        <v>0</v>
      </c>
      <c r="AD316" s="21">
        <v>0</v>
      </c>
      <c r="AE316" s="21">
        <v>1</v>
      </c>
      <c r="AF316" s="21">
        <v>0</v>
      </c>
      <c r="AG316" s="21">
        <v>0</v>
      </c>
      <c r="AH316" s="21">
        <v>1</v>
      </c>
      <c r="AI316" s="21">
        <v>1</v>
      </c>
      <c r="AJ316" s="21">
        <v>0</v>
      </c>
      <c r="AK316" s="21">
        <v>1</v>
      </c>
      <c r="AL316" s="21">
        <v>1</v>
      </c>
      <c r="AM316" s="21">
        <v>1</v>
      </c>
      <c r="AN316" s="21">
        <v>0</v>
      </c>
      <c r="AO316" s="21">
        <v>1</v>
      </c>
      <c r="AP316" s="21">
        <v>1</v>
      </c>
      <c r="AQ316" s="21">
        <v>1</v>
      </c>
      <c r="AR316" s="21">
        <v>0</v>
      </c>
      <c r="AS316" s="21">
        <v>0</v>
      </c>
      <c r="AT316" s="21">
        <v>1</v>
      </c>
      <c r="AU316" s="21">
        <v>1</v>
      </c>
      <c r="AV316" s="21">
        <v>0</v>
      </c>
      <c r="AW316" s="21">
        <v>1</v>
      </c>
      <c r="AX316" s="21">
        <v>1</v>
      </c>
      <c r="AY316" s="21">
        <v>1</v>
      </c>
      <c r="AZ316" s="21">
        <v>0</v>
      </c>
      <c r="BA316" s="21">
        <v>1</v>
      </c>
      <c r="BB316" s="21">
        <v>1</v>
      </c>
      <c r="BC316" s="21">
        <v>1</v>
      </c>
      <c r="BD316" s="21">
        <v>1</v>
      </c>
      <c r="BE316" s="21">
        <v>1</v>
      </c>
      <c r="BF316" s="21">
        <v>1</v>
      </c>
      <c r="BG316" s="21">
        <v>0</v>
      </c>
      <c r="BH316" s="21">
        <v>0</v>
      </c>
      <c r="BI316" s="21">
        <v>0</v>
      </c>
      <c r="BJ316" s="21">
        <v>0</v>
      </c>
      <c r="BK316" s="21">
        <v>0</v>
      </c>
      <c r="BL316" s="21">
        <v>0</v>
      </c>
      <c r="BM316" s="21">
        <v>0</v>
      </c>
      <c r="BN316" s="21">
        <v>1</v>
      </c>
      <c r="BO316" s="21">
        <v>1</v>
      </c>
      <c r="BP316" s="21">
        <v>0</v>
      </c>
      <c r="BQ316" s="21">
        <v>0</v>
      </c>
      <c r="BR316" s="21">
        <v>0</v>
      </c>
      <c r="BS316" s="21">
        <v>0</v>
      </c>
    </row>
    <row r="317" spans="1:71">
      <c r="A317" s="20" t="s">
        <v>5100</v>
      </c>
      <c r="B317">
        <v>41</v>
      </c>
      <c r="C317">
        <v>260</v>
      </c>
      <c r="D317" s="21">
        <v>2020</v>
      </c>
      <c r="E317" s="23">
        <v>-0.64</v>
      </c>
      <c r="F317">
        <v>0.05</v>
      </c>
      <c r="G317" s="14">
        <f t="shared" si="17"/>
        <v>-12.799999999999999</v>
      </c>
      <c r="H317" s="27">
        <v>0</v>
      </c>
      <c r="I317" s="21">
        <v>1</v>
      </c>
      <c r="J317" s="21">
        <v>2413</v>
      </c>
      <c r="K317" s="21">
        <v>1</v>
      </c>
      <c r="L317" s="21">
        <v>0</v>
      </c>
      <c r="M317" s="21">
        <v>0</v>
      </c>
      <c r="N317" s="21">
        <v>0</v>
      </c>
      <c r="O317" s="21">
        <v>0</v>
      </c>
      <c r="P317">
        <v>0</v>
      </c>
      <c r="Q317" s="21">
        <v>1</v>
      </c>
      <c r="R317" s="21">
        <v>0</v>
      </c>
      <c r="S317" s="21">
        <v>0</v>
      </c>
      <c r="T317" s="21">
        <v>1</v>
      </c>
      <c r="U317" s="21">
        <v>2000</v>
      </c>
      <c r="V317" s="21">
        <v>2015</v>
      </c>
      <c r="W317">
        <f t="shared" si="15"/>
        <v>2008</v>
      </c>
      <c r="X317" s="21">
        <v>0</v>
      </c>
      <c r="Y317" s="21">
        <v>1</v>
      </c>
      <c r="Z317" s="21">
        <v>0</v>
      </c>
      <c r="AA317" s="21">
        <v>1</v>
      </c>
      <c r="AB317" s="21">
        <v>0</v>
      </c>
      <c r="AC317" s="21">
        <v>0</v>
      </c>
      <c r="AD317" s="21">
        <v>0</v>
      </c>
      <c r="AE317" s="21">
        <v>1</v>
      </c>
      <c r="AF317" s="21">
        <v>0</v>
      </c>
      <c r="AG317" s="21">
        <v>1</v>
      </c>
      <c r="AH317" s="21">
        <v>1</v>
      </c>
      <c r="AI317" s="21">
        <v>0</v>
      </c>
      <c r="AJ317" s="21">
        <v>0</v>
      </c>
      <c r="AK317" s="21">
        <v>0</v>
      </c>
      <c r="AL317" s="21">
        <v>0</v>
      </c>
      <c r="AM317" s="21">
        <v>0</v>
      </c>
      <c r="AN317" s="21">
        <v>0</v>
      </c>
      <c r="AO317" s="21">
        <v>1</v>
      </c>
      <c r="AP317" s="21">
        <v>0</v>
      </c>
      <c r="AQ317" s="21">
        <v>1</v>
      </c>
      <c r="AR317" s="21">
        <v>0</v>
      </c>
      <c r="AS317" s="21">
        <v>1</v>
      </c>
      <c r="AT317" s="21">
        <v>0</v>
      </c>
      <c r="AU317" s="21">
        <v>0</v>
      </c>
      <c r="AV317" s="21">
        <v>0</v>
      </c>
      <c r="AW317" s="21">
        <v>0</v>
      </c>
      <c r="AX317" s="21">
        <v>0</v>
      </c>
      <c r="AY317" s="21">
        <v>0</v>
      </c>
      <c r="AZ317" s="21">
        <v>0</v>
      </c>
      <c r="BA317" s="21">
        <v>1</v>
      </c>
      <c r="BB317" s="21">
        <v>0</v>
      </c>
      <c r="BC317" s="21">
        <v>1</v>
      </c>
      <c r="BD317" s="21">
        <v>1</v>
      </c>
      <c r="BE317" s="21">
        <v>1</v>
      </c>
      <c r="BF317" s="21">
        <v>0</v>
      </c>
      <c r="BG317" s="21">
        <v>1</v>
      </c>
      <c r="BH317" s="21">
        <v>0</v>
      </c>
      <c r="BI317" s="21">
        <v>0</v>
      </c>
      <c r="BJ317" s="21">
        <v>0</v>
      </c>
      <c r="BK317" s="21">
        <v>0</v>
      </c>
      <c r="BL317" s="21">
        <v>0</v>
      </c>
      <c r="BM317" s="21">
        <v>0</v>
      </c>
      <c r="BN317" s="21">
        <v>0</v>
      </c>
      <c r="BO317" s="21">
        <v>0</v>
      </c>
      <c r="BP317" s="21">
        <v>0</v>
      </c>
      <c r="BQ317" s="21">
        <v>0</v>
      </c>
      <c r="BR317" s="21">
        <v>0</v>
      </c>
      <c r="BS317" s="21">
        <v>0</v>
      </c>
    </row>
    <row r="318" spans="1:71">
      <c r="A318" s="20" t="s">
        <v>5100</v>
      </c>
      <c r="B318">
        <v>41</v>
      </c>
      <c r="C318">
        <v>261</v>
      </c>
      <c r="D318" s="21">
        <v>2020</v>
      </c>
      <c r="E318" s="23">
        <v>-0.64</v>
      </c>
      <c r="F318">
        <v>0.05</v>
      </c>
      <c r="G318" s="14">
        <f t="shared" si="17"/>
        <v>-12.799999999999999</v>
      </c>
      <c r="H318" s="27">
        <v>0</v>
      </c>
      <c r="I318" s="21">
        <v>1</v>
      </c>
      <c r="J318" s="21">
        <v>2413</v>
      </c>
      <c r="K318" s="21">
        <v>1</v>
      </c>
      <c r="L318" s="21">
        <v>0</v>
      </c>
      <c r="M318" s="21">
        <v>0</v>
      </c>
      <c r="N318" s="21">
        <v>0</v>
      </c>
      <c r="O318" s="21">
        <v>0</v>
      </c>
      <c r="P318">
        <v>0</v>
      </c>
      <c r="Q318" s="21">
        <v>1</v>
      </c>
      <c r="R318" s="21">
        <v>0</v>
      </c>
      <c r="S318" s="21">
        <v>0</v>
      </c>
      <c r="T318" s="21">
        <v>1</v>
      </c>
      <c r="U318" s="21">
        <v>2000</v>
      </c>
      <c r="V318" s="21">
        <v>2015</v>
      </c>
      <c r="W318">
        <f t="shared" si="15"/>
        <v>2008</v>
      </c>
      <c r="X318" s="21">
        <v>0</v>
      </c>
      <c r="Y318" s="21">
        <v>1</v>
      </c>
      <c r="Z318" s="21">
        <v>0</v>
      </c>
      <c r="AA318" s="21">
        <v>1</v>
      </c>
      <c r="AB318" s="21">
        <v>0</v>
      </c>
      <c r="AC318" s="21">
        <v>0</v>
      </c>
      <c r="AD318" s="21">
        <v>0</v>
      </c>
      <c r="AE318" s="21">
        <v>1</v>
      </c>
      <c r="AF318" s="21">
        <v>0</v>
      </c>
      <c r="AG318" s="21">
        <v>1</v>
      </c>
      <c r="AH318" s="21">
        <v>1</v>
      </c>
      <c r="AI318" s="21">
        <v>0</v>
      </c>
      <c r="AJ318" s="21">
        <v>0</v>
      </c>
      <c r="AK318" s="21">
        <v>0</v>
      </c>
      <c r="AL318" s="21">
        <v>0</v>
      </c>
      <c r="AM318" s="21">
        <v>0</v>
      </c>
      <c r="AN318" s="21">
        <v>0</v>
      </c>
      <c r="AO318" s="21">
        <v>1</v>
      </c>
      <c r="AP318" s="21">
        <v>0</v>
      </c>
      <c r="AQ318" s="21">
        <v>1</v>
      </c>
      <c r="AR318" s="21">
        <v>0</v>
      </c>
      <c r="AS318" s="21">
        <v>1</v>
      </c>
      <c r="AT318" s="21">
        <v>0</v>
      </c>
      <c r="AU318" s="21">
        <v>0</v>
      </c>
      <c r="AV318" s="21">
        <v>0</v>
      </c>
      <c r="AW318" s="21">
        <v>0</v>
      </c>
      <c r="AX318" s="21">
        <v>0</v>
      </c>
      <c r="AY318" s="21">
        <v>0</v>
      </c>
      <c r="AZ318" s="21">
        <v>0</v>
      </c>
      <c r="BA318" s="21">
        <v>1</v>
      </c>
      <c r="BB318" s="21">
        <v>0</v>
      </c>
      <c r="BC318" s="21">
        <v>1</v>
      </c>
      <c r="BD318" s="21">
        <v>1</v>
      </c>
      <c r="BE318" s="21">
        <v>1</v>
      </c>
      <c r="BF318" s="21">
        <v>0</v>
      </c>
      <c r="BG318" s="21">
        <v>1</v>
      </c>
      <c r="BH318" s="21">
        <v>0</v>
      </c>
      <c r="BI318" s="21">
        <v>0</v>
      </c>
      <c r="BJ318" s="21">
        <v>0</v>
      </c>
      <c r="BK318" s="21">
        <v>0</v>
      </c>
      <c r="BL318" s="21">
        <v>0</v>
      </c>
      <c r="BM318" s="21">
        <v>0</v>
      </c>
      <c r="BN318" s="21">
        <v>0</v>
      </c>
      <c r="BO318" s="21">
        <v>0</v>
      </c>
      <c r="BP318" s="21">
        <v>1</v>
      </c>
      <c r="BQ318" s="21">
        <v>0</v>
      </c>
      <c r="BR318" s="21">
        <v>0</v>
      </c>
      <c r="BS318" s="21">
        <v>0</v>
      </c>
    </row>
    <row r="319" spans="1:71">
      <c r="A319" s="20" t="s">
        <v>5100</v>
      </c>
      <c r="B319">
        <v>41</v>
      </c>
      <c r="C319">
        <v>262</v>
      </c>
      <c r="D319" s="21">
        <v>2020</v>
      </c>
      <c r="E319" s="23">
        <v>-0.65</v>
      </c>
      <c r="F319">
        <v>0.05</v>
      </c>
      <c r="G319" s="14">
        <f t="shared" si="17"/>
        <v>-13</v>
      </c>
      <c r="H319" s="27">
        <v>0</v>
      </c>
      <c r="I319" s="21">
        <v>1</v>
      </c>
      <c r="J319" s="21">
        <v>2413</v>
      </c>
      <c r="K319" s="21">
        <v>1</v>
      </c>
      <c r="L319" s="21">
        <v>0</v>
      </c>
      <c r="M319" s="21">
        <v>0</v>
      </c>
      <c r="N319" s="21">
        <v>0</v>
      </c>
      <c r="O319" s="21">
        <v>0</v>
      </c>
      <c r="P319">
        <v>0</v>
      </c>
      <c r="Q319" s="21">
        <v>1</v>
      </c>
      <c r="R319" s="21">
        <v>0</v>
      </c>
      <c r="S319" s="21">
        <v>0</v>
      </c>
      <c r="T319" s="21">
        <v>1</v>
      </c>
      <c r="U319" s="21">
        <v>2000</v>
      </c>
      <c r="V319" s="21">
        <v>2015</v>
      </c>
      <c r="W319">
        <f t="shared" si="15"/>
        <v>2008</v>
      </c>
      <c r="X319" s="21">
        <v>0</v>
      </c>
      <c r="Y319" s="21">
        <v>1</v>
      </c>
      <c r="Z319" s="21">
        <v>0</v>
      </c>
      <c r="AA319" s="21">
        <v>1</v>
      </c>
      <c r="AB319" s="21">
        <v>0</v>
      </c>
      <c r="AC319" s="21">
        <v>0</v>
      </c>
      <c r="AD319" s="21">
        <v>0</v>
      </c>
      <c r="AE319" s="21">
        <v>1</v>
      </c>
      <c r="AF319" s="21">
        <v>0</v>
      </c>
      <c r="AG319" s="21">
        <v>1</v>
      </c>
      <c r="AH319" s="21">
        <v>1</v>
      </c>
      <c r="AI319" s="21">
        <v>0</v>
      </c>
      <c r="AJ319" s="21">
        <v>0</v>
      </c>
      <c r="AK319" s="21">
        <v>0</v>
      </c>
      <c r="AL319" s="21">
        <v>0</v>
      </c>
      <c r="AM319" s="21">
        <v>0</v>
      </c>
      <c r="AN319" s="21">
        <v>0</v>
      </c>
      <c r="AO319" s="21">
        <v>1</v>
      </c>
      <c r="AP319" s="21">
        <v>0</v>
      </c>
      <c r="AQ319" s="21">
        <v>1</v>
      </c>
      <c r="AR319" s="21">
        <v>0</v>
      </c>
      <c r="AS319" s="21">
        <v>1</v>
      </c>
      <c r="AT319" s="21">
        <v>0</v>
      </c>
      <c r="AU319" s="21">
        <v>0</v>
      </c>
      <c r="AV319" s="21">
        <v>0</v>
      </c>
      <c r="AW319" s="21">
        <v>0</v>
      </c>
      <c r="AX319" s="21">
        <v>0</v>
      </c>
      <c r="AY319" s="21">
        <v>0</v>
      </c>
      <c r="AZ319" s="21">
        <v>0</v>
      </c>
      <c r="BA319" s="21">
        <v>1</v>
      </c>
      <c r="BB319" s="21">
        <v>0</v>
      </c>
      <c r="BC319" s="21">
        <v>1</v>
      </c>
      <c r="BD319" s="21">
        <v>1</v>
      </c>
      <c r="BE319" s="21">
        <v>1</v>
      </c>
      <c r="BF319" s="21">
        <v>0</v>
      </c>
      <c r="BG319" s="21">
        <v>1</v>
      </c>
      <c r="BH319" s="21">
        <v>0</v>
      </c>
      <c r="BI319" s="21">
        <v>0</v>
      </c>
      <c r="BJ319" s="21">
        <v>0</v>
      </c>
      <c r="BK319" s="21">
        <v>0</v>
      </c>
      <c r="BL319" s="21">
        <v>0</v>
      </c>
      <c r="BM319" s="21">
        <v>0</v>
      </c>
      <c r="BN319" s="21">
        <v>0</v>
      </c>
      <c r="BO319" s="21">
        <v>0</v>
      </c>
      <c r="BP319" s="21">
        <v>0</v>
      </c>
      <c r="BQ319" s="21">
        <v>0</v>
      </c>
      <c r="BR319" s="21">
        <v>0</v>
      </c>
      <c r="BS319" s="21">
        <v>0</v>
      </c>
    </row>
    <row r="320" spans="1:71">
      <c r="A320" s="20" t="s">
        <v>4865</v>
      </c>
      <c r="B320">
        <v>42</v>
      </c>
      <c r="C320">
        <v>267</v>
      </c>
      <c r="D320" s="21">
        <v>2020</v>
      </c>
      <c r="E320" s="23">
        <v>-1.73</v>
      </c>
      <c r="F320" s="14">
        <f t="shared" ref="F320:F339" si="18">E320/G320</f>
        <v>0.61565836298932386</v>
      </c>
      <c r="G320">
        <v>-2.81</v>
      </c>
      <c r="H320" s="27">
        <v>1</v>
      </c>
      <c r="I320" s="21">
        <v>1</v>
      </c>
      <c r="J320" s="21">
        <v>7000</v>
      </c>
      <c r="K320" s="21">
        <v>1</v>
      </c>
      <c r="L320" s="21">
        <v>0</v>
      </c>
      <c r="M320" s="21">
        <v>0</v>
      </c>
      <c r="N320" s="21">
        <v>0</v>
      </c>
      <c r="O320" s="21">
        <v>0</v>
      </c>
      <c r="P320">
        <v>0</v>
      </c>
      <c r="Q320" s="21">
        <v>0</v>
      </c>
      <c r="R320" s="21">
        <v>0</v>
      </c>
      <c r="S320" s="21">
        <v>0</v>
      </c>
      <c r="T320" s="21">
        <v>0</v>
      </c>
      <c r="U320" s="21">
        <v>2015</v>
      </c>
      <c r="V320" s="21">
        <v>2015</v>
      </c>
      <c r="W320">
        <f t="shared" si="15"/>
        <v>2015</v>
      </c>
      <c r="X320" s="21">
        <v>1</v>
      </c>
      <c r="Y320" s="21">
        <v>0</v>
      </c>
      <c r="Z320" s="21">
        <v>1</v>
      </c>
      <c r="AA320" s="21">
        <v>0</v>
      </c>
      <c r="AB320" s="21">
        <v>0</v>
      </c>
      <c r="AC320" s="21">
        <v>0</v>
      </c>
      <c r="AD320" s="21">
        <v>0</v>
      </c>
      <c r="AE320" s="21">
        <v>1</v>
      </c>
      <c r="AF320" s="21">
        <v>0</v>
      </c>
      <c r="AG320" s="21">
        <v>0</v>
      </c>
      <c r="AH320" s="21">
        <v>1</v>
      </c>
      <c r="AI320" s="21">
        <v>1</v>
      </c>
      <c r="AJ320" s="21">
        <v>1</v>
      </c>
      <c r="AK320" s="21">
        <v>1</v>
      </c>
      <c r="AL320" s="21">
        <v>1</v>
      </c>
      <c r="AM320" s="21">
        <v>1</v>
      </c>
      <c r="AN320" s="21">
        <v>1</v>
      </c>
      <c r="AO320" s="21">
        <v>1</v>
      </c>
      <c r="AP320" s="21">
        <v>1</v>
      </c>
      <c r="AQ320" s="21">
        <v>1</v>
      </c>
      <c r="AR320" s="21">
        <v>0</v>
      </c>
      <c r="AS320" s="21">
        <v>0</v>
      </c>
      <c r="AT320" s="21">
        <v>1</v>
      </c>
      <c r="AU320" s="21">
        <v>1</v>
      </c>
      <c r="AV320" s="21">
        <v>1</v>
      </c>
      <c r="AW320" s="21">
        <v>1</v>
      </c>
      <c r="AX320" s="21">
        <v>1</v>
      </c>
      <c r="AY320" s="21">
        <v>1</v>
      </c>
      <c r="AZ320" s="21">
        <v>1</v>
      </c>
      <c r="BA320" s="21">
        <v>1</v>
      </c>
      <c r="BB320" s="21">
        <v>1</v>
      </c>
      <c r="BC320" s="21">
        <v>1</v>
      </c>
      <c r="BD320" s="21">
        <v>1</v>
      </c>
      <c r="BE320" s="21">
        <v>0</v>
      </c>
      <c r="BF320" s="21">
        <v>0</v>
      </c>
      <c r="BG320" s="21">
        <v>1</v>
      </c>
      <c r="BH320" s="21">
        <v>0</v>
      </c>
      <c r="BI320" s="21">
        <v>0</v>
      </c>
      <c r="BJ320" s="21">
        <v>0</v>
      </c>
      <c r="BK320" s="21">
        <v>0</v>
      </c>
      <c r="BL320" s="21">
        <v>0</v>
      </c>
      <c r="BM320" s="21">
        <v>1</v>
      </c>
      <c r="BN320" s="21">
        <v>0</v>
      </c>
      <c r="BO320" s="21">
        <v>1</v>
      </c>
      <c r="BP320" s="21">
        <v>0</v>
      </c>
      <c r="BQ320" s="21">
        <v>0</v>
      </c>
      <c r="BR320" s="21">
        <v>0</v>
      </c>
      <c r="BS320" s="21">
        <v>0</v>
      </c>
    </row>
    <row r="321" spans="1:71">
      <c r="A321" s="20" t="s">
        <v>4865</v>
      </c>
      <c r="B321">
        <v>42</v>
      </c>
      <c r="C321">
        <v>268</v>
      </c>
      <c r="D321" s="21">
        <v>2020</v>
      </c>
      <c r="E321" s="23">
        <v>-1.9</v>
      </c>
      <c r="F321" s="14">
        <f t="shared" si="18"/>
        <v>0.67615658362989317</v>
      </c>
      <c r="G321">
        <v>-2.81</v>
      </c>
      <c r="H321" s="27">
        <v>1</v>
      </c>
      <c r="I321" s="21">
        <v>1</v>
      </c>
      <c r="J321" s="21">
        <v>7000</v>
      </c>
      <c r="K321" s="21">
        <v>1</v>
      </c>
      <c r="L321" s="21">
        <v>0</v>
      </c>
      <c r="M321" s="21">
        <v>0</v>
      </c>
      <c r="N321" s="21">
        <v>0</v>
      </c>
      <c r="O321" s="21">
        <v>0</v>
      </c>
      <c r="P321">
        <v>0</v>
      </c>
      <c r="Q321" s="21">
        <v>0</v>
      </c>
      <c r="R321" s="21">
        <v>0</v>
      </c>
      <c r="S321" s="21">
        <v>0</v>
      </c>
      <c r="T321" s="21">
        <v>0</v>
      </c>
      <c r="U321" s="21">
        <v>2015</v>
      </c>
      <c r="V321" s="21">
        <v>2015</v>
      </c>
      <c r="W321">
        <f t="shared" si="15"/>
        <v>2015</v>
      </c>
      <c r="X321" s="21">
        <v>1</v>
      </c>
      <c r="Y321" s="21">
        <v>0</v>
      </c>
      <c r="Z321" s="21">
        <v>1</v>
      </c>
      <c r="AA321" s="21">
        <v>0</v>
      </c>
      <c r="AB321" s="21">
        <v>0</v>
      </c>
      <c r="AC321" s="21">
        <v>0</v>
      </c>
      <c r="AD321" s="21">
        <v>0</v>
      </c>
      <c r="AE321" s="21">
        <v>1</v>
      </c>
      <c r="AF321" s="21">
        <v>0</v>
      </c>
      <c r="AG321" s="21">
        <v>0</v>
      </c>
      <c r="AH321" s="21">
        <v>1</v>
      </c>
      <c r="AI321" s="21">
        <v>1</v>
      </c>
      <c r="AJ321" s="21">
        <v>1</v>
      </c>
      <c r="AK321" s="21">
        <v>1</v>
      </c>
      <c r="AL321" s="21">
        <v>1</v>
      </c>
      <c r="AM321" s="21">
        <v>1</v>
      </c>
      <c r="AN321" s="21">
        <v>1</v>
      </c>
      <c r="AO321" s="21">
        <v>1</v>
      </c>
      <c r="AP321" s="21">
        <v>1</v>
      </c>
      <c r="AQ321" s="21">
        <v>1</v>
      </c>
      <c r="AR321" s="21">
        <v>0</v>
      </c>
      <c r="AS321" s="21">
        <v>0</v>
      </c>
      <c r="AT321" s="21">
        <v>1</v>
      </c>
      <c r="AU321" s="21">
        <v>1</v>
      </c>
      <c r="AV321" s="21">
        <v>1</v>
      </c>
      <c r="AW321" s="21">
        <v>1</v>
      </c>
      <c r="AX321" s="21">
        <v>1</v>
      </c>
      <c r="AY321" s="21">
        <v>1</v>
      </c>
      <c r="AZ321" s="21">
        <v>1</v>
      </c>
      <c r="BA321" s="21">
        <v>1</v>
      </c>
      <c r="BB321" s="21">
        <v>1</v>
      </c>
      <c r="BC321" s="21">
        <v>1</v>
      </c>
      <c r="BD321" s="21">
        <v>1</v>
      </c>
      <c r="BE321" s="21">
        <v>0</v>
      </c>
      <c r="BF321" s="21">
        <v>0</v>
      </c>
      <c r="BG321" s="21">
        <v>1</v>
      </c>
      <c r="BH321" s="21">
        <v>0</v>
      </c>
      <c r="BI321" s="21">
        <v>1</v>
      </c>
      <c r="BJ321" s="21">
        <v>0</v>
      </c>
      <c r="BK321" s="21">
        <v>0</v>
      </c>
      <c r="BL321" s="21">
        <v>0</v>
      </c>
      <c r="BM321" s="21">
        <v>1</v>
      </c>
      <c r="BN321" s="21">
        <v>0</v>
      </c>
      <c r="BO321" s="21">
        <v>1</v>
      </c>
      <c r="BP321" s="21">
        <v>0</v>
      </c>
      <c r="BQ321" s="21">
        <v>0</v>
      </c>
      <c r="BR321" s="21">
        <v>0</v>
      </c>
      <c r="BS321" s="21">
        <v>0</v>
      </c>
    </row>
    <row r="322" spans="1:71">
      <c r="A322" s="20" t="s">
        <v>4865</v>
      </c>
      <c r="B322">
        <v>42</v>
      </c>
      <c r="C322">
        <v>269</v>
      </c>
      <c r="D322" s="21">
        <v>2020</v>
      </c>
      <c r="E322" s="23">
        <v>-1.93</v>
      </c>
      <c r="F322" s="14">
        <f t="shared" si="18"/>
        <v>0.68683274021352314</v>
      </c>
      <c r="G322">
        <v>-2.81</v>
      </c>
      <c r="H322" s="27">
        <v>1</v>
      </c>
      <c r="I322" s="21">
        <v>1</v>
      </c>
      <c r="J322" s="21">
        <v>7032</v>
      </c>
      <c r="K322" s="21">
        <v>1</v>
      </c>
      <c r="L322" s="21">
        <v>0</v>
      </c>
      <c r="M322" s="21">
        <v>0</v>
      </c>
      <c r="N322" s="21">
        <v>0</v>
      </c>
      <c r="O322" s="21">
        <v>0</v>
      </c>
      <c r="P322">
        <v>0</v>
      </c>
      <c r="Q322" s="21">
        <v>0</v>
      </c>
      <c r="R322" s="21">
        <v>0</v>
      </c>
      <c r="S322" s="21">
        <v>0</v>
      </c>
      <c r="T322" s="21">
        <v>0</v>
      </c>
      <c r="U322" s="21">
        <v>2010</v>
      </c>
      <c r="V322" s="21">
        <v>2010</v>
      </c>
      <c r="W322">
        <f t="shared" ref="W322:W385" si="19">ROUND(AVERAGE(U322:V322), 0)</f>
        <v>2010</v>
      </c>
      <c r="X322" s="21">
        <v>1</v>
      </c>
      <c r="Y322" s="21">
        <v>0</v>
      </c>
      <c r="Z322" s="21">
        <v>1</v>
      </c>
      <c r="AA322" s="21">
        <v>0</v>
      </c>
      <c r="AB322" s="21">
        <v>0</v>
      </c>
      <c r="AC322" s="21">
        <v>0</v>
      </c>
      <c r="AD322" s="21">
        <v>0</v>
      </c>
      <c r="AE322" s="21">
        <v>1</v>
      </c>
      <c r="AF322" s="21">
        <v>0</v>
      </c>
      <c r="AG322" s="21">
        <v>0</v>
      </c>
      <c r="AH322" s="21">
        <v>1</v>
      </c>
      <c r="AI322" s="21">
        <v>1</v>
      </c>
      <c r="AJ322" s="21">
        <v>1</v>
      </c>
      <c r="AK322" s="21">
        <v>1</v>
      </c>
      <c r="AL322" s="21">
        <v>1</v>
      </c>
      <c r="AM322" s="21">
        <v>1</v>
      </c>
      <c r="AN322" s="21">
        <v>1</v>
      </c>
      <c r="AO322" s="21">
        <v>1</v>
      </c>
      <c r="AP322" s="21">
        <v>1</v>
      </c>
      <c r="AQ322" s="21">
        <v>1</v>
      </c>
      <c r="AR322" s="21">
        <v>0</v>
      </c>
      <c r="AS322" s="21">
        <v>0</v>
      </c>
      <c r="AT322" s="21">
        <v>1</v>
      </c>
      <c r="AU322" s="21">
        <v>1</v>
      </c>
      <c r="AV322" s="21">
        <v>1</v>
      </c>
      <c r="AW322" s="21">
        <v>1</v>
      </c>
      <c r="AX322" s="21">
        <v>1</v>
      </c>
      <c r="AY322" s="21">
        <v>1</v>
      </c>
      <c r="AZ322" s="21">
        <v>1</v>
      </c>
      <c r="BA322" s="21">
        <v>1</v>
      </c>
      <c r="BB322" s="21">
        <v>1</v>
      </c>
      <c r="BC322" s="21">
        <v>1</v>
      </c>
      <c r="BD322" s="21">
        <v>1</v>
      </c>
      <c r="BE322" s="21">
        <v>0</v>
      </c>
      <c r="BF322" s="21">
        <v>0</v>
      </c>
      <c r="BG322" s="21">
        <v>1</v>
      </c>
      <c r="BH322" s="21">
        <v>0</v>
      </c>
      <c r="BI322" s="21">
        <v>0</v>
      </c>
      <c r="BJ322" s="21">
        <v>0</v>
      </c>
      <c r="BK322" s="21">
        <v>0</v>
      </c>
      <c r="BL322" s="21">
        <v>0</v>
      </c>
      <c r="BM322" s="21">
        <v>1</v>
      </c>
      <c r="BN322" s="21">
        <v>0</v>
      </c>
      <c r="BO322" s="21">
        <v>1</v>
      </c>
      <c r="BP322" s="21">
        <v>0</v>
      </c>
      <c r="BQ322" s="21">
        <v>0</v>
      </c>
      <c r="BR322" s="21">
        <v>0</v>
      </c>
      <c r="BS322" s="21">
        <v>0</v>
      </c>
    </row>
    <row r="323" spans="1:71">
      <c r="A323" s="20" t="s">
        <v>4865</v>
      </c>
      <c r="B323">
        <v>42</v>
      </c>
      <c r="C323">
        <v>270</v>
      </c>
      <c r="D323" s="21">
        <v>2020</v>
      </c>
      <c r="E323" s="23">
        <v>-1.86</v>
      </c>
      <c r="F323" s="14">
        <f t="shared" si="18"/>
        <v>0.66192170818505336</v>
      </c>
      <c r="G323">
        <v>-2.81</v>
      </c>
      <c r="H323" s="27">
        <v>1</v>
      </c>
      <c r="I323" s="21">
        <v>1</v>
      </c>
      <c r="J323" s="21">
        <v>7032</v>
      </c>
      <c r="K323" s="21">
        <v>1</v>
      </c>
      <c r="L323" s="21">
        <v>0</v>
      </c>
      <c r="M323" s="21">
        <v>0</v>
      </c>
      <c r="N323" s="21">
        <v>0</v>
      </c>
      <c r="O323" s="21">
        <v>0</v>
      </c>
      <c r="P323">
        <v>0</v>
      </c>
      <c r="Q323" s="21">
        <v>0</v>
      </c>
      <c r="R323" s="21">
        <v>0</v>
      </c>
      <c r="S323" s="21">
        <v>0</v>
      </c>
      <c r="T323" s="21">
        <v>0</v>
      </c>
      <c r="U323" s="21">
        <v>2010</v>
      </c>
      <c r="V323" s="21">
        <v>2010</v>
      </c>
      <c r="W323">
        <f t="shared" si="19"/>
        <v>2010</v>
      </c>
      <c r="X323" s="21">
        <v>1</v>
      </c>
      <c r="Y323" s="21">
        <v>0</v>
      </c>
      <c r="Z323" s="21">
        <v>1</v>
      </c>
      <c r="AA323" s="21">
        <v>0</v>
      </c>
      <c r="AB323" s="21">
        <v>0</v>
      </c>
      <c r="AC323" s="21">
        <v>0</v>
      </c>
      <c r="AD323" s="21">
        <v>0</v>
      </c>
      <c r="AE323" s="21">
        <v>1</v>
      </c>
      <c r="AF323" s="21">
        <v>0</v>
      </c>
      <c r="AG323" s="21">
        <v>0</v>
      </c>
      <c r="AH323" s="21">
        <v>1</v>
      </c>
      <c r="AI323" s="21">
        <v>1</v>
      </c>
      <c r="AJ323" s="21">
        <v>1</v>
      </c>
      <c r="AK323" s="21">
        <v>1</v>
      </c>
      <c r="AL323" s="21">
        <v>1</v>
      </c>
      <c r="AM323" s="21">
        <v>1</v>
      </c>
      <c r="AN323" s="21">
        <v>1</v>
      </c>
      <c r="AO323" s="21">
        <v>1</v>
      </c>
      <c r="AP323" s="21">
        <v>1</v>
      </c>
      <c r="AQ323" s="21">
        <v>1</v>
      </c>
      <c r="AR323" s="21">
        <v>0</v>
      </c>
      <c r="AS323" s="21">
        <v>0</v>
      </c>
      <c r="AT323" s="21">
        <v>1</v>
      </c>
      <c r="AU323" s="21">
        <v>1</v>
      </c>
      <c r="AV323" s="21">
        <v>1</v>
      </c>
      <c r="AW323" s="21">
        <v>1</v>
      </c>
      <c r="AX323" s="21">
        <v>1</v>
      </c>
      <c r="AY323" s="21">
        <v>1</v>
      </c>
      <c r="AZ323" s="21">
        <v>1</v>
      </c>
      <c r="BA323" s="21">
        <v>1</v>
      </c>
      <c r="BB323" s="21">
        <v>1</v>
      </c>
      <c r="BC323" s="21">
        <v>1</v>
      </c>
      <c r="BD323" s="21">
        <v>1</v>
      </c>
      <c r="BE323" s="21">
        <v>0</v>
      </c>
      <c r="BF323" s="21">
        <v>0</v>
      </c>
      <c r="BG323" s="21">
        <v>1</v>
      </c>
      <c r="BH323" s="21">
        <v>0</v>
      </c>
      <c r="BI323" s="21">
        <v>1</v>
      </c>
      <c r="BJ323" s="21">
        <v>0</v>
      </c>
      <c r="BK323" s="21">
        <v>0</v>
      </c>
      <c r="BL323" s="21">
        <v>0</v>
      </c>
      <c r="BM323" s="21">
        <v>1</v>
      </c>
      <c r="BN323" s="21">
        <v>0</v>
      </c>
      <c r="BO323" s="21">
        <v>1</v>
      </c>
      <c r="BP323" s="21">
        <v>0</v>
      </c>
      <c r="BQ323" s="21">
        <v>0</v>
      </c>
      <c r="BR323" s="21">
        <v>0</v>
      </c>
      <c r="BS323" s="21">
        <v>0</v>
      </c>
    </row>
    <row r="324" spans="1:71">
      <c r="A324" s="20" t="s">
        <v>4865</v>
      </c>
      <c r="B324">
        <v>42</v>
      </c>
      <c r="C324">
        <v>271</v>
      </c>
      <c r="D324" s="21">
        <v>2020</v>
      </c>
      <c r="E324" s="23">
        <v>-1.99</v>
      </c>
      <c r="F324" s="14">
        <f t="shared" si="18"/>
        <v>0.70818505338078286</v>
      </c>
      <c r="G324">
        <v>-2.81</v>
      </c>
      <c r="H324" s="27">
        <v>1</v>
      </c>
      <c r="I324" s="21">
        <v>1</v>
      </c>
      <c r="J324" s="21">
        <v>5921</v>
      </c>
      <c r="K324" s="21">
        <v>1</v>
      </c>
      <c r="L324" s="21">
        <v>0</v>
      </c>
      <c r="M324" s="21">
        <v>0</v>
      </c>
      <c r="N324" s="21">
        <v>0</v>
      </c>
      <c r="O324" s="21">
        <v>0</v>
      </c>
      <c r="P324">
        <v>0</v>
      </c>
      <c r="Q324" s="21">
        <v>0</v>
      </c>
      <c r="R324" s="21">
        <v>0</v>
      </c>
      <c r="S324" s="21">
        <v>0</v>
      </c>
      <c r="T324" s="21">
        <v>0</v>
      </c>
      <c r="U324" s="21">
        <v>2005</v>
      </c>
      <c r="V324" s="21">
        <v>2005</v>
      </c>
      <c r="W324">
        <f t="shared" si="19"/>
        <v>2005</v>
      </c>
      <c r="X324" s="21">
        <v>1</v>
      </c>
      <c r="Y324" s="21">
        <v>0</v>
      </c>
      <c r="Z324" s="21">
        <v>1</v>
      </c>
      <c r="AA324" s="21">
        <v>0</v>
      </c>
      <c r="AB324" s="21">
        <v>0</v>
      </c>
      <c r="AC324" s="21">
        <v>0</v>
      </c>
      <c r="AD324" s="21">
        <v>0</v>
      </c>
      <c r="AE324" s="21">
        <v>1</v>
      </c>
      <c r="AF324" s="21">
        <v>0</v>
      </c>
      <c r="AG324" s="21">
        <v>0</v>
      </c>
      <c r="AH324" s="21">
        <v>1</v>
      </c>
      <c r="AI324" s="21">
        <v>1</v>
      </c>
      <c r="AJ324" s="21">
        <v>1</v>
      </c>
      <c r="AK324" s="21">
        <v>1</v>
      </c>
      <c r="AL324" s="21">
        <v>1</v>
      </c>
      <c r="AM324" s="21">
        <v>1</v>
      </c>
      <c r="AN324" s="21">
        <v>1</v>
      </c>
      <c r="AO324" s="21">
        <v>1</v>
      </c>
      <c r="AP324" s="21">
        <v>1</v>
      </c>
      <c r="AQ324" s="21">
        <v>1</v>
      </c>
      <c r="AR324" s="21">
        <v>0</v>
      </c>
      <c r="AS324" s="21">
        <v>0</v>
      </c>
      <c r="AT324" s="21">
        <v>1</v>
      </c>
      <c r="AU324" s="21">
        <v>1</v>
      </c>
      <c r="AV324" s="21">
        <v>1</v>
      </c>
      <c r="AW324" s="21">
        <v>1</v>
      </c>
      <c r="AX324" s="21">
        <v>1</v>
      </c>
      <c r="AY324" s="21">
        <v>1</v>
      </c>
      <c r="AZ324" s="21">
        <v>1</v>
      </c>
      <c r="BA324" s="21">
        <v>1</v>
      </c>
      <c r="BB324" s="21">
        <v>1</v>
      </c>
      <c r="BC324" s="21">
        <v>1</v>
      </c>
      <c r="BD324" s="21">
        <v>1</v>
      </c>
      <c r="BE324" s="21">
        <v>0</v>
      </c>
      <c r="BF324" s="21">
        <v>0</v>
      </c>
      <c r="BG324" s="21">
        <v>1</v>
      </c>
      <c r="BH324" s="21">
        <v>0</v>
      </c>
      <c r="BI324" s="21">
        <v>0</v>
      </c>
      <c r="BJ324" s="21">
        <v>0</v>
      </c>
      <c r="BK324" s="21">
        <v>0</v>
      </c>
      <c r="BL324" s="21">
        <v>0</v>
      </c>
      <c r="BM324" s="21">
        <v>1</v>
      </c>
      <c r="BN324" s="21">
        <v>0</v>
      </c>
      <c r="BO324" s="21">
        <v>1</v>
      </c>
      <c r="BP324" s="21">
        <v>0</v>
      </c>
      <c r="BQ324" s="21">
        <v>0</v>
      </c>
      <c r="BR324" s="21">
        <v>0</v>
      </c>
      <c r="BS324" s="21">
        <v>0</v>
      </c>
    </row>
    <row r="325" spans="1:71">
      <c r="A325" s="20" t="s">
        <v>4865</v>
      </c>
      <c r="B325">
        <v>42</v>
      </c>
      <c r="C325">
        <v>272</v>
      </c>
      <c r="D325" s="21">
        <v>2020</v>
      </c>
      <c r="E325" s="23">
        <v>-1.99</v>
      </c>
      <c r="F325" s="14">
        <f t="shared" si="18"/>
        <v>0.70818505338078286</v>
      </c>
      <c r="G325">
        <v>-2.81</v>
      </c>
      <c r="H325" s="27">
        <v>1</v>
      </c>
      <c r="I325" s="21">
        <v>1</v>
      </c>
      <c r="J325" s="21">
        <v>5921</v>
      </c>
      <c r="K325" s="21">
        <v>1</v>
      </c>
      <c r="L325" s="21">
        <v>0</v>
      </c>
      <c r="M325" s="21">
        <v>0</v>
      </c>
      <c r="N325" s="21">
        <v>0</v>
      </c>
      <c r="O325" s="21">
        <v>0</v>
      </c>
      <c r="P325">
        <v>0</v>
      </c>
      <c r="Q325" s="21">
        <v>0</v>
      </c>
      <c r="R325" s="21">
        <v>0</v>
      </c>
      <c r="S325" s="21">
        <v>0</v>
      </c>
      <c r="T325" s="21">
        <v>0</v>
      </c>
      <c r="U325" s="21">
        <v>2005</v>
      </c>
      <c r="V325" s="21">
        <v>2005</v>
      </c>
      <c r="W325">
        <f t="shared" si="19"/>
        <v>2005</v>
      </c>
      <c r="X325" s="21">
        <v>1</v>
      </c>
      <c r="Y325" s="21">
        <v>0</v>
      </c>
      <c r="Z325" s="21">
        <v>1</v>
      </c>
      <c r="AA325" s="21">
        <v>0</v>
      </c>
      <c r="AB325" s="21">
        <v>0</v>
      </c>
      <c r="AC325" s="21">
        <v>0</v>
      </c>
      <c r="AD325" s="21">
        <v>0</v>
      </c>
      <c r="AE325" s="21">
        <v>1</v>
      </c>
      <c r="AF325" s="21">
        <v>0</v>
      </c>
      <c r="AG325" s="21">
        <v>0</v>
      </c>
      <c r="AH325" s="21">
        <v>1</v>
      </c>
      <c r="AI325" s="21">
        <v>1</v>
      </c>
      <c r="AJ325" s="21">
        <v>1</v>
      </c>
      <c r="AK325" s="21">
        <v>1</v>
      </c>
      <c r="AL325" s="21">
        <v>1</v>
      </c>
      <c r="AM325" s="21">
        <v>1</v>
      </c>
      <c r="AN325" s="21">
        <v>1</v>
      </c>
      <c r="AO325" s="21">
        <v>1</v>
      </c>
      <c r="AP325" s="21">
        <v>1</v>
      </c>
      <c r="AQ325" s="21">
        <v>1</v>
      </c>
      <c r="AR325" s="21">
        <v>0</v>
      </c>
      <c r="AS325" s="21">
        <v>0</v>
      </c>
      <c r="AT325" s="21">
        <v>1</v>
      </c>
      <c r="AU325" s="21">
        <v>1</v>
      </c>
      <c r="AV325" s="21">
        <v>1</v>
      </c>
      <c r="AW325" s="21">
        <v>1</v>
      </c>
      <c r="AX325" s="21">
        <v>1</v>
      </c>
      <c r="AY325" s="21">
        <v>1</v>
      </c>
      <c r="AZ325" s="21">
        <v>1</v>
      </c>
      <c r="BA325" s="21">
        <v>1</v>
      </c>
      <c r="BB325" s="21">
        <v>1</v>
      </c>
      <c r="BC325" s="21">
        <v>1</v>
      </c>
      <c r="BD325" s="21">
        <v>1</v>
      </c>
      <c r="BE325" s="21">
        <v>0</v>
      </c>
      <c r="BF325" s="21">
        <v>0</v>
      </c>
      <c r="BG325" s="21">
        <v>1</v>
      </c>
      <c r="BH325" s="21">
        <v>0</v>
      </c>
      <c r="BI325" s="21">
        <v>1</v>
      </c>
      <c r="BJ325" s="21">
        <v>0</v>
      </c>
      <c r="BK325" s="21">
        <v>0</v>
      </c>
      <c r="BL325" s="21">
        <v>0</v>
      </c>
      <c r="BM325" s="21">
        <v>1</v>
      </c>
      <c r="BN325" s="21">
        <v>0</v>
      </c>
      <c r="BO325" s="21">
        <v>1</v>
      </c>
      <c r="BP325" s="21">
        <v>0</v>
      </c>
      <c r="BQ325" s="21">
        <v>0</v>
      </c>
      <c r="BR325" s="21">
        <v>0</v>
      </c>
      <c r="BS325" s="21">
        <v>0</v>
      </c>
    </row>
    <row r="326" spans="1:71">
      <c r="A326" s="20" t="s">
        <v>4865</v>
      </c>
      <c r="B326">
        <v>42</v>
      </c>
      <c r="C326">
        <v>273</v>
      </c>
      <c r="D326" s="21">
        <v>2020</v>
      </c>
      <c r="E326" s="23">
        <v>-1.82</v>
      </c>
      <c r="F326" s="14">
        <f t="shared" si="18"/>
        <v>0.64768683274021355</v>
      </c>
      <c r="G326">
        <v>-2.81</v>
      </c>
      <c r="H326" s="27">
        <v>1</v>
      </c>
      <c r="I326" s="21">
        <v>1</v>
      </c>
      <c r="J326" s="21">
        <v>5201</v>
      </c>
      <c r="K326" s="21">
        <v>1</v>
      </c>
      <c r="L326" s="21">
        <v>0</v>
      </c>
      <c r="M326" s="21">
        <v>0</v>
      </c>
      <c r="N326" s="21">
        <v>0</v>
      </c>
      <c r="O326" s="21">
        <v>0</v>
      </c>
      <c r="P326">
        <v>0</v>
      </c>
      <c r="Q326" s="21">
        <v>0</v>
      </c>
      <c r="R326" s="21">
        <v>0</v>
      </c>
      <c r="S326" s="21">
        <v>0</v>
      </c>
      <c r="T326" s="21">
        <v>0</v>
      </c>
      <c r="U326" s="21">
        <v>2000</v>
      </c>
      <c r="V326" s="21">
        <v>2000</v>
      </c>
      <c r="W326">
        <f t="shared" si="19"/>
        <v>2000</v>
      </c>
      <c r="X326" s="21">
        <v>1</v>
      </c>
      <c r="Y326" s="21">
        <v>0</v>
      </c>
      <c r="Z326" s="21">
        <v>1</v>
      </c>
      <c r="AA326" s="21">
        <v>0</v>
      </c>
      <c r="AB326" s="21">
        <v>0</v>
      </c>
      <c r="AC326" s="21">
        <v>0</v>
      </c>
      <c r="AD326" s="21">
        <v>0</v>
      </c>
      <c r="AE326" s="21">
        <v>1</v>
      </c>
      <c r="AF326" s="21">
        <v>0</v>
      </c>
      <c r="AG326" s="21">
        <v>0</v>
      </c>
      <c r="AH326" s="21">
        <v>1</v>
      </c>
      <c r="AI326" s="21">
        <v>1</v>
      </c>
      <c r="AJ326" s="21">
        <v>1</v>
      </c>
      <c r="AK326" s="21">
        <v>1</v>
      </c>
      <c r="AL326" s="21">
        <v>1</v>
      </c>
      <c r="AM326" s="21">
        <v>1</v>
      </c>
      <c r="AN326" s="21">
        <v>1</v>
      </c>
      <c r="AO326" s="21">
        <v>1</v>
      </c>
      <c r="AP326" s="21">
        <v>1</v>
      </c>
      <c r="AQ326" s="21">
        <v>1</v>
      </c>
      <c r="AR326" s="21">
        <v>0</v>
      </c>
      <c r="AS326" s="21">
        <v>0</v>
      </c>
      <c r="AT326" s="21">
        <v>1</v>
      </c>
      <c r="AU326" s="21">
        <v>1</v>
      </c>
      <c r="AV326" s="21">
        <v>1</v>
      </c>
      <c r="AW326" s="21">
        <v>1</v>
      </c>
      <c r="AX326" s="21">
        <v>1</v>
      </c>
      <c r="AY326" s="21">
        <v>1</v>
      </c>
      <c r="AZ326" s="21">
        <v>1</v>
      </c>
      <c r="BA326" s="21">
        <v>1</v>
      </c>
      <c r="BB326" s="21">
        <v>1</v>
      </c>
      <c r="BC326" s="21">
        <v>1</v>
      </c>
      <c r="BD326" s="21">
        <v>1</v>
      </c>
      <c r="BE326" s="21">
        <v>0</v>
      </c>
      <c r="BF326" s="21">
        <v>0</v>
      </c>
      <c r="BG326" s="21">
        <v>1</v>
      </c>
      <c r="BH326" s="21">
        <v>0</v>
      </c>
      <c r="BI326" s="21">
        <v>0</v>
      </c>
      <c r="BJ326" s="21">
        <v>0</v>
      </c>
      <c r="BK326" s="21">
        <v>0</v>
      </c>
      <c r="BL326" s="21">
        <v>0</v>
      </c>
      <c r="BM326" s="21">
        <v>1</v>
      </c>
      <c r="BN326" s="21">
        <v>0</v>
      </c>
      <c r="BO326" s="21">
        <v>1</v>
      </c>
      <c r="BP326" s="21">
        <v>0</v>
      </c>
      <c r="BQ326" s="21">
        <v>0</v>
      </c>
      <c r="BR326" s="21">
        <v>0</v>
      </c>
      <c r="BS326" s="21">
        <v>0</v>
      </c>
    </row>
    <row r="327" spans="1:71">
      <c r="A327" s="20" t="s">
        <v>4865</v>
      </c>
      <c r="B327">
        <v>42</v>
      </c>
      <c r="C327">
        <v>274</v>
      </c>
      <c r="D327" s="21">
        <v>2020</v>
      </c>
      <c r="E327" s="23">
        <v>-1.74</v>
      </c>
      <c r="F327" s="14">
        <f t="shared" si="18"/>
        <v>0.61921708185053381</v>
      </c>
      <c r="G327">
        <v>-2.81</v>
      </c>
      <c r="H327" s="27">
        <v>1</v>
      </c>
      <c r="I327" s="21">
        <v>1</v>
      </c>
      <c r="J327" s="21">
        <v>5201</v>
      </c>
      <c r="K327" s="21">
        <v>1</v>
      </c>
      <c r="L327" s="21">
        <v>0</v>
      </c>
      <c r="M327" s="21">
        <v>0</v>
      </c>
      <c r="N327" s="21">
        <v>0</v>
      </c>
      <c r="O327" s="21">
        <v>0</v>
      </c>
      <c r="P327">
        <v>0</v>
      </c>
      <c r="Q327" s="21">
        <v>0</v>
      </c>
      <c r="R327" s="21">
        <v>0</v>
      </c>
      <c r="S327" s="21">
        <v>0</v>
      </c>
      <c r="T327" s="21">
        <v>0</v>
      </c>
      <c r="U327" s="21">
        <v>2000</v>
      </c>
      <c r="V327" s="21">
        <v>2000</v>
      </c>
      <c r="W327">
        <f t="shared" si="19"/>
        <v>2000</v>
      </c>
      <c r="X327" s="21">
        <v>1</v>
      </c>
      <c r="Y327" s="21">
        <v>0</v>
      </c>
      <c r="Z327" s="21">
        <v>1</v>
      </c>
      <c r="AA327" s="21">
        <v>0</v>
      </c>
      <c r="AB327" s="21">
        <v>0</v>
      </c>
      <c r="AC327" s="21">
        <v>0</v>
      </c>
      <c r="AD327" s="21">
        <v>0</v>
      </c>
      <c r="AE327" s="21">
        <v>1</v>
      </c>
      <c r="AF327" s="21">
        <v>0</v>
      </c>
      <c r="AG327" s="21">
        <v>0</v>
      </c>
      <c r="AH327" s="21">
        <v>1</v>
      </c>
      <c r="AI327" s="21">
        <v>1</v>
      </c>
      <c r="AJ327" s="21">
        <v>1</v>
      </c>
      <c r="AK327" s="21">
        <v>1</v>
      </c>
      <c r="AL327" s="21">
        <v>1</v>
      </c>
      <c r="AM327" s="21">
        <v>1</v>
      </c>
      <c r="AN327" s="21">
        <v>1</v>
      </c>
      <c r="AO327" s="21">
        <v>1</v>
      </c>
      <c r="AP327" s="21">
        <v>1</v>
      </c>
      <c r="AQ327" s="21">
        <v>1</v>
      </c>
      <c r="AR327" s="21">
        <v>0</v>
      </c>
      <c r="AS327" s="21">
        <v>0</v>
      </c>
      <c r="AT327" s="21">
        <v>1</v>
      </c>
      <c r="AU327" s="21">
        <v>1</v>
      </c>
      <c r="AV327" s="21">
        <v>1</v>
      </c>
      <c r="AW327" s="21">
        <v>1</v>
      </c>
      <c r="AX327" s="21">
        <v>1</v>
      </c>
      <c r="AY327" s="21">
        <v>1</v>
      </c>
      <c r="AZ327" s="21">
        <v>1</v>
      </c>
      <c r="BA327" s="21">
        <v>1</v>
      </c>
      <c r="BB327" s="21">
        <v>1</v>
      </c>
      <c r="BC327" s="21">
        <v>1</v>
      </c>
      <c r="BD327" s="21">
        <v>1</v>
      </c>
      <c r="BE327" s="21">
        <v>0</v>
      </c>
      <c r="BF327" s="21">
        <v>0</v>
      </c>
      <c r="BG327" s="21">
        <v>1</v>
      </c>
      <c r="BH327" s="21">
        <v>0</v>
      </c>
      <c r="BI327" s="21">
        <v>1</v>
      </c>
      <c r="BJ327" s="21">
        <v>0</v>
      </c>
      <c r="BK327" s="21">
        <v>0</v>
      </c>
      <c r="BL327" s="21">
        <v>0</v>
      </c>
      <c r="BM327" s="21">
        <v>1</v>
      </c>
      <c r="BN327" s="21">
        <v>0</v>
      </c>
      <c r="BO327" s="21">
        <v>1</v>
      </c>
      <c r="BP327" s="21">
        <v>0</v>
      </c>
      <c r="BQ327" s="21">
        <v>0</v>
      </c>
      <c r="BR327" s="21">
        <v>0</v>
      </c>
      <c r="BS327" s="21">
        <v>0</v>
      </c>
    </row>
    <row r="328" spans="1:71">
      <c r="A328" s="20" t="s">
        <v>4865</v>
      </c>
      <c r="B328">
        <v>42</v>
      </c>
      <c r="C328">
        <v>275</v>
      </c>
      <c r="D328" s="21">
        <v>2020</v>
      </c>
      <c r="E328" s="23">
        <v>-1.93</v>
      </c>
      <c r="F328" s="14">
        <f t="shared" si="18"/>
        <v>0.68683274021352314</v>
      </c>
      <c r="G328">
        <v>-2.81</v>
      </c>
      <c r="H328" s="27">
        <v>1</v>
      </c>
      <c r="I328" s="21">
        <v>1</v>
      </c>
      <c r="J328" s="21">
        <v>9800</v>
      </c>
      <c r="K328" s="21">
        <v>0</v>
      </c>
      <c r="L328" s="21">
        <v>1</v>
      </c>
      <c r="M328" s="21">
        <v>0</v>
      </c>
      <c r="N328" s="21">
        <v>0</v>
      </c>
      <c r="O328" s="21">
        <v>0</v>
      </c>
      <c r="P328">
        <v>0</v>
      </c>
      <c r="Q328" s="21">
        <v>0</v>
      </c>
      <c r="R328" s="21">
        <v>0</v>
      </c>
      <c r="S328" s="21">
        <v>0</v>
      </c>
      <c r="T328" s="21">
        <v>0</v>
      </c>
      <c r="U328" s="21">
        <v>2015</v>
      </c>
      <c r="V328" s="21">
        <v>2015</v>
      </c>
      <c r="W328">
        <f t="shared" si="19"/>
        <v>2015</v>
      </c>
      <c r="X328" s="21">
        <v>1</v>
      </c>
      <c r="Y328" s="21">
        <v>0</v>
      </c>
      <c r="Z328" s="21">
        <v>1</v>
      </c>
      <c r="AA328" s="21">
        <v>0</v>
      </c>
      <c r="AB328" s="21">
        <v>0</v>
      </c>
      <c r="AC328" s="21">
        <v>0</v>
      </c>
      <c r="AD328" s="21">
        <v>0</v>
      </c>
      <c r="AE328" s="21">
        <v>1</v>
      </c>
      <c r="AF328" s="21">
        <v>0</v>
      </c>
      <c r="AG328" s="21">
        <v>0</v>
      </c>
      <c r="AH328" s="21">
        <v>1</v>
      </c>
      <c r="AI328" s="21">
        <v>1</v>
      </c>
      <c r="AJ328" s="21">
        <v>1</v>
      </c>
      <c r="AK328" s="21">
        <v>1</v>
      </c>
      <c r="AL328" s="21">
        <v>1</v>
      </c>
      <c r="AM328" s="21">
        <v>1</v>
      </c>
      <c r="AN328" s="21">
        <v>1</v>
      </c>
      <c r="AO328" s="21">
        <v>1</v>
      </c>
      <c r="AP328" s="21">
        <v>1</v>
      </c>
      <c r="AQ328" s="21">
        <v>1</v>
      </c>
      <c r="AR328" s="21">
        <v>0</v>
      </c>
      <c r="AS328" s="21">
        <v>0</v>
      </c>
      <c r="AT328" s="21">
        <v>1</v>
      </c>
      <c r="AU328" s="21">
        <v>1</v>
      </c>
      <c r="AV328" s="21">
        <v>1</v>
      </c>
      <c r="AW328" s="21">
        <v>1</v>
      </c>
      <c r="AX328" s="21">
        <v>1</v>
      </c>
      <c r="AY328" s="21">
        <v>1</v>
      </c>
      <c r="AZ328" s="21">
        <v>1</v>
      </c>
      <c r="BA328" s="21">
        <v>1</v>
      </c>
      <c r="BB328" s="21">
        <v>1</v>
      </c>
      <c r="BC328" s="21">
        <v>1</v>
      </c>
      <c r="BD328" s="21">
        <v>1</v>
      </c>
      <c r="BE328" s="21">
        <v>0</v>
      </c>
      <c r="BF328" s="21">
        <v>0</v>
      </c>
      <c r="BG328" s="21">
        <v>1</v>
      </c>
      <c r="BH328" s="21">
        <v>0</v>
      </c>
      <c r="BI328" s="21">
        <v>0</v>
      </c>
      <c r="BJ328" s="21">
        <v>0</v>
      </c>
      <c r="BK328" s="21">
        <v>0</v>
      </c>
      <c r="BL328" s="21">
        <v>0</v>
      </c>
      <c r="BM328" s="21">
        <v>1</v>
      </c>
      <c r="BN328" s="21">
        <v>0</v>
      </c>
      <c r="BO328" s="21">
        <v>1</v>
      </c>
      <c r="BP328" s="21">
        <v>0</v>
      </c>
      <c r="BQ328" s="21">
        <v>0</v>
      </c>
      <c r="BR328" s="21">
        <v>0</v>
      </c>
      <c r="BS328" s="21">
        <v>0</v>
      </c>
    </row>
    <row r="329" spans="1:71">
      <c r="A329" s="20" t="s">
        <v>4865</v>
      </c>
      <c r="B329">
        <v>42</v>
      </c>
      <c r="C329">
        <v>276</v>
      </c>
      <c r="D329" s="21">
        <v>2020</v>
      </c>
      <c r="E329" s="23">
        <v>-2.12</v>
      </c>
      <c r="F329" s="14">
        <f t="shared" si="18"/>
        <v>0.75444839857651247</v>
      </c>
      <c r="G329">
        <v>-2.81</v>
      </c>
      <c r="H329" s="27">
        <v>1</v>
      </c>
      <c r="I329" s="21">
        <v>1</v>
      </c>
      <c r="J329" s="21">
        <v>9800</v>
      </c>
      <c r="K329" s="21">
        <v>0</v>
      </c>
      <c r="L329" s="21">
        <v>1</v>
      </c>
      <c r="M329" s="21">
        <v>0</v>
      </c>
      <c r="N329" s="21">
        <v>0</v>
      </c>
      <c r="O329" s="21">
        <v>0</v>
      </c>
      <c r="P329">
        <v>0</v>
      </c>
      <c r="Q329" s="21">
        <v>0</v>
      </c>
      <c r="R329" s="21">
        <v>0</v>
      </c>
      <c r="S329" s="21">
        <v>0</v>
      </c>
      <c r="T329" s="21">
        <v>0</v>
      </c>
      <c r="U329" s="21">
        <v>2015</v>
      </c>
      <c r="V329" s="21">
        <v>2015</v>
      </c>
      <c r="W329">
        <f t="shared" si="19"/>
        <v>2015</v>
      </c>
      <c r="X329" s="21">
        <v>1</v>
      </c>
      <c r="Y329" s="21">
        <v>0</v>
      </c>
      <c r="Z329" s="21">
        <v>1</v>
      </c>
      <c r="AA329" s="21">
        <v>0</v>
      </c>
      <c r="AB329" s="21">
        <v>0</v>
      </c>
      <c r="AC329" s="21">
        <v>0</v>
      </c>
      <c r="AD329" s="21">
        <v>0</v>
      </c>
      <c r="AE329" s="21">
        <v>1</v>
      </c>
      <c r="AF329" s="21">
        <v>0</v>
      </c>
      <c r="AG329" s="21">
        <v>0</v>
      </c>
      <c r="AH329" s="21">
        <v>1</v>
      </c>
      <c r="AI329" s="21">
        <v>1</v>
      </c>
      <c r="AJ329" s="21">
        <v>1</v>
      </c>
      <c r="AK329" s="21">
        <v>1</v>
      </c>
      <c r="AL329" s="21">
        <v>1</v>
      </c>
      <c r="AM329" s="21">
        <v>1</v>
      </c>
      <c r="AN329" s="21">
        <v>1</v>
      </c>
      <c r="AO329" s="21">
        <v>1</v>
      </c>
      <c r="AP329" s="21">
        <v>1</v>
      </c>
      <c r="AQ329" s="21">
        <v>1</v>
      </c>
      <c r="AR329" s="21">
        <v>0</v>
      </c>
      <c r="AS329" s="21">
        <v>0</v>
      </c>
      <c r="AT329" s="21">
        <v>1</v>
      </c>
      <c r="AU329" s="21">
        <v>1</v>
      </c>
      <c r="AV329" s="21">
        <v>1</v>
      </c>
      <c r="AW329" s="21">
        <v>1</v>
      </c>
      <c r="AX329" s="21">
        <v>1</v>
      </c>
      <c r="AY329" s="21">
        <v>1</v>
      </c>
      <c r="AZ329" s="21">
        <v>1</v>
      </c>
      <c r="BA329" s="21">
        <v>1</v>
      </c>
      <c r="BB329" s="21">
        <v>1</v>
      </c>
      <c r="BC329" s="21">
        <v>1</v>
      </c>
      <c r="BD329" s="21">
        <v>1</v>
      </c>
      <c r="BE329" s="21">
        <v>0</v>
      </c>
      <c r="BF329" s="21">
        <v>0</v>
      </c>
      <c r="BG329" s="21">
        <v>1</v>
      </c>
      <c r="BH329" s="21">
        <v>0</v>
      </c>
      <c r="BI329" s="21">
        <v>1</v>
      </c>
      <c r="BJ329" s="21">
        <v>0</v>
      </c>
      <c r="BK329" s="21">
        <v>0</v>
      </c>
      <c r="BL329" s="21">
        <v>0</v>
      </c>
      <c r="BM329" s="21">
        <v>1</v>
      </c>
      <c r="BN329" s="21">
        <v>0</v>
      </c>
      <c r="BO329" s="21">
        <v>1</v>
      </c>
      <c r="BP329" s="21">
        <v>0</v>
      </c>
      <c r="BQ329" s="21">
        <v>0</v>
      </c>
      <c r="BR329" s="21">
        <v>0</v>
      </c>
      <c r="BS329" s="21">
        <v>0</v>
      </c>
    </row>
    <row r="330" spans="1:71">
      <c r="A330" s="20" t="s">
        <v>4865</v>
      </c>
      <c r="B330">
        <v>42</v>
      </c>
      <c r="C330">
        <v>277</v>
      </c>
      <c r="D330" s="21">
        <v>2020</v>
      </c>
      <c r="E330" s="23">
        <v>-1.94</v>
      </c>
      <c r="F330" s="14">
        <f t="shared" si="18"/>
        <v>0.69039145907473309</v>
      </c>
      <c r="G330">
        <v>-2.81</v>
      </c>
      <c r="H330" s="27">
        <v>1</v>
      </c>
      <c r="I330" s="21">
        <v>1</v>
      </c>
      <c r="J330" s="21">
        <v>8591</v>
      </c>
      <c r="K330" s="21">
        <v>0</v>
      </c>
      <c r="L330" s="21">
        <v>1</v>
      </c>
      <c r="M330" s="21">
        <v>0</v>
      </c>
      <c r="N330" s="21">
        <v>0</v>
      </c>
      <c r="O330" s="21">
        <v>0</v>
      </c>
      <c r="P330">
        <v>0</v>
      </c>
      <c r="Q330" s="21">
        <v>0</v>
      </c>
      <c r="R330" s="21">
        <v>0</v>
      </c>
      <c r="S330" s="21">
        <v>0</v>
      </c>
      <c r="T330" s="21">
        <v>0</v>
      </c>
      <c r="U330" s="21">
        <v>2010</v>
      </c>
      <c r="V330" s="21">
        <v>2010</v>
      </c>
      <c r="W330">
        <f t="shared" si="19"/>
        <v>2010</v>
      </c>
      <c r="X330" s="21">
        <v>1</v>
      </c>
      <c r="Y330" s="21">
        <v>0</v>
      </c>
      <c r="Z330" s="21">
        <v>1</v>
      </c>
      <c r="AA330" s="21">
        <v>0</v>
      </c>
      <c r="AB330" s="21">
        <v>0</v>
      </c>
      <c r="AC330" s="21">
        <v>0</v>
      </c>
      <c r="AD330" s="21">
        <v>0</v>
      </c>
      <c r="AE330" s="21">
        <v>1</v>
      </c>
      <c r="AF330" s="21">
        <v>0</v>
      </c>
      <c r="AG330" s="21">
        <v>0</v>
      </c>
      <c r="AH330" s="21">
        <v>1</v>
      </c>
      <c r="AI330" s="21">
        <v>1</v>
      </c>
      <c r="AJ330" s="21">
        <v>1</v>
      </c>
      <c r="AK330" s="21">
        <v>1</v>
      </c>
      <c r="AL330" s="21">
        <v>1</v>
      </c>
      <c r="AM330" s="21">
        <v>1</v>
      </c>
      <c r="AN330" s="21">
        <v>1</v>
      </c>
      <c r="AO330" s="21">
        <v>1</v>
      </c>
      <c r="AP330" s="21">
        <v>1</v>
      </c>
      <c r="AQ330" s="21">
        <v>1</v>
      </c>
      <c r="AR330" s="21">
        <v>0</v>
      </c>
      <c r="AS330" s="21">
        <v>0</v>
      </c>
      <c r="AT330" s="21">
        <v>1</v>
      </c>
      <c r="AU330" s="21">
        <v>1</v>
      </c>
      <c r="AV330" s="21">
        <v>1</v>
      </c>
      <c r="AW330" s="21">
        <v>1</v>
      </c>
      <c r="AX330" s="21">
        <v>1</v>
      </c>
      <c r="AY330" s="21">
        <v>1</v>
      </c>
      <c r="AZ330" s="21">
        <v>1</v>
      </c>
      <c r="BA330" s="21">
        <v>1</v>
      </c>
      <c r="BB330" s="21">
        <v>1</v>
      </c>
      <c r="BC330" s="21">
        <v>1</v>
      </c>
      <c r="BD330" s="21">
        <v>1</v>
      </c>
      <c r="BE330" s="21">
        <v>0</v>
      </c>
      <c r="BF330" s="21">
        <v>0</v>
      </c>
      <c r="BG330" s="21">
        <v>1</v>
      </c>
      <c r="BH330" s="21">
        <v>0</v>
      </c>
      <c r="BI330" s="21">
        <v>0</v>
      </c>
      <c r="BJ330" s="21">
        <v>0</v>
      </c>
      <c r="BK330" s="21">
        <v>0</v>
      </c>
      <c r="BL330" s="21">
        <v>0</v>
      </c>
      <c r="BM330" s="21">
        <v>1</v>
      </c>
      <c r="BN330" s="21">
        <v>0</v>
      </c>
      <c r="BO330" s="21">
        <v>1</v>
      </c>
      <c r="BP330" s="21">
        <v>0</v>
      </c>
      <c r="BQ330" s="21">
        <v>0</v>
      </c>
      <c r="BR330" s="21">
        <v>0</v>
      </c>
      <c r="BS330" s="21">
        <v>0</v>
      </c>
    </row>
    <row r="331" spans="1:71">
      <c r="A331" s="20" t="s">
        <v>4865</v>
      </c>
      <c r="B331">
        <v>42</v>
      </c>
      <c r="C331">
        <v>278</v>
      </c>
      <c r="D331" s="21">
        <v>2020</v>
      </c>
      <c r="E331" s="23">
        <v>-2.06</v>
      </c>
      <c r="F331" s="14">
        <f t="shared" si="18"/>
        <v>0.73309608540925264</v>
      </c>
      <c r="G331">
        <v>-2.81</v>
      </c>
      <c r="H331" s="27">
        <v>1</v>
      </c>
      <c r="I331" s="21">
        <v>1</v>
      </c>
      <c r="J331" s="21">
        <v>8591</v>
      </c>
      <c r="K331" s="21">
        <v>0</v>
      </c>
      <c r="L331" s="21">
        <v>1</v>
      </c>
      <c r="M331" s="21">
        <v>0</v>
      </c>
      <c r="N331" s="21">
        <v>0</v>
      </c>
      <c r="O331" s="21">
        <v>0</v>
      </c>
      <c r="P331">
        <v>0</v>
      </c>
      <c r="Q331" s="21">
        <v>0</v>
      </c>
      <c r="R331" s="21">
        <v>0</v>
      </c>
      <c r="S331" s="21">
        <v>0</v>
      </c>
      <c r="T331" s="21">
        <v>0</v>
      </c>
      <c r="U331" s="21">
        <v>2010</v>
      </c>
      <c r="V331" s="21">
        <v>2010</v>
      </c>
      <c r="W331">
        <f t="shared" si="19"/>
        <v>2010</v>
      </c>
      <c r="X331" s="21">
        <v>1</v>
      </c>
      <c r="Y331" s="21">
        <v>0</v>
      </c>
      <c r="Z331" s="21">
        <v>1</v>
      </c>
      <c r="AA331" s="21">
        <v>0</v>
      </c>
      <c r="AB331" s="21">
        <v>0</v>
      </c>
      <c r="AC331" s="21">
        <v>0</v>
      </c>
      <c r="AD331" s="21">
        <v>0</v>
      </c>
      <c r="AE331" s="21">
        <v>1</v>
      </c>
      <c r="AF331" s="21">
        <v>0</v>
      </c>
      <c r="AG331" s="21">
        <v>0</v>
      </c>
      <c r="AH331" s="21">
        <v>1</v>
      </c>
      <c r="AI331" s="21">
        <v>1</v>
      </c>
      <c r="AJ331" s="21">
        <v>1</v>
      </c>
      <c r="AK331" s="21">
        <v>1</v>
      </c>
      <c r="AL331" s="21">
        <v>1</v>
      </c>
      <c r="AM331" s="21">
        <v>1</v>
      </c>
      <c r="AN331" s="21">
        <v>1</v>
      </c>
      <c r="AO331" s="21">
        <v>1</v>
      </c>
      <c r="AP331" s="21">
        <v>1</v>
      </c>
      <c r="AQ331" s="21">
        <v>1</v>
      </c>
      <c r="AR331" s="21">
        <v>0</v>
      </c>
      <c r="AS331" s="21">
        <v>0</v>
      </c>
      <c r="AT331" s="21">
        <v>1</v>
      </c>
      <c r="AU331" s="21">
        <v>1</v>
      </c>
      <c r="AV331" s="21">
        <v>1</v>
      </c>
      <c r="AW331" s="21">
        <v>1</v>
      </c>
      <c r="AX331" s="21">
        <v>1</v>
      </c>
      <c r="AY331" s="21">
        <v>1</v>
      </c>
      <c r="AZ331" s="21">
        <v>1</v>
      </c>
      <c r="BA331" s="21">
        <v>1</v>
      </c>
      <c r="BB331" s="21">
        <v>1</v>
      </c>
      <c r="BC331" s="21">
        <v>1</v>
      </c>
      <c r="BD331" s="21">
        <v>1</v>
      </c>
      <c r="BE331" s="21">
        <v>0</v>
      </c>
      <c r="BF331" s="21">
        <v>0</v>
      </c>
      <c r="BG331" s="21">
        <v>1</v>
      </c>
      <c r="BH331" s="21">
        <v>0</v>
      </c>
      <c r="BI331" s="21">
        <v>1</v>
      </c>
      <c r="BJ331" s="21">
        <v>0</v>
      </c>
      <c r="BK331" s="21">
        <v>0</v>
      </c>
      <c r="BL331" s="21">
        <v>0</v>
      </c>
      <c r="BM331" s="21">
        <v>1</v>
      </c>
      <c r="BN331" s="21">
        <v>0</v>
      </c>
      <c r="BO331" s="21">
        <v>1</v>
      </c>
      <c r="BP331" s="21">
        <v>0</v>
      </c>
      <c r="BQ331" s="21">
        <v>0</v>
      </c>
      <c r="BR331" s="21">
        <v>0</v>
      </c>
      <c r="BS331" s="21">
        <v>0</v>
      </c>
    </row>
    <row r="332" spans="1:71">
      <c r="A332" s="20" t="s">
        <v>4865</v>
      </c>
      <c r="B332">
        <v>42</v>
      </c>
      <c r="C332">
        <v>279</v>
      </c>
      <c r="D332" s="21">
        <v>2020</v>
      </c>
      <c r="E332" s="23">
        <v>-1.92</v>
      </c>
      <c r="F332" s="14">
        <f t="shared" si="18"/>
        <v>0.68327402135231308</v>
      </c>
      <c r="G332">
        <v>-2.81</v>
      </c>
      <c r="H332" s="27">
        <v>1</v>
      </c>
      <c r="I332" s="21">
        <v>1</v>
      </c>
      <c r="J332" s="21">
        <v>7671</v>
      </c>
      <c r="K332" s="21">
        <v>0</v>
      </c>
      <c r="L332" s="21">
        <v>1</v>
      </c>
      <c r="M332" s="21">
        <v>0</v>
      </c>
      <c r="N332" s="21">
        <v>0</v>
      </c>
      <c r="O332" s="21">
        <v>0</v>
      </c>
      <c r="P332">
        <v>0</v>
      </c>
      <c r="Q332" s="21">
        <v>0</v>
      </c>
      <c r="R332" s="21">
        <v>0</v>
      </c>
      <c r="S332" s="21">
        <v>0</v>
      </c>
      <c r="T332" s="21">
        <v>0</v>
      </c>
      <c r="U332" s="21">
        <v>2005</v>
      </c>
      <c r="V332" s="21">
        <v>2005</v>
      </c>
      <c r="W332">
        <f t="shared" si="19"/>
        <v>2005</v>
      </c>
      <c r="X332" s="21">
        <v>1</v>
      </c>
      <c r="Y332" s="21">
        <v>0</v>
      </c>
      <c r="Z332" s="21">
        <v>1</v>
      </c>
      <c r="AA332" s="21">
        <v>0</v>
      </c>
      <c r="AB332" s="21">
        <v>0</v>
      </c>
      <c r="AC332" s="21">
        <v>0</v>
      </c>
      <c r="AD332" s="21">
        <v>0</v>
      </c>
      <c r="AE332" s="21">
        <v>1</v>
      </c>
      <c r="AF332" s="21">
        <v>0</v>
      </c>
      <c r="AG332" s="21">
        <v>0</v>
      </c>
      <c r="AH332" s="21">
        <v>1</v>
      </c>
      <c r="AI332" s="21">
        <v>1</v>
      </c>
      <c r="AJ332" s="21">
        <v>1</v>
      </c>
      <c r="AK332" s="21">
        <v>1</v>
      </c>
      <c r="AL332" s="21">
        <v>1</v>
      </c>
      <c r="AM332" s="21">
        <v>1</v>
      </c>
      <c r="AN332" s="21">
        <v>1</v>
      </c>
      <c r="AO332" s="21">
        <v>1</v>
      </c>
      <c r="AP332" s="21">
        <v>1</v>
      </c>
      <c r="AQ332" s="21">
        <v>1</v>
      </c>
      <c r="AR332" s="21">
        <v>0</v>
      </c>
      <c r="AS332" s="21">
        <v>0</v>
      </c>
      <c r="AT332" s="21">
        <v>1</v>
      </c>
      <c r="AU332" s="21">
        <v>1</v>
      </c>
      <c r="AV332" s="21">
        <v>1</v>
      </c>
      <c r="AW332" s="21">
        <v>1</v>
      </c>
      <c r="AX332" s="21">
        <v>1</v>
      </c>
      <c r="AY332" s="21">
        <v>1</v>
      </c>
      <c r="AZ332" s="21">
        <v>1</v>
      </c>
      <c r="BA332" s="21">
        <v>1</v>
      </c>
      <c r="BB332" s="21">
        <v>1</v>
      </c>
      <c r="BC332" s="21">
        <v>1</v>
      </c>
      <c r="BD332" s="21">
        <v>1</v>
      </c>
      <c r="BE332" s="21">
        <v>0</v>
      </c>
      <c r="BF332" s="21">
        <v>0</v>
      </c>
      <c r="BG332" s="21">
        <v>1</v>
      </c>
      <c r="BH332" s="21">
        <v>0</v>
      </c>
      <c r="BI332" s="21">
        <v>0</v>
      </c>
      <c r="BJ332" s="21">
        <v>0</v>
      </c>
      <c r="BK332" s="21">
        <v>0</v>
      </c>
      <c r="BL332" s="21">
        <v>0</v>
      </c>
      <c r="BM332" s="21">
        <v>1</v>
      </c>
      <c r="BN332" s="21">
        <v>0</v>
      </c>
      <c r="BO332" s="21">
        <v>1</v>
      </c>
      <c r="BP332" s="21">
        <v>0</v>
      </c>
      <c r="BQ332" s="21">
        <v>0</v>
      </c>
      <c r="BR332" s="21">
        <v>0</v>
      </c>
      <c r="BS332" s="21">
        <v>0</v>
      </c>
    </row>
    <row r="333" spans="1:71">
      <c r="A333" s="20" t="s">
        <v>4865</v>
      </c>
      <c r="B333">
        <v>42</v>
      </c>
      <c r="C333">
        <v>280</v>
      </c>
      <c r="D333" s="21">
        <v>2020</v>
      </c>
      <c r="E333" s="23">
        <v>-2.17</v>
      </c>
      <c r="F333" s="14">
        <f t="shared" si="18"/>
        <v>0.77224199288256223</v>
      </c>
      <c r="G333">
        <v>-2.81</v>
      </c>
      <c r="H333" s="27">
        <v>1</v>
      </c>
      <c r="I333" s="21">
        <v>1</v>
      </c>
      <c r="J333" s="21">
        <v>7671</v>
      </c>
      <c r="K333" s="21">
        <v>0</v>
      </c>
      <c r="L333" s="21">
        <v>1</v>
      </c>
      <c r="M333" s="21">
        <v>0</v>
      </c>
      <c r="N333" s="21">
        <v>0</v>
      </c>
      <c r="O333" s="21">
        <v>0</v>
      </c>
      <c r="P333">
        <v>0</v>
      </c>
      <c r="Q333" s="21">
        <v>0</v>
      </c>
      <c r="R333" s="21">
        <v>0</v>
      </c>
      <c r="S333" s="21">
        <v>0</v>
      </c>
      <c r="T333" s="21">
        <v>0</v>
      </c>
      <c r="U333" s="21">
        <v>2005</v>
      </c>
      <c r="V333" s="21">
        <v>2005</v>
      </c>
      <c r="W333">
        <f t="shared" si="19"/>
        <v>2005</v>
      </c>
      <c r="X333" s="21">
        <v>1</v>
      </c>
      <c r="Y333" s="21">
        <v>0</v>
      </c>
      <c r="Z333" s="21">
        <v>1</v>
      </c>
      <c r="AA333" s="21">
        <v>0</v>
      </c>
      <c r="AB333" s="21">
        <v>0</v>
      </c>
      <c r="AC333" s="21">
        <v>0</v>
      </c>
      <c r="AD333" s="21">
        <v>0</v>
      </c>
      <c r="AE333" s="21">
        <v>1</v>
      </c>
      <c r="AF333" s="21">
        <v>0</v>
      </c>
      <c r="AG333" s="21">
        <v>0</v>
      </c>
      <c r="AH333" s="21">
        <v>1</v>
      </c>
      <c r="AI333" s="21">
        <v>1</v>
      </c>
      <c r="AJ333" s="21">
        <v>1</v>
      </c>
      <c r="AK333" s="21">
        <v>1</v>
      </c>
      <c r="AL333" s="21">
        <v>1</v>
      </c>
      <c r="AM333" s="21">
        <v>1</v>
      </c>
      <c r="AN333" s="21">
        <v>1</v>
      </c>
      <c r="AO333" s="21">
        <v>1</v>
      </c>
      <c r="AP333" s="21">
        <v>1</v>
      </c>
      <c r="AQ333" s="21">
        <v>1</v>
      </c>
      <c r="AR333" s="21">
        <v>0</v>
      </c>
      <c r="AS333" s="21">
        <v>0</v>
      </c>
      <c r="AT333" s="21">
        <v>1</v>
      </c>
      <c r="AU333" s="21">
        <v>1</v>
      </c>
      <c r="AV333" s="21">
        <v>1</v>
      </c>
      <c r="AW333" s="21">
        <v>1</v>
      </c>
      <c r="AX333" s="21">
        <v>1</v>
      </c>
      <c r="AY333" s="21">
        <v>1</v>
      </c>
      <c r="AZ333" s="21">
        <v>1</v>
      </c>
      <c r="BA333" s="21">
        <v>1</v>
      </c>
      <c r="BB333" s="21">
        <v>1</v>
      </c>
      <c r="BC333" s="21">
        <v>1</v>
      </c>
      <c r="BD333" s="21">
        <v>1</v>
      </c>
      <c r="BE333" s="21">
        <v>0</v>
      </c>
      <c r="BF333" s="21">
        <v>0</v>
      </c>
      <c r="BG333" s="21">
        <v>1</v>
      </c>
      <c r="BH333" s="21">
        <v>0</v>
      </c>
      <c r="BI333" s="21">
        <v>1</v>
      </c>
      <c r="BJ333" s="21">
        <v>0</v>
      </c>
      <c r="BK333" s="21">
        <v>0</v>
      </c>
      <c r="BL333" s="21">
        <v>0</v>
      </c>
      <c r="BM333" s="21">
        <v>1</v>
      </c>
      <c r="BN333" s="21">
        <v>0</v>
      </c>
      <c r="BO333" s="21">
        <v>1</v>
      </c>
      <c r="BP333" s="21">
        <v>0</v>
      </c>
      <c r="BQ333" s="21">
        <v>0</v>
      </c>
      <c r="BR333" s="21">
        <v>0</v>
      </c>
      <c r="BS333" s="21">
        <v>0</v>
      </c>
    </row>
    <row r="334" spans="1:71">
      <c r="A334" s="20" t="s">
        <v>4865</v>
      </c>
      <c r="B334">
        <v>42</v>
      </c>
      <c r="C334">
        <v>281</v>
      </c>
      <c r="D334" s="21">
        <v>2020</v>
      </c>
      <c r="E334" s="23">
        <v>-1.88</v>
      </c>
      <c r="F334" s="14">
        <f t="shared" si="18"/>
        <v>0.66903914590747326</v>
      </c>
      <c r="G334">
        <v>-2.81</v>
      </c>
      <c r="H334" s="27">
        <v>1</v>
      </c>
      <c r="I334" s="21">
        <v>1</v>
      </c>
      <c r="J334" s="21">
        <v>6783</v>
      </c>
      <c r="K334" s="21">
        <v>0</v>
      </c>
      <c r="L334" s="21">
        <v>1</v>
      </c>
      <c r="M334" s="21">
        <v>0</v>
      </c>
      <c r="N334" s="21">
        <v>0</v>
      </c>
      <c r="O334" s="21">
        <v>0</v>
      </c>
      <c r="P334">
        <v>0</v>
      </c>
      <c r="Q334" s="21">
        <v>0</v>
      </c>
      <c r="R334" s="21">
        <v>0</v>
      </c>
      <c r="S334" s="21">
        <v>0</v>
      </c>
      <c r="T334" s="21">
        <v>0</v>
      </c>
      <c r="U334" s="21">
        <v>2000</v>
      </c>
      <c r="V334" s="21">
        <v>2000</v>
      </c>
      <c r="W334">
        <f t="shared" si="19"/>
        <v>2000</v>
      </c>
      <c r="X334" s="21">
        <v>1</v>
      </c>
      <c r="Y334" s="21">
        <v>0</v>
      </c>
      <c r="Z334" s="21">
        <v>1</v>
      </c>
      <c r="AA334" s="21">
        <v>0</v>
      </c>
      <c r="AB334" s="21">
        <v>0</v>
      </c>
      <c r="AC334" s="21">
        <v>0</v>
      </c>
      <c r="AD334" s="21">
        <v>0</v>
      </c>
      <c r="AE334" s="21">
        <v>1</v>
      </c>
      <c r="AF334" s="21">
        <v>0</v>
      </c>
      <c r="AG334" s="21">
        <v>0</v>
      </c>
      <c r="AH334" s="21">
        <v>1</v>
      </c>
      <c r="AI334" s="21">
        <v>1</v>
      </c>
      <c r="AJ334" s="21">
        <v>1</v>
      </c>
      <c r="AK334" s="21">
        <v>1</v>
      </c>
      <c r="AL334" s="21">
        <v>1</v>
      </c>
      <c r="AM334" s="21">
        <v>1</v>
      </c>
      <c r="AN334" s="21">
        <v>1</v>
      </c>
      <c r="AO334" s="21">
        <v>1</v>
      </c>
      <c r="AP334" s="21">
        <v>1</v>
      </c>
      <c r="AQ334" s="21">
        <v>1</v>
      </c>
      <c r="AR334" s="21">
        <v>0</v>
      </c>
      <c r="AS334" s="21">
        <v>0</v>
      </c>
      <c r="AT334" s="21">
        <v>1</v>
      </c>
      <c r="AU334" s="21">
        <v>1</v>
      </c>
      <c r="AV334" s="21">
        <v>1</v>
      </c>
      <c r="AW334" s="21">
        <v>1</v>
      </c>
      <c r="AX334" s="21">
        <v>1</v>
      </c>
      <c r="AY334" s="21">
        <v>1</v>
      </c>
      <c r="AZ334" s="21">
        <v>1</v>
      </c>
      <c r="BA334" s="21">
        <v>1</v>
      </c>
      <c r="BB334" s="21">
        <v>1</v>
      </c>
      <c r="BC334" s="21">
        <v>1</v>
      </c>
      <c r="BD334" s="21">
        <v>1</v>
      </c>
      <c r="BE334" s="21">
        <v>0</v>
      </c>
      <c r="BF334" s="21">
        <v>0</v>
      </c>
      <c r="BG334" s="21">
        <v>1</v>
      </c>
      <c r="BH334" s="21">
        <v>0</v>
      </c>
      <c r="BI334" s="21">
        <v>0</v>
      </c>
      <c r="BJ334" s="21">
        <v>0</v>
      </c>
      <c r="BK334" s="21">
        <v>0</v>
      </c>
      <c r="BL334" s="21">
        <v>0</v>
      </c>
      <c r="BM334" s="21">
        <v>1</v>
      </c>
      <c r="BN334" s="21">
        <v>0</v>
      </c>
      <c r="BO334" s="21">
        <v>1</v>
      </c>
      <c r="BP334" s="21">
        <v>0</v>
      </c>
      <c r="BQ334" s="21">
        <v>0</v>
      </c>
      <c r="BR334" s="21">
        <v>0</v>
      </c>
      <c r="BS334" s="21">
        <v>0</v>
      </c>
    </row>
    <row r="335" spans="1:71">
      <c r="A335" s="20" t="s">
        <v>4865</v>
      </c>
      <c r="B335">
        <v>42</v>
      </c>
      <c r="C335">
        <v>282</v>
      </c>
      <c r="D335" s="21">
        <v>2020</v>
      </c>
      <c r="E335" s="23">
        <v>-2.08</v>
      </c>
      <c r="F335" s="14">
        <f t="shared" si="18"/>
        <v>0.74021352313167266</v>
      </c>
      <c r="G335">
        <v>-2.81</v>
      </c>
      <c r="H335" s="27">
        <v>1</v>
      </c>
      <c r="I335" s="21">
        <v>1</v>
      </c>
      <c r="J335" s="21">
        <v>6783</v>
      </c>
      <c r="K335" s="21">
        <v>0</v>
      </c>
      <c r="L335" s="21">
        <v>1</v>
      </c>
      <c r="M335" s="21">
        <v>0</v>
      </c>
      <c r="N335" s="21">
        <v>0</v>
      </c>
      <c r="O335" s="21">
        <v>0</v>
      </c>
      <c r="P335">
        <v>0</v>
      </c>
      <c r="Q335" s="21">
        <v>0</v>
      </c>
      <c r="R335" s="21">
        <v>0</v>
      </c>
      <c r="S335" s="21">
        <v>0</v>
      </c>
      <c r="T335" s="21">
        <v>0</v>
      </c>
      <c r="U335" s="21">
        <v>2000</v>
      </c>
      <c r="V335" s="21">
        <v>2000</v>
      </c>
      <c r="W335">
        <f t="shared" si="19"/>
        <v>2000</v>
      </c>
      <c r="X335" s="21">
        <v>1</v>
      </c>
      <c r="Y335" s="21">
        <v>0</v>
      </c>
      <c r="Z335" s="21">
        <v>1</v>
      </c>
      <c r="AA335" s="21">
        <v>0</v>
      </c>
      <c r="AB335" s="21">
        <v>0</v>
      </c>
      <c r="AC335" s="21">
        <v>0</v>
      </c>
      <c r="AD335" s="21">
        <v>0</v>
      </c>
      <c r="AE335" s="21">
        <v>1</v>
      </c>
      <c r="AF335" s="21">
        <v>0</v>
      </c>
      <c r="AG335" s="21">
        <v>0</v>
      </c>
      <c r="AH335" s="21">
        <v>1</v>
      </c>
      <c r="AI335" s="21">
        <v>1</v>
      </c>
      <c r="AJ335" s="21">
        <v>1</v>
      </c>
      <c r="AK335" s="21">
        <v>1</v>
      </c>
      <c r="AL335" s="21">
        <v>1</v>
      </c>
      <c r="AM335" s="21">
        <v>1</v>
      </c>
      <c r="AN335" s="21">
        <v>1</v>
      </c>
      <c r="AO335" s="21">
        <v>1</v>
      </c>
      <c r="AP335" s="21">
        <v>1</v>
      </c>
      <c r="AQ335" s="21">
        <v>1</v>
      </c>
      <c r="AR335" s="21">
        <v>0</v>
      </c>
      <c r="AS335" s="21">
        <v>0</v>
      </c>
      <c r="AT335" s="21">
        <v>1</v>
      </c>
      <c r="AU335" s="21">
        <v>1</v>
      </c>
      <c r="AV335" s="21">
        <v>1</v>
      </c>
      <c r="AW335" s="21">
        <v>1</v>
      </c>
      <c r="AX335" s="21">
        <v>1</v>
      </c>
      <c r="AY335" s="21">
        <v>1</v>
      </c>
      <c r="AZ335" s="21">
        <v>1</v>
      </c>
      <c r="BA335" s="21">
        <v>1</v>
      </c>
      <c r="BB335" s="21">
        <v>1</v>
      </c>
      <c r="BC335" s="21">
        <v>1</v>
      </c>
      <c r="BD335" s="21">
        <v>1</v>
      </c>
      <c r="BE335" s="21">
        <v>0</v>
      </c>
      <c r="BF335" s="21">
        <v>0</v>
      </c>
      <c r="BG335" s="21">
        <v>1</v>
      </c>
      <c r="BH335" s="21">
        <v>0</v>
      </c>
      <c r="BI335" s="21">
        <v>1</v>
      </c>
      <c r="BJ335" s="21">
        <v>0</v>
      </c>
      <c r="BK335" s="21">
        <v>0</v>
      </c>
      <c r="BL335" s="21">
        <v>0</v>
      </c>
      <c r="BM335" s="21">
        <v>1</v>
      </c>
      <c r="BN335" s="21">
        <v>0</v>
      </c>
      <c r="BO335" s="21">
        <v>1</v>
      </c>
      <c r="BP335" s="21">
        <v>0</v>
      </c>
      <c r="BQ335" s="21">
        <v>0</v>
      </c>
      <c r="BR335" s="21">
        <v>0</v>
      </c>
      <c r="BS335" s="21">
        <v>0</v>
      </c>
    </row>
    <row r="336" spans="1:71">
      <c r="A336" s="20" t="s">
        <v>4865</v>
      </c>
      <c r="B336">
        <v>42</v>
      </c>
      <c r="C336">
        <v>263</v>
      </c>
      <c r="D336" s="21">
        <v>2020</v>
      </c>
      <c r="E336" s="23">
        <v>-1.73</v>
      </c>
      <c r="F336" s="14">
        <f t="shared" si="18"/>
        <v>3.4055118110236225E-2</v>
      </c>
      <c r="G336">
        <v>-50.8</v>
      </c>
      <c r="H336" s="27">
        <v>0</v>
      </c>
      <c r="I336" s="21">
        <v>1</v>
      </c>
      <c r="J336" s="21">
        <v>7000</v>
      </c>
      <c r="K336" s="21">
        <v>1</v>
      </c>
      <c r="L336" s="21">
        <v>0</v>
      </c>
      <c r="M336" s="21">
        <v>0</v>
      </c>
      <c r="N336" s="21">
        <v>0</v>
      </c>
      <c r="O336" s="21">
        <v>0</v>
      </c>
      <c r="P336">
        <v>0</v>
      </c>
      <c r="Q336" s="21">
        <v>0</v>
      </c>
      <c r="R336" s="21">
        <v>0</v>
      </c>
      <c r="S336" s="21">
        <v>0</v>
      </c>
      <c r="T336" s="21">
        <v>0</v>
      </c>
      <c r="U336" s="21">
        <v>2015</v>
      </c>
      <c r="V336" s="21">
        <v>2015</v>
      </c>
      <c r="W336">
        <f t="shared" si="19"/>
        <v>2015</v>
      </c>
      <c r="X336" s="21">
        <v>1</v>
      </c>
      <c r="Y336" s="21">
        <v>0</v>
      </c>
      <c r="Z336" s="21">
        <v>1</v>
      </c>
      <c r="AA336" s="21">
        <v>0</v>
      </c>
      <c r="AB336" s="21">
        <v>0</v>
      </c>
      <c r="AC336" s="21">
        <v>0</v>
      </c>
      <c r="AD336" s="21">
        <v>0</v>
      </c>
      <c r="AE336" s="21">
        <v>1</v>
      </c>
      <c r="AF336" s="21">
        <v>0</v>
      </c>
      <c r="AG336" s="21">
        <v>0</v>
      </c>
      <c r="AH336" s="21">
        <v>1</v>
      </c>
      <c r="AI336" s="21">
        <v>1</v>
      </c>
      <c r="AJ336" s="21">
        <v>1</v>
      </c>
      <c r="AK336" s="21">
        <v>1</v>
      </c>
      <c r="AL336" s="21">
        <v>1</v>
      </c>
      <c r="AM336" s="21">
        <v>1</v>
      </c>
      <c r="AN336" s="21">
        <v>1</v>
      </c>
      <c r="AO336" s="21">
        <v>1</v>
      </c>
      <c r="AP336" s="21">
        <v>1</v>
      </c>
      <c r="AQ336" s="21">
        <v>1</v>
      </c>
      <c r="AR336" s="21">
        <v>0</v>
      </c>
      <c r="AS336" s="21">
        <v>0</v>
      </c>
      <c r="AT336" s="21">
        <v>1</v>
      </c>
      <c r="AU336" s="21">
        <v>1</v>
      </c>
      <c r="AV336" s="21">
        <v>1</v>
      </c>
      <c r="AW336" s="21">
        <v>1</v>
      </c>
      <c r="AX336" s="21">
        <v>1</v>
      </c>
      <c r="AY336" s="21">
        <v>1</v>
      </c>
      <c r="AZ336" s="21">
        <v>1</v>
      </c>
      <c r="BA336" s="21">
        <v>1</v>
      </c>
      <c r="BB336" s="21">
        <v>1</v>
      </c>
      <c r="BC336" s="21">
        <v>1</v>
      </c>
      <c r="BD336" s="21">
        <v>1</v>
      </c>
      <c r="BE336" s="21">
        <v>0</v>
      </c>
      <c r="BF336" s="21">
        <v>0</v>
      </c>
      <c r="BG336" s="21">
        <v>1</v>
      </c>
      <c r="BH336" s="21">
        <v>0</v>
      </c>
      <c r="BI336" s="21">
        <v>0</v>
      </c>
      <c r="BJ336" s="21">
        <v>0</v>
      </c>
      <c r="BK336" s="21">
        <v>0</v>
      </c>
      <c r="BL336" s="21">
        <v>0</v>
      </c>
      <c r="BM336" s="21">
        <v>1</v>
      </c>
      <c r="BN336" s="21">
        <v>0</v>
      </c>
      <c r="BO336" s="21">
        <v>1</v>
      </c>
      <c r="BP336" s="21">
        <v>0</v>
      </c>
      <c r="BQ336" s="21">
        <v>0</v>
      </c>
      <c r="BR336" s="21">
        <v>0</v>
      </c>
      <c r="BS336" s="21">
        <v>0</v>
      </c>
    </row>
    <row r="337" spans="1:71">
      <c r="A337" s="20" t="s">
        <v>4865</v>
      </c>
      <c r="B337">
        <v>42</v>
      </c>
      <c r="C337">
        <v>264</v>
      </c>
      <c r="D337" s="21">
        <v>2020</v>
      </c>
      <c r="E337" s="23">
        <v>-1.9</v>
      </c>
      <c r="F337" s="14">
        <f t="shared" si="18"/>
        <v>6.1290322580645158E-2</v>
      </c>
      <c r="G337">
        <v>-31</v>
      </c>
      <c r="H337" s="27">
        <v>0</v>
      </c>
      <c r="I337" s="21">
        <v>1</v>
      </c>
      <c r="J337" s="21">
        <v>7000</v>
      </c>
      <c r="K337" s="21">
        <v>1</v>
      </c>
      <c r="L337" s="21">
        <v>0</v>
      </c>
      <c r="M337" s="21">
        <v>0</v>
      </c>
      <c r="N337" s="21">
        <v>0</v>
      </c>
      <c r="O337" s="21">
        <v>0</v>
      </c>
      <c r="P337">
        <v>0</v>
      </c>
      <c r="Q337" s="21">
        <v>0</v>
      </c>
      <c r="R337" s="21">
        <v>0</v>
      </c>
      <c r="S337" s="21">
        <v>0</v>
      </c>
      <c r="T337" s="21">
        <v>0</v>
      </c>
      <c r="U337" s="21">
        <v>2015</v>
      </c>
      <c r="V337" s="21">
        <v>2015</v>
      </c>
      <c r="W337">
        <f t="shared" si="19"/>
        <v>2015</v>
      </c>
      <c r="X337" s="21">
        <v>1</v>
      </c>
      <c r="Y337" s="21">
        <v>0</v>
      </c>
      <c r="Z337" s="21">
        <v>1</v>
      </c>
      <c r="AA337" s="21">
        <v>0</v>
      </c>
      <c r="AB337" s="21">
        <v>0</v>
      </c>
      <c r="AC337" s="21">
        <v>0</v>
      </c>
      <c r="AD337" s="21">
        <v>0</v>
      </c>
      <c r="AE337" s="21">
        <v>1</v>
      </c>
      <c r="AF337" s="21">
        <v>0</v>
      </c>
      <c r="AG337" s="21">
        <v>0</v>
      </c>
      <c r="AH337" s="21">
        <v>1</v>
      </c>
      <c r="AI337" s="21">
        <v>1</v>
      </c>
      <c r="AJ337" s="21">
        <v>1</v>
      </c>
      <c r="AK337" s="21">
        <v>1</v>
      </c>
      <c r="AL337" s="21">
        <v>1</v>
      </c>
      <c r="AM337" s="21">
        <v>1</v>
      </c>
      <c r="AN337" s="21">
        <v>1</v>
      </c>
      <c r="AO337" s="21">
        <v>1</v>
      </c>
      <c r="AP337" s="21">
        <v>1</v>
      </c>
      <c r="AQ337" s="21">
        <v>1</v>
      </c>
      <c r="AR337" s="21">
        <v>0</v>
      </c>
      <c r="AS337" s="21">
        <v>0</v>
      </c>
      <c r="AT337" s="21">
        <v>1</v>
      </c>
      <c r="AU337" s="21">
        <v>1</v>
      </c>
      <c r="AV337" s="21">
        <v>1</v>
      </c>
      <c r="AW337" s="21">
        <v>1</v>
      </c>
      <c r="AX337" s="21">
        <v>1</v>
      </c>
      <c r="AY337" s="21">
        <v>1</v>
      </c>
      <c r="AZ337" s="21">
        <v>1</v>
      </c>
      <c r="BA337" s="21">
        <v>1</v>
      </c>
      <c r="BB337" s="21">
        <v>1</v>
      </c>
      <c r="BC337" s="21">
        <v>1</v>
      </c>
      <c r="BD337" s="21">
        <v>1</v>
      </c>
      <c r="BE337" s="21">
        <v>0</v>
      </c>
      <c r="BF337" s="21">
        <v>0</v>
      </c>
      <c r="BG337" s="21">
        <v>1</v>
      </c>
      <c r="BH337" s="21">
        <v>0</v>
      </c>
      <c r="BI337" s="21">
        <v>1</v>
      </c>
      <c r="BJ337" s="21">
        <v>0</v>
      </c>
      <c r="BK337" s="21">
        <v>0</v>
      </c>
      <c r="BL337" s="21">
        <v>0</v>
      </c>
      <c r="BM337" s="21">
        <v>1</v>
      </c>
      <c r="BN337" s="21">
        <v>0</v>
      </c>
      <c r="BO337" s="21">
        <v>1</v>
      </c>
      <c r="BP337" s="21">
        <v>0</v>
      </c>
      <c r="BQ337" s="21">
        <v>0</v>
      </c>
      <c r="BR337" s="21">
        <v>0</v>
      </c>
      <c r="BS337" s="21">
        <v>0</v>
      </c>
    </row>
    <row r="338" spans="1:71">
      <c r="A338" s="20" t="s">
        <v>4865</v>
      </c>
      <c r="B338">
        <v>42</v>
      </c>
      <c r="C338">
        <v>265</v>
      </c>
      <c r="D338" s="21">
        <v>2020</v>
      </c>
      <c r="E338" s="23">
        <v>-1.93</v>
      </c>
      <c r="F338" s="14">
        <f t="shared" si="18"/>
        <v>3.3741258741258738E-2</v>
      </c>
      <c r="G338">
        <v>-57.2</v>
      </c>
      <c r="H338" s="27">
        <v>0</v>
      </c>
      <c r="I338" s="21">
        <v>1</v>
      </c>
      <c r="J338" s="21">
        <v>9800</v>
      </c>
      <c r="K338" s="21">
        <v>0</v>
      </c>
      <c r="L338" s="21">
        <v>1</v>
      </c>
      <c r="M338" s="21">
        <v>0</v>
      </c>
      <c r="N338" s="21">
        <v>0</v>
      </c>
      <c r="O338" s="21">
        <v>1</v>
      </c>
      <c r="P338">
        <v>0</v>
      </c>
      <c r="Q338" s="21">
        <v>0</v>
      </c>
      <c r="R338" s="21">
        <v>0</v>
      </c>
      <c r="S338" s="21">
        <v>0</v>
      </c>
      <c r="T338" s="21">
        <v>0</v>
      </c>
      <c r="U338" s="21">
        <v>2015</v>
      </c>
      <c r="V338" s="21">
        <v>2015</v>
      </c>
      <c r="W338">
        <f t="shared" si="19"/>
        <v>2015</v>
      </c>
      <c r="X338" s="21">
        <v>1</v>
      </c>
      <c r="Y338" s="21">
        <v>0</v>
      </c>
      <c r="Z338" s="21">
        <v>1</v>
      </c>
      <c r="AA338" s="21">
        <v>0</v>
      </c>
      <c r="AB338" s="21">
        <v>0</v>
      </c>
      <c r="AC338" s="21">
        <v>0</v>
      </c>
      <c r="AD338" s="21">
        <v>0</v>
      </c>
      <c r="AE338" s="21">
        <v>1</v>
      </c>
      <c r="AF338" s="21">
        <v>0</v>
      </c>
      <c r="AG338" s="21">
        <v>0</v>
      </c>
      <c r="AH338" s="21">
        <v>1</v>
      </c>
      <c r="AI338" s="21">
        <v>1</v>
      </c>
      <c r="AJ338" s="21">
        <v>1</v>
      </c>
      <c r="AK338" s="21">
        <v>1</v>
      </c>
      <c r="AL338" s="21">
        <v>1</v>
      </c>
      <c r="AM338" s="21">
        <v>1</v>
      </c>
      <c r="AN338" s="21">
        <v>1</v>
      </c>
      <c r="AO338" s="21">
        <v>1</v>
      </c>
      <c r="AP338" s="21">
        <v>1</v>
      </c>
      <c r="AQ338" s="21">
        <v>1</v>
      </c>
      <c r="AR338" s="21">
        <v>0</v>
      </c>
      <c r="AS338" s="21">
        <v>0</v>
      </c>
      <c r="AT338" s="21">
        <v>1</v>
      </c>
      <c r="AU338" s="21">
        <v>1</v>
      </c>
      <c r="AV338" s="21">
        <v>1</v>
      </c>
      <c r="AW338" s="21">
        <v>1</v>
      </c>
      <c r="AX338" s="21">
        <v>1</v>
      </c>
      <c r="AY338" s="21">
        <v>1</v>
      </c>
      <c r="AZ338" s="21">
        <v>1</v>
      </c>
      <c r="BA338" s="21">
        <v>1</v>
      </c>
      <c r="BB338" s="21">
        <v>1</v>
      </c>
      <c r="BC338" s="21">
        <v>1</v>
      </c>
      <c r="BD338" s="21">
        <v>1</v>
      </c>
      <c r="BE338" s="21">
        <v>0</v>
      </c>
      <c r="BF338" s="21">
        <v>0</v>
      </c>
      <c r="BG338" s="21">
        <v>1</v>
      </c>
      <c r="BH338" s="21">
        <v>0</v>
      </c>
      <c r="BI338" s="21">
        <v>0</v>
      </c>
      <c r="BJ338" s="21">
        <v>0</v>
      </c>
      <c r="BK338" s="21">
        <v>0</v>
      </c>
      <c r="BL338" s="21">
        <v>0</v>
      </c>
      <c r="BM338" s="21">
        <v>1</v>
      </c>
      <c r="BN338" s="21">
        <v>0</v>
      </c>
      <c r="BO338" s="21">
        <v>1</v>
      </c>
      <c r="BP338" s="21">
        <v>0</v>
      </c>
      <c r="BQ338" s="21">
        <v>0</v>
      </c>
      <c r="BR338" s="21">
        <v>0</v>
      </c>
      <c r="BS338" s="21">
        <v>0</v>
      </c>
    </row>
    <row r="339" spans="1:71">
      <c r="A339" s="20" t="s">
        <v>4865</v>
      </c>
      <c r="B339">
        <v>42</v>
      </c>
      <c r="C339">
        <v>266</v>
      </c>
      <c r="D339" s="21">
        <v>2020</v>
      </c>
      <c r="E339" s="23">
        <v>-2.12</v>
      </c>
      <c r="F339" s="14">
        <f t="shared" si="18"/>
        <v>0.13250000000000001</v>
      </c>
      <c r="G339">
        <v>-16</v>
      </c>
      <c r="H339" s="27">
        <v>0</v>
      </c>
      <c r="I339" s="21">
        <v>1</v>
      </c>
      <c r="J339" s="21">
        <v>9800</v>
      </c>
      <c r="K339" s="21">
        <v>0</v>
      </c>
      <c r="L339" s="21">
        <v>1</v>
      </c>
      <c r="M339" s="21">
        <v>0</v>
      </c>
      <c r="N339" s="21">
        <v>0</v>
      </c>
      <c r="O339" s="21">
        <v>1</v>
      </c>
      <c r="P339">
        <v>0</v>
      </c>
      <c r="Q339" s="21">
        <v>0</v>
      </c>
      <c r="R339" s="21">
        <v>0</v>
      </c>
      <c r="S339" s="21">
        <v>0</v>
      </c>
      <c r="T339" s="21">
        <v>0</v>
      </c>
      <c r="U339" s="21">
        <v>2015</v>
      </c>
      <c r="V339" s="21">
        <v>2015</v>
      </c>
      <c r="W339">
        <f t="shared" si="19"/>
        <v>2015</v>
      </c>
      <c r="X339" s="21">
        <v>1</v>
      </c>
      <c r="Y339" s="21">
        <v>0</v>
      </c>
      <c r="Z339" s="21">
        <v>1</v>
      </c>
      <c r="AA339" s="21">
        <v>0</v>
      </c>
      <c r="AB339" s="21">
        <v>0</v>
      </c>
      <c r="AC339" s="21">
        <v>0</v>
      </c>
      <c r="AD339" s="21">
        <v>0</v>
      </c>
      <c r="AE339" s="21">
        <v>1</v>
      </c>
      <c r="AF339" s="21">
        <v>0</v>
      </c>
      <c r="AG339" s="21">
        <v>0</v>
      </c>
      <c r="AH339" s="21">
        <v>1</v>
      </c>
      <c r="AI339" s="21">
        <v>1</v>
      </c>
      <c r="AJ339" s="21">
        <v>1</v>
      </c>
      <c r="AK339" s="21">
        <v>1</v>
      </c>
      <c r="AL339" s="21">
        <v>1</v>
      </c>
      <c r="AM339" s="21">
        <v>1</v>
      </c>
      <c r="AN339" s="21">
        <v>1</v>
      </c>
      <c r="AO339" s="21">
        <v>1</v>
      </c>
      <c r="AP339" s="21">
        <v>1</v>
      </c>
      <c r="AQ339" s="21">
        <v>1</v>
      </c>
      <c r="AR339" s="21">
        <v>0</v>
      </c>
      <c r="AS339" s="21">
        <v>0</v>
      </c>
      <c r="AT339" s="21">
        <v>1</v>
      </c>
      <c r="AU339" s="21">
        <v>1</v>
      </c>
      <c r="AV339" s="21">
        <v>1</v>
      </c>
      <c r="AW339" s="21">
        <v>1</v>
      </c>
      <c r="AX339" s="21">
        <v>1</v>
      </c>
      <c r="AY339" s="21">
        <v>1</v>
      </c>
      <c r="AZ339" s="21">
        <v>1</v>
      </c>
      <c r="BA339" s="21">
        <v>1</v>
      </c>
      <c r="BB339" s="21">
        <v>1</v>
      </c>
      <c r="BC339" s="21">
        <v>1</v>
      </c>
      <c r="BD339" s="21">
        <v>1</v>
      </c>
      <c r="BE339" s="21">
        <v>0</v>
      </c>
      <c r="BF339" s="21">
        <v>0</v>
      </c>
      <c r="BG339" s="21">
        <v>1</v>
      </c>
      <c r="BH339" s="21">
        <v>0</v>
      </c>
      <c r="BI339" s="21">
        <v>1</v>
      </c>
      <c r="BJ339" s="21">
        <v>0</v>
      </c>
      <c r="BK339" s="21">
        <v>0</v>
      </c>
      <c r="BL339" s="21">
        <v>0</v>
      </c>
      <c r="BM339" s="21">
        <v>1</v>
      </c>
      <c r="BN339" s="21">
        <v>0</v>
      </c>
      <c r="BO339" s="21">
        <v>1</v>
      </c>
      <c r="BP339" s="21">
        <v>0</v>
      </c>
      <c r="BQ339" s="21">
        <v>0</v>
      </c>
      <c r="BR339" s="21">
        <v>0</v>
      </c>
      <c r="BS339" s="21">
        <v>0</v>
      </c>
    </row>
    <row r="340" spans="1:71">
      <c r="A340" s="20" t="s">
        <v>5006</v>
      </c>
      <c r="B340">
        <v>48</v>
      </c>
      <c r="C340">
        <v>329</v>
      </c>
      <c r="D340" s="21">
        <v>2020</v>
      </c>
      <c r="E340" s="23">
        <v>-2.74</v>
      </c>
      <c r="F340">
        <v>0.55000000000000004</v>
      </c>
      <c r="G340" s="14">
        <f>E340/F340</f>
        <v>-4.9818181818181815</v>
      </c>
      <c r="H340" s="27">
        <v>0</v>
      </c>
      <c r="I340" s="21">
        <v>1</v>
      </c>
      <c r="J340" s="21">
        <v>323</v>
      </c>
      <c r="K340" s="21">
        <v>1</v>
      </c>
      <c r="L340" s="21">
        <v>0</v>
      </c>
      <c r="M340" s="21">
        <v>0</v>
      </c>
      <c r="N340" s="21">
        <v>0</v>
      </c>
      <c r="O340" s="21">
        <v>0</v>
      </c>
      <c r="P340">
        <v>0</v>
      </c>
      <c r="Q340" s="21">
        <v>0</v>
      </c>
      <c r="R340" s="21">
        <v>0</v>
      </c>
      <c r="S340" s="21">
        <v>1</v>
      </c>
      <c r="T340" s="21">
        <v>1</v>
      </c>
      <c r="U340" s="21">
        <v>2001</v>
      </c>
      <c r="V340" s="21">
        <v>2017</v>
      </c>
      <c r="W340">
        <f t="shared" si="19"/>
        <v>2009</v>
      </c>
      <c r="X340" s="21">
        <v>1</v>
      </c>
      <c r="Y340" s="21">
        <v>0</v>
      </c>
      <c r="Z340" s="21">
        <v>0</v>
      </c>
      <c r="AA340" s="21">
        <v>0</v>
      </c>
      <c r="AB340" s="21">
        <v>0</v>
      </c>
      <c r="AC340" s="21">
        <v>1</v>
      </c>
      <c r="AD340" s="21">
        <v>0</v>
      </c>
      <c r="AE340" s="21">
        <v>0</v>
      </c>
      <c r="AF340" s="21">
        <v>0</v>
      </c>
      <c r="AG340" s="21">
        <v>0</v>
      </c>
      <c r="AH340" s="21">
        <v>0</v>
      </c>
      <c r="AI340" s="21">
        <v>0</v>
      </c>
      <c r="AJ340" s="21">
        <v>0</v>
      </c>
      <c r="AK340" s="21">
        <v>0</v>
      </c>
      <c r="AL340" s="21">
        <v>0</v>
      </c>
      <c r="AM340" s="21">
        <v>1</v>
      </c>
      <c r="AN340" s="21">
        <v>0</v>
      </c>
      <c r="AO340" s="21">
        <v>0</v>
      </c>
      <c r="AP340" s="21">
        <v>1</v>
      </c>
      <c r="AQ340" s="21">
        <v>1</v>
      </c>
      <c r="AR340" s="21">
        <v>0</v>
      </c>
      <c r="AS340" s="21">
        <v>1</v>
      </c>
      <c r="AT340" s="21">
        <v>1</v>
      </c>
      <c r="AU340" s="21">
        <v>1</v>
      </c>
      <c r="AV340" s="21">
        <v>0</v>
      </c>
      <c r="AW340" s="21">
        <v>1</v>
      </c>
      <c r="AX340" s="21">
        <v>0</v>
      </c>
      <c r="AY340" s="21">
        <v>1</v>
      </c>
      <c r="AZ340" s="21">
        <v>1</v>
      </c>
      <c r="BA340" s="21">
        <v>1</v>
      </c>
      <c r="BB340" s="21">
        <v>1</v>
      </c>
      <c r="BC340" s="21">
        <v>0</v>
      </c>
      <c r="BD340" s="21">
        <v>1</v>
      </c>
      <c r="BE340" s="21">
        <v>0</v>
      </c>
      <c r="BF340" s="21">
        <v>0</v>
      </c>
      <c r="BG340" s="21">
        <v>1</v>
      </c>
      <c r="BH340" s="21">
        <v>0</v>
      </c>
      <c r="BI340" s="21">
        <v>0</v>
      </c>
      <c r="BJ340" s="21">
        <v>0</v>
      </c>
      <c r="BK340" s="21">
        <v>0</v>
      </c>
      <c r="BL340" s="21">
        <v>0</v>
      </c>
      <c r="BM340" s="21">
        <v>0</v>
      </c>
      <c r="BN340" s="21">
        <v>0</v>
      </c>
      <c r="BO340" s="21">
        <v>0</v>
      </c>
      <c r="BP340" s="21">
        <v>0</v>
      </c>
      <c r="BQ340" s="21">
        <v>1</v>
      </c>
      <c r="BR340" s="21">
        <v>0</v>
      </c>
      <c r="BS340" s="21">
        <v>0</v>
      </c>
    </row>
    <row r="341" spans="1:71">
      <c r="A341" s="20" t="s">
        <v>5204</v>
      </c>
      <c r="B341">
        <v>93</v>
      </c>
      <c r="C341">
        <v>565</v>
      </c>
      <c r="D341">
        <v>2020</v>
      </c>
      <c r="E341">
        <v>-1.34</v>
      </c>
      <c r="F341">
        <f t="shared" ref="F341:F354" si="20">E341/G341</f>
        <v>0.47686832740213525</v>
      </c>
      <c r="G341">
        <v>-2.81</v>
      </c>
      <c r="H341" s="27">
        <v>1</v>
      </c>
      <c r="I341">
        <v>1</v>
      </c>
      <c r="J341">
        <v>2651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</v>
      </c>
      <c r="U341">
        <v>2010</v>
      </c>
      <c r="V341">
        <v>2016</v>
      </c>
      <c r="W341">
        <f t="shared" si="19"/>
        <v>2013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 s="21">
        <v>0</v>
      </c>
      <c r="AO341" s="21">
        <v>1</v>
      </c>
      <c r="AP341" s="21">
        <v>0</v>
      </c>
      <c r="AQ341">
        <v>0</v>
      </c>
      <c r="AR341">
        <v>1</v>
      </c>
      <c r="AS341">
        <v>1</v>
      </c>
      <c r="AT341">
        <v>1</v>
      </c>
      <c r="AU341">
        <v>1</v>
      </c>
      <c r="AV341">
        <v>0</v>
      </c>
      <c r="AW341">
        <v>1</v>
      </c>
      <c r="AX341">
        <v>0</v>
      </c>
      <c r="AY341">
        <v>1</v>
      </c>
      <c r="AZ341" s="21">
        <v>1</v>
      </c>
      <c r="BA341" s="21">
        <v>1</v>
      </c>
      <c r="BB341" s="21">
        <v>1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1</v>
      </c>
      <c r="BK341">
        <v>0</v>
      </c>
      <c r="BL341">
        <v>0</v>
      </c>
      <c r="BM341">
        <v>0</v>
      </c>
      <c r="BN341">
        <v>1</v>
      </c>
      <c r="BO341">
        <v>0</v>
      </c>
      <c r="BP341">
        <v>0</v>
      </c>
      <c r="BQ341">
        <v>0</v>
      </c>
      <c r="BR341" s="21">
        <v>0</v>
      </c>
      <c r="BS341" s="21">
        <v>0</v>
      </c>
    </row>
    <row r="342" spans="1:71">
      <c r="A342" s="20" t="s">
        <v>5204</v>
      </c>
      <c r="B342">
        <v>93</v>
      </c>
      <c r="C342">
        <v>566</v>
      </c>
      <c r="D342">
        <v>2020</v>
      </c>
      <c r="E342">
        <v>-1.34</v>
      </c>
      <c r="F342">
        <f t="shared" si="20"/>
        <v>0.47686832740213525</v>
      </c>
      <c r="G342">
        <v>-2.81</v>
      </c>
      <c r="H342" s="27">
        <v>1</v>
      </c>
      <c r="I342">
        <v>1</v>
      </c>
      <c r="J342">
        <v>2651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</v>
      </c>
      <c r="U342">
        <v>2010</v>
      </c>
      <c r="V342">
        <v>2016</v>
      </c>
      <c r="W342">
        <f t="shared" si="19"/>
        <v>2013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  <c r="AN342" s="21">
        <v>0</v>
      </c>
      <c r="AO342" s="21">
        <v>1</v>
      </c>
      <c r="AP342" s="21">
        <v>0</v>
      </c>
      <c r="AQ342">
        <v>0</v>
      </c>
      <c r="AR342">
        <v>1</v>
      </c>
      <c r="AS342">
        <v>1</v>
      </c>
      <c r="AT342">
        <v>1</v>
      </c>
      <c r="AU342">
        <v>1</v>
      </c>
      <c r="AV342">
        <v>0</v>
      </c>
      <c r="AW342">
        <v>1</v>
      </c>
      <c r="AX342">
        <v>0</v>
      </c>
      <c r="AY342">
        <v>1</v>
      </c>
      <c r="AZ342" s="21">
        <v>1</v>
      </c>
      <c r="BA342" s="21">
        <v>1</v>
      </c>
      <c r="BB342" s="21">
        <v>1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1</v>
      </c>
      <c r="BK342">
        <v>0</v>
      </c>
      <c r="BL342">
        <v>0</v>
      </c>
      <c r="BM342">
        <v>0</v>
      </c>
      <c r="BN342">
        <v>1</v>
      </c>
      <c r="BO342">
        <v>0</v>
      </c>
      <c r="BP342">
        <v>0</v>
      </c>
      <c r="BQ342">
        <v>0</v>
      </c>
      <c r="BR342" s="21">
        <v>0</v>
      </c>
      <c r="BS342" s="21">
        <v>0</v>
      </c>
    </row>
    <row r="343" spans="1:71">
      <c r="A343" s="20" t="s">
        <v>5204</v>
      </c>
      <c r="B343">
        <v>93</v>
      </c>
      <c r="C343">
        <v>567</v>
      </c>
      <c r="D343">
        <v>2020</v>
      </c>
      <c r="E343">
        <v>-1.341</v>
      </c>
      <c r="F343">
        <f t="shared" si="20"/>
        <v>0.47722419928825621</v>
      </c>
      <c r="G343">
        <v>-2.81</v>
      </c>
      <c r="H343" s="27">
        <v>1</v>
      </c>
      <c r="I343">
        <v>1</v>
      </c>
      <c r="J343">
        <v>2651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</v>
      </c>
      <c r="U343">
        <v>2010</v>
      </c>
      <c r="V343">
        <v>2016</v>
      </c>
      <c r="W343">
        <f t="shared" si="19"/>
        <v>2013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  <c r="AN343" s="21">
        <v>0</v>
      </c>
      <c r="AO343" s="21">
        <v>1</v>
      </c>
      <c r="AP343" s="21">
        <v>0</v>
      </c>
      <c r="AQ343">
        <v>0</v>
      </c>
      <c r="AR343">
        <v>1</v>
      </c>
      <c r="AS343">
        <v>1</v>
      </c>
      <c r="AT343">
        <v>1</v>
      </c>
      <c r="AU343">
        <v>1</v>
      </c>
      <c r="AV343">
        <v>0</v>
      </c>
      <c r="AW343">
        <v>1</v>
      </c>
      <c r="AX343">
        <v>0</v>
      </c>
      <c r="AY343">
        <v>1</v>
      </c>
      <c r="AZ343" s="21">
        <v>1</v>
      </c>
      <c r="BA343" s="21">
        <v>1</v>
      </c>
      <c r="BB343" s="21">
        <v>1</v>
      </c>
      <c r="BC343">
        <v>0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0</v>
      </c>
      <c r="BJ343">
        <v>1</v>
      </c>
      <c r="BK343">
        <v>0</v>
      </c>
      <c r="BL343">
        <v>0</v>
      </c>
      <c r="BM343">
        <v>0</v>
      </c>
      <c r="BN343">
        <v>1</v>
      </c>
      <c r="BO343">
        <v>0</v>
      </c>
      <c r="BP343">
        <v>0</v>
      </c>
      <c r="BQ343">
        <v>0</v>
      </c>
      <c r="BR343" s="21">
        <v>0</v>
      </c>
      <c r="BS343" s="21">
        <v>0</v>
      </c>
    </row>
    <row r="344" spans="1:71">
      <c r="A344" s="20" t="s">
        <v>5204</v>
      </c>
      <c r="B344">
        <v>93</v>
      </c>
      <c r="C344">
        <v>568</v>
      </c>
      <c r="D344">
        <v>2020</v>
      </c>
      <c r="E344">
        <v>-1.341</v>
      </c>
      <c r="F344">
        <f t="shared" si="20"/>
        <v>0.47722419928825621</v>
      </c>
      <c r="G344">
        <v>-2.81</v>
      </c>
      <c r="H344" s="27">
        <v>1</v>
      </c>
      <c r="I344">
        <v>1</v>
      </c>
      <c r="J344">
        <v>2651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1</v>
      </c>
      <c r="U344">
        <v>2010</v>
      </c>
      <c r="V344">
        <v>2016</v>
      </c>
      <c r="W344">
        <f t="shared" si="19"/>
        <v>2013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</v>
      </c>
      <c r="AN344" s="21">
        <v>0</v>
      </c>
      <c r="AO344" s="21">
        <v>1</v>
      </c>
      <c r="AP344" s="21">
        <v>0</v>
      </c>
      <c r="AQ344">
        <v>0</v>
      </c>
      <c r="AR344">
        <v>1</v>
      </c>
      <c r="AS344">
        <v>1</v>
      </c>
      <c r="AT344">
        <v>1</v>
      </c>
      <c r="AU344">
        <v>1</v>
      </c>
      <c r="AV344">
        <v>0</v>
      </c>
      <c r="AW344">
        <v>1</v>
      </c>
      <c r="AX344">
        <v>0</v>
      </c>
      <c r="AY344">
        <v>1</v>
      </c>
      <c r="AZ344" s="21">
        <v>1</v>
      </c>
      <c r="BA344" s="21">
        <v>1</v>
      </c>
      <c r="BB344" s="21">
        <v>1</v>
      </c>
      <c r="BC344">
        <v>0</v>
      </c>
      <c r="BD344">
        <v>0</v>
      </c>
      <c r="BE344">
        <v>0</v>
      </c>
      <c r="BF344">
        <v>1</v>
      </c>
      <c r="BG344">
        <v>0</v>
      </c>
      <c r="BH344">
        <v>0</v>
      </c>
      <c r="BI344">
        <v>0</v>
      </c>
      <c r="BJ344">
        <v>1</v>
      </c>
      <c r="BK344">
        <v>0</v>
      </c>
      <c r="BL344">
        <v>0</v>
      </c>
      <c r="BM344">
        <v>0</v>
      </c>
      <c r="BN344">
        <v>1</v>
      </c>
      <c r="BO344">
        <v>0</v>
      </c>
      <c r="BP344">
        <v>0</v>
      </c>
      <c r="BQ344">
        <v>0</v>
      </c>
      <c r="BR344" s="21">
        <v>0</v>
      </c>
      <c r="BS344" s="21">
        <v>0</v>
      </c>
    </row>
    <row r="345" spans="1:71">
      <c r="A345" s="20" t="s">
        <v>5204</v>
      </c>
      <c r="B345">
        <v>93</v>
      </c>
      <c r="C345">
        <v>569</v>
      </c>
      <c r="D345">
        <v>2020</v>
      </c>
      <c r="E345">
        <v>-1.3360000000000001</v>
      </c>
      <c r="F345">
        <f t="shared" si="20"/>
        <v>0.47544483985765129</v>
      </c>
      <c r="G345">
        <v>-2.81</v>
      </c>
      <c r="H345" s="27">
        <v>1</v>
      </c>
      <c r="I345">
        <v>1</v>
      </c>
      <c r="J345">
        <v>2651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1</v>
      </c>
      <c r="U345">
        <v>2010</v>
      </c>
      <c r="V345">
        <v>2016</v>
      </c>
      <c r="W345">
        <f t="shared" si="19"/>
        <v>2013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 s="21">
        <v>0</v>
      </c>
      <c r="AO345" s="21">
        <v>1</v>
      </c>
      <c r="AP345" s="21">
        <v>0</v>
      </c>
      <c r="AQ345">
        <v>0</v>
      </c>
      <c r="AR345">
        <v>1</v>
      </c>
      <c r="AS345">
        <v>1</v>
      </c>
      <c r="AT345">
        <v>1</v>
      </c>
      <c r="AU345">
        <v>1</v>
      </c>
      <c r="AV345">
        <v>0</v>
      </c>
      <c r="AW345">
        <v>1</v>
      </c>
      <c r="AX345">
        <v>0</v>
      </c>
      <c r="AY345">
        <v>1</v>
      </c>
      <c r="AZ345" s="21">
        <v>1</v>
      </c>
      <c r="BA345" s="21">
        <v>1</v>
      </c>
      <c r="BB345" s="21">
        <v>1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0</v>
      </c>
      <c r="BJ345">
        <v>1</v>
      </c>
      <c r="BK345">
        <v>0</v>
      </c>
      <c r="BL345">
        <v>0</v>
      </c>
      <c r="BM345">
        <v>0</v>
      </c>
      <c r="BN345">
        <v>1</v>
      </c>
      <c r="BO345">
        <v>0</v>
      </c>
      <c r="BP345">
        <v>0</v>
      </c>
      <c r="BQ345">
        <v>0</v>
      </c>
      <c r="BR345" s="21">
        <v>0</v>
      </c>
      <c r="BS345" s="21">
        <v>0</v>
      </c>
    </row>
    <row r="346" spans="1:71">
      <c r="A346" s="20" t="s">
        <v>5204</v>
      </c>
      <c r="B346">
        <v>93</v>
      </c>
      <c r="C346">
        <v>570</v>
      </c>
      <c r="D346">
        <v>2020</v>
      </c>
      <c r="E346">
        <v>-1.3560000000000001</v>
      </c>
      <c r="F346">
        <f t="shared" si="20"/>
        <v>0.4825622775800712</v>
      </c>
      <c r="G346">
        <v>-2.81</v>
      </c>
      <c r="H346" s="27">
        <v>1</v>
      </c>
      <c r="I346">
        <v>1</v>
      </c>
      <c r="J346">
        <v>2651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1</v>
      </c>
      <c r="U346">
        <v>2010</v>
      </c>
      <c r="V346">
        <v>2016</v>
      </c>
      <c r="W346">
        <f t="shared" si="19"/>
        <v>2013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 s="21">
        <v>0</v>
      </c>
      <c r="AO346" s="21">
        <v>1</v>
      </c>
      <c r="AP346" s="21">
        <v>0</v>
      </c>
      <c r="AQ346">
        <v>0</v>
      </c>
      <c r="AR346">
        <v>1</v>
      </c>
      <c r="AS346">
        <v>1</v>
      </c>
      <c r="AT346">
        <v>1</v>
      </c>
      <c r="AU346">
        <v>1</v>
      </c>
      <c r="AV346">
        <v>0</v>
      </c>
      <c r="AW346">
        <v>1</v>
      </c>
      <c r="AX346">
        <v>0</v>
      </c>
      <c r="AY346">
        <v>1</v>
      </c>
      <c r="AZ346" s="21">
        <v>1</v>
      </c>
      <c r="BA346" s="21">
        <v>1</v>
      </c>
      <c r="BB346" s="21">
        <v>1</v>
      </c>
      <c r="BC346">
        <v>0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1</v>
      </c>
      <c r="BK346">
        <v>0</v>
      </c>
      <c r="BL346">
        <v>0</v>
      </c>
      <c r="BM346">
        <v>0</v>
      </c>
      <c r="BN346">
        <v>1</v>
      </c>
      <c r="BO346">
        <v>0</v>
      </c>
      <c r="BP346">
        <v>0</v>
      </c>
      <c r="BQ346">
        <v>0</v>
      </c>
      <c r="BR346" s="21">
        <v>0</v>
      </c>
      <c r="BS346" s="21">
        <v>0</v>
      </c>
    </row>
    <row r="347" spans="1:71">
      <c r="A347" s="20" t="s">
        <v>5204</v>
      </c>
      <c r="B347">
        <v>93</v>
      </c>
      <c r="C347">
        <v>571</v>
      </c>
      <c r="D347">
        <v>2020</v>
      </c>
      <c r="E347">
        <v>-1.34</v>
      </c>
      <c r="F347">
        <f t="shared" si="20"/>
        <v>0.47686832740213525</v>
      </c>
      <c r="G347">
        <v>-2.81</v>
      </c>
      <c r="H347" s="27">
        <v>1</v>
      </c>
      <c r="I347">
        <v>1</v>
      </c>
      <c r="J347">
        <v>2651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</v>
      </c>
      <c r="U347">
        <v>2010</v>
      </c>
      <c r="V347">
        <v>2016</v>
      </c>
      <c r="W347">
        <f t="shared" si="19"/>
        <v>2013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  <c r="AN347" s="21">
        <v>0</v>
      </c>
      <c r="AO347" s="21">
        <v>1</v>
      </c>
      <c r="AP347" s="21">
        <v>0</v>
      </c>
      <c r="AQ347">
        <v>0</v>
      </c>
      <c r="AR347">
        <v>1</v>
      </c>
      <c r="AS347">
        <v>1</v>
      </c>
      <c r="AT347">
        <v>1</v>
      </c>
      <c r="AU347">
        <v>1</v>
      </c>
      <c r="AV347">
        <v>0</v>
      </c>
      <c r="AW347">
        <v>1</v>
      </c>
      <c r="AX347">
        <v>0</v>
      </c>
      <c r="AY347">
        <v>1</v>
      </c>
      <c r="AZ347" s="21">
        <v>1</v>
      </c>
      <c r="BA347" s="21">
        <v>1</v>
      </c>
      <c r="BB347" s="21">
        <v>1</v>
      </c>
      <c r="BC347">
        <v>0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0</v>
      </c>
      <c r="BJ347">
        <v>1</v>
      </c>
      <c r="BK347">
        <v>0</v>
      </c>
      <c r="BL347">
        <v>0</v>
      </c>
      <c r="BM347">
        <v>0</v>
      </c>
      <c r="BN347">
        <v>1</v>
      </c>
      <c r="BO347">
        <v>0</v>
      </c>
      <c r="BP347">
        <v>0</v>
      </c>
      <c r="BQ347">
        <v>0</v>
      </c>
      <c r="BR347" s="21">
        <v>0</v>
      </c>
      <c r="BS347" s="21">
        <v>0</v>
      </c>
    </row>
    <row r="348" spans="1:71">
      <c r="A348" s="20" t="s">
        <v>5204</v>
      </c>
      <c r="B348">
        <v>93</v>
      </c>
      <c r="C348">
        <v>572</v>
      </c>
      <c r="D348">
        <v>2020</v>
      </c>
      <c r="E348">
        <v>-1.34</v>
      </c>
      <c r="F348">
        <f t="shared" si="20"/>
        <v>0.47686832740213525</v>
      </c>
      <c r="G348">
        <v>-2.81</v>
      </c>
      <c r="H348" s="27">
        <v>1</v>
      </c>
      <c r="I348">
        <v>1</v>
      </c>
      <c r="J348">
        <v>2651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1</v>
      </c>
      <c r="U348">
        <v>2010</v>
      </c>
      <c r="V348">
        <v>2016</v>
      </c>
      <c r="W348">
        <f t="shared" si="19"/>
        <v>2013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</v>
      </c>
      <c r="AN348" s="21">
        <v>0</v>
      </c>
      <c r="AO348" s="21">
        <v>1</v>
      </c>
      <c r="AP348" s="21">
        <v>0</v>
      </c>
      <c r="AQ348">
        <v>0</v>
      </c>
      <c r="AR348">
        <v>1</v>
      </c>
      <c r="AS348">
        <v>1</v>
      </c>
      <c r="AT348">
        <v>1</v>
      </c>
      <c r="AU348">
        <v>1</v>
      </c>
      <c r="AV348">
        <v>0</v>
      </c>
      <c r="AW348">
        <v>1</v>
      </c>
      <c r="AX348">
        <v>0</v>
      </c>
      <c r="AY348">
        <v>1</v>
      </c>
      <c r="AZ348" s="21">
        <v>1</v>
      </c>
      <c r="BA348" s="21">
        <v>1</v>
      </c>
      <c r="BB348" s="21">
        <v>1</v>
      </c>
      <c r="BC348">
        <v>0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1</v>
      </c>
      <c r="BK348">
        <v>0</v>
      </c>
      <c r="BL348">
        <v>0</v>
      </c>
      <c r="BM348">
        <v>0</v>
      </c>
      <c r="BN348">
        <v>1</v>
      </c>
      <c r="BO348">
        <v>0</v>
      </c>
      <c r="BP348">
        <v>0</v>
      </c>
      <c r="BQ348">
        <v>0</v>
      </c>
      <c r="BR348" s="21">
        <v>0</v>
      </c>
      <c r="BS348" s="21">
        <v>0</v>
      </c>
    </row>
    <row r="349" spans="1:71">
      <c r="A349" s="20" t="s">
        <v>4792</v>
      </c>
      <c r="B349">
        <v>99</v>
      </c>
      <c r="C349">
        <v>612</v>
      </c>
      <c r="D349">
        <v>2020</v>
      </c>
      <c r="E349">
        <v>-1.37</v>
      </c>
      <c r="F349">
        <f t="shared" si="20"/>
        <v>0.48754448398576516</v>
      </c>
      <c r="G349">
        <v>-2.81</v>
      </c>
      <c r="H349" s="27">
        <v>1</v>
      </c>
      <c r="I349">
        <v>1</v>
      </c>
      <c r="J349">
        <f>52*52</f>
        <v>2704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2011</v>
      </c>
      <c r="V349">
        <v>2013</v>
      </c>
      <c r="W349">
        <f t="shared" si="19"/>
        <v>2012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0</v>
      </c>
      <c r="AE349">
        <v>0</v>
      </c>
      <c r="AF349">
        <v>1</v>
      </c>
      <c r="AG349">
        <v>1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 s="21">
        <v>0</v>
      </c>
      <c r="AO349" s="21">
        <v>0</v>
      </c>
      <c r="AP349" s="21">
        <v>1</v>
      </c>
      <c r="AQ349">
        <v>0</v>
      </c>
      <c r="AR349">
        <v>0</v>
      </c>
      <c r="AS349">
        <v>0</v>
      </c>
      <c r="AT349">
        <v>1</v>
      </c>
      <c r="AU349">
        <v>0</v>
      </c>
      <c r="AV349">
        <v>0</v>
      </c>
      <c r="AW349">
        <v>0</v>
      </c>
      <c r="AX349">
        <v>0</v>
      </c>
      <c r="AY349">
        <v>0</v>
      </c>
      <c r="AZ349" s="21">
        <v>0</v>
      </c>
      <c r="BA349" s="21">
        <v>0</v>
      </c>
      <c r="BB349" s="21">
        <v>1</v>
      </c>
      <c r="BC349">
        <v>0</v>
      </c>
      <c r="BD349">
        <v>0</v>
      </c>
      <c r="BE349">
        <v>0</v>
      </c>
      <c r="BF349">
        <v>0</v>
      </c>
      <c r="BG349">
        <v>1</v>
      </c>
      <c r="BH349">
        <v>0</v>
      </c>
      <c r="BI349">
        <v>1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 s="21">
        <v>1</v>
      </c>
      <c r="BS349" s="21">
        <v>0</v>
      </c>
    </row>
    <row r="350" spans="1:71">
      <c r="A350" s="20" t="s">
        <v>4792</v>
      </c>
      <c r="B350">
        <v>99</v>
      </c>
      <c r="C350">
        <v>613</v>
      </c>
      <c r="D350">
        <v>2020</v>
      </c>
      <c r="E350">
        <v>-1.34</v>
      </c>
      <c r="F350">
        <f t="shared" si="20"/>
        <v>0.47686832740213525</v>
      </c>
      <c r="G350">
        <v>-2.81</v>
      </c>
      <c r="H350" s="27">
        <v>1</v>
      </c>
      <c r="I350">
        <v>1</v>
      </c>
      <c r="J350">
        <f>52*52</f>
        <v>2704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2011</v>
      </c>
      <c r="V350">
        <v>2013</v>
      </c>
      <c r="W350">
        <f t="shared" si="19"/>
        <v>2012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</v>
      </c>
      <c r="AD350">
        <v>0</v>
      </c>
      <c r="AE350">
        <v>0</v>
      </c>
      <c r="AF350">
        <v>1</v>
      </c>
      <c r="AG350">
        <v>1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 s="21">
        <v>0</v>
      </c>
      <c r="AO350" s="21">
        <v>0</v>
      </c>
      <c r="AP350" s="21">
        <v>1</v>
      </c>
      <c r="AQ350">
        <v>0</v>
      </c>
      <c r="AR350">
        <v>0</v>
      </c>
      <c r="AS350">
        <v>0</v>
      </c>
      <c r="AT350">
        <v>1</v>
      </c>
      <c r="AU350">
        <v>0</v>
      </c>
      <c r="AV350">
        <v>0</v>
      </c>
      <c r="AW350">
        <v>0</v>
      </c>
      <c r="AX350">
        <v>0</v>
      </c>
      <c r="AY350">
        <v>0</v>
      </c>
      <c r="AZ350" s="21">
        <v>0</v>
      </c>
      <c r="BA350" s="21">
        <v>0</v>
      </c>
      <c r="BB350" s="21">
        <v>1</v>
      </c>
      <c r="BC350">
        <v>0</v>
      </c>
      <c r="BD350">
        <v>0</v>
      </c>
      <c r="BE350">
        <v>0</v>
      </c>
      <c r="BF350">
        <v>0</v>
      </c>
      <c r="BG350">
        <v>1</v>
      </c>
      <c r="BH350">
        <v>0</v>
      </c>
      <c r="BI350">
        <v>1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 s="21">
        <v>1</v>
      </c>
      <c r="BS350" s="21">
        <v>0</v>
      </c>
    </row>
    <row r="351" spans="1:71">
      <c r="A351" s="20" t="s">
        <v>5134</v>
      </c>
      <c r="B351">
        <v>115</v>
      </c>
      <c r="C351">
        <v>721</v>
      </c>
      <c r="D351">
        <v>2020</v>
      </c>
      <c r="E351">
        <v>-1.986</v>
      </c>
      <c r="F351">
        <f t="shared" si="20"/>
        <v>0.11506373117033603</v>
      </c>
      <c r="G351">
        <v>-17.260000000000002</v>
      </c>
      <c r="H351" s="27">
        <v>0</v>
      </c>
      <c r="I351">
        <v>1</v>
      </c>
      <c r="J351">
        <v>1158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1</v>
      </c>
      <c r="U351">
        <v>2005</v>
      </c>
      <c r="V351">
        <v>2018</v>
      </c>
      <c r="W351">
        <f t="shared" si="19"/>
        <v>2012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 s="21">
        <v>1</v>
      </c>
      <c r="AO351" s="21">
        <v>0</v>
      </c>
      <c r="AP351" s="21">
        <v>0</v>
      </c>
      <c r="AQ351">
        <v>0</v>
      </c>
      <c r="AR351">
        <v>1</v>
      </c>
      <c r="AS351">
        <v>0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 s="21">
        <v>1</v>
      </c>
      <c r="BA351" s="21">
        <v>1</v>
      </c>
      <c r="BB351" s="21">
        <v>1</v>
      </c>
      <c r="BC351">
        <v>0</v>
      </c>
      <c r="BD351">
        <v>0</v>
      </c>
      <c r="BE351">
        <v>1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 s="21">
        <v>0</v>
      </c>
      <c r="BS351" s="21">
        <v>0</v>
      </c>
    </row>
    <row r="352" spans="1:71">
      <c r="A352" s="20" t="s">
        <v>5134</v>
      </c>
      <c r="B352">
        <v>115</v>
      </c>
      <c r="C352">
        <v>722</v>
      </c>
      <c r="D352">
        <v>2020</v>
      </c>
      <c r="E352">
        <v>-1.5669999999999999</v>
      </c>
      <c r="F352">
        <f t="shared" si="20"/>
        <v>0.21147098515519566</v>
      </c>
      <c r="G352">
        <v>-7.41</v>
      </c>
      <c r="H352" s="27">
        <v>0</v>
      </c>
      <c r="I352">
        <v>1</v>
      </c>
      <c r="J352">
        <v>1158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1</v>
      </c>
      <c r="U352">
        <v>2005</v>
      </c>
      <c r="V352">
        <v>2018</v>
      </c>
      <c r="W352">
        <f t="shared" si="19"/>
        <v>2012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 s="21">
        <v>1</v>
      </c>
      <c r="AO352" s="21">
        <v>0</v>
      </c>
      <c r="AP352" s="21">
        <v>0</v>
      </c>
      <c r="AQ352">
        <v>0</v>
      </c>
      <c r="AR352">
        <v>1</v>
      </c>
      <c r="AS352">
        <v>0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 s="21">
        <v>1</v>
      </c>
      <c r="BA352" s="21">
        <v>1</v>
      </c>
      <c r="BB352" s="21">
        <v>1</v>
      </c>
      <c r="BC352">
        <v>0</v>
      </c>
      <c r="BD352">
        <v>0</v>
      </c>
      <c r="BE352">
        <v>1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 s="21">
        <v>0</v>
      </c>
      <c r="BS352" s="21">
        <v>0</v>
      </c>
    </row>
    <row r="353" spans="1:71">
      <c r="A353" s="20" t="s">
        <v>5134</v>
      </c>
      <c r="B353">
        <v>115</v>
      </c>
      <c r="C353">
        <v>723</v>
      </c>
      <c r="D353">
        <v>2020</v>
      </c>
      <c r="E353">
        <v>-2.1150000000000002</v>
      </c>
      <c r="F353">
        <f t="shared" si="20"/>
        <v>0.12951622780159219</v>
      </c>
      <c r="G353">
        <v>-16.329999999999998</v>
      </c>
      <c r="H353" s="27">
        <v>0</v>
      </c>
      <c r="I353">
        <v>1</v>
      </c>
      <c r="J353">
        <v>1158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1</v>
      </c>
      <c r="U353">
        <v>2005</v>
      </c>
      <c r="V353">
        <v>2018</v>
      </c>
      <c r="W353">
        <f t="shared" si="19"/>
        <v>2012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 s="21">
        <v>1</v>
      </c>
      <c r="AO353" s="21">
        <v>0</v>
      </c>
      <c r="AP353" s="21">
        <v>0</v>
      </c>
      <c r="AQ353">
        <v>0</v>
      </c>
      <c r="AR353">
        <v>1</v>
      </c>
      <c r="AS353">
        <v>0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 s="21">
        <v>1</v>
      </c>
      <c r="BA353" s="21">
        <v>1</v>
      </c>
      <c r="BB353" s="21">
        <v>1</v>
      </c>
      <c r="BC353">
        <v>0</v>
      </c>
      <c r="BD353">
        <v>0</v>
      </c>
      <c r="BE353">
        <v>1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 s="21">
        <v>0</v>
      </c>
      <c r="BS353" s="21">
        <v>0</v>
      </c>
    </row>
    <row r="354" spans="1:71">
      <c r="A354" s="20" t="s">
        <v>5134</v>
      </c>
      <c r="B354">
        <v>115</v>
      </c>
      <c r="C354">
        <v>724</v>
      </c>
      <c r="D354">
        <v>2020</v>
      </c>
      <c r="E354">
        <v>-2.3650000000000002</v>
      </c>
      <c r="F354">
        <f t="shared" si="20"/>
        <v>0.12680965147453085</v>
      </c>
      <c r="G354">
        <v>-18.649999999999999</v>
      </c>
      <c r="H354" s="27">
        <v>0</v>
      </c>
      <c r="I354">
        <v>1</v>
      </c>
      <c r="J354">
        <v>5432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1</v>
      </c>
      <c r="R354">
        <v>0</v>
      </c>
      <c r="S354">
        <v>0</v>
      </c>
      <c r="T354">
        <v>1</v>
      </c>
      <c r="U354">
        <v>2005</v>
      </c>
      <c r="V354">
        <v>2018</v>
      </c>
      <c r="W354">
        <f t="shared" si="19"/>
        <v>2012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 s="21">
        <v>1</v>
      </c>
      <c r="AO354" s="21">
        <v>0</v>
      </c>
      <c r="AP354" s="21">
        <v>0</v>
      </c>
      <c r="AQ354">
        <v>0</v>
      </c>
      <c r="AR354">
        <v>1</v>
      </c>
      <c r="AS354">
        <v>0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 s="21">
        <v>1</v>
      </c>
      <c r="BA354" s="21">
        <v>1</v>
      </c>
      <c r="BB354" s="21">
        <v>1</v>
      </c>
      <c r="BC354">
        <v>0</v>
      </c>
      <c r="BD354">
        <v>0</v>
      </c>
      <c r="BE354">
        <v>1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 s="21">
        <v>0</v>
      </c>
      <c r="BS354" s="21">
        <v>0</v>
      </c>
    </row>
    <row r="355" spans="1:71">
      <c r="A355" s="45" t="s">
        <v>4785</v>
      </c>
      <c r="B355">
        <v>2</v>
      </c>
      <c r="C355">
        <v>5</v>
      </c>
      <c r="D355">
        <v>2019</v>
      </c>
      <c r="E355" s="14">
        <v>-0.49</v>
      </c>
      <c r="F355" s="14">
        <v>0.05</v>
      </c>
      <c r="G355" s="14">
        <f t="shared" ref="G355:G364" si="21">E355/F355</f>
        <v>-9.7999999999999989</v>
      </c>
      <c r="H355" s="27">
        <v>0</v>
      </c>
      <c r="I355">
        <v>1</v>
      </c>
      <c r="J355">
        <v>11520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1</v>
      </c>
      <c r="U355">
        <v>1999</v>
      </c>
      <c r="V355">
        <v>2010</v>
      </c>
      <c r="W355">
        <f t="shared" si="19"/>
        <v>2005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1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</v>
      </c>
      <c r="AQ355">
        <v>1</v>
      </c>
      <c r="AR355">
        <v>0</v>
      </c>
      <c r="AS355">
        <v>1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1</v>
      </c>
      <c r="BB355">
        <v>1</v>
      </c>
      <c r="BC355">
        <v>0</v>
      </c>
      <c r="BD355">
        <v>0</v>
      </c>
      <c r="BE355">
        <v>0</v>
      </c>
      <c r="BF355">
        <v>1</v>
      </c>
      <c r="BG355">
        <v>0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</row>
    <row r="356" spans="1:71">
      <c r="A356" s="45" t="s">
        <v>4785</v>
      </c>
      <c r="B356">
        <v>2</v>
      </c>
      <c r="C356">
        <v>6</v>
      </c>
      <c r="D356">
        <v>2019</v>
      </c>
      <c r="E356" s="14">
        <v>-0.5</v>
      </c>
      <c r="F356" s="14">
        <v>0.05</v>
      </c>
      <c r="G356" s="14">
        <f t="shared" si="21"/>
        <v>-10</v>
      </c>
      <c r="H356" s="27">
        <v>0</v>
      </c>
      <c r="I356">
        <v>1</v>
      </c>
      <c r="J356">
        <v>11520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1999</v>
      </c>
      <c r="V356">
        <v>2010</v>
      </c>
      <c r="W356">
        <f t="shared" si="19"/>
        <v>2005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1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  <c r="AQ356">
        <v>1</v>
      </c>
      <c r="AR356">
        <v>0</v>
      </c>
      <c r="AS356">
        <v>1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1</v>
      </c>
      <c r="BB356">
        <v>1</v>
      </c>
      <c r="BC356">
        <v>0</v>
      </c>
      <c r="BD356">
        <v>0</v>
      </c>
      <c r="BE356">
        <v>0</v>
      </c>
      <c r="BF356">
        <v>1</v>
      </c>
      <c r="BG356">
        <v>0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</row>
    <row r="357" spans="1:71">
      <c r="A357" s="45" t="s">
        <v>4785</v>
      </c>
      <c r="B357">
        <v>2</v>
      </c>
      <c r="C357">
        <v>7</v>
      </c>
      <c r="D357">
        <v>2019</v>
      </c>
      <c r="E357" s="14">
        <v>-0.38</v>
      </c>
      <c r="F357" s="14">
        <v>0.03</v>
      </c>
      <c r="G357" s="14">
        <f t="shared" si="21"/>
        <v>-12.666666666666668</v>
      </c>
      <c r="H357" s="27">
        <v>0</v>
      </c>
      <c r="I357">
        <v>1</v>
      </c>
      <c r="J357">
        <v>11520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1</v>
      </c>
      <c r="U357">
        <v>1999</v>
      </c>
      <c r="V357">
        <v>2010</v>
      </c>
      <c r="W357">
        <f t="shared" si="19"/>
        <v>2005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1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  <c r="AQ357">
        <v>1</v>
      </c>
      <c r="AR357">
        <v>0</v>
      </c>
      <c r="AS357">
        <v>1</v>
      </c>
      <c r="AT357">
        <v>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</v>
      </c>
      <c r="BB357">
        <v>1</v>
      </c>
      <c r="BC357">
        <v>0</v>
      </c>
      <c r="BD357">
        <v>0</v>
      </c>
      <c r="BE357">
        <v>0</v>
      </c>
      <c r="BF357">
        <v>1</v>
      </c>
      <c r="BG357">
        <v>0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</row>
    <row r="358" spans="1:71">
      <c r="A358" s="45" t="s">
        <v>4785</v>
      </c>
      <c r="B358">
        <v>2</v>
      </c>
      <c r="C358">
        <v>8</v>
      </c>
      <c r="D358">
        <v>2019</v>
      </c>
      <c r="E358" s="14">
        <v>-0.42</v>
      </c>
      <c r="F358" s="14">
        <v>0.03</v>
      </c>
      <c r="G358" s="14">
        <f t="shared" si="21"/>
        <v>-14</v>
      </c>
      <c r="H358" s="27">
        <v>0</v>
      </c>
      <c r="I358">
        <v>1</v>
      </c>
      <c r="J358">
        <v>11520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1</v>
      </c>
      <c r="U358">
        <v>1999</v>
      </c>
      <c r="V358">
        <v>2010</v>
      </c>
      <c r="W358">
        <f t="shared" si="19"/>
        <v>2005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1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1</v>
      </c>
      <c r="AQ358">
        <v>1</v>
      </c>
      <c r="AR358">
        <v>0</v>
      </c>
      <c r="AS358">
        <v>1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1</v>
      </c>
      <c r="BB358">
        <v>1</v>
      </c>
      <c r="BC358">
        <v>0</v>
      </c>
      <c r="BD358">
        <v>0</v>
      </c>
      <c r="BE358">
        <v>0</v>
      </c>
      <c r="BF358">
        <v>1</v>
      </c>
      <c r="BG358">
        <v>0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</row>
    <row r="359" spans="1:71">
      <c r="A359" s="50" t="s">
        <v>4785</v>
      </c>
      <c r="B359">
        <v>2</v>
      </c>
      <c r="C359">
        <v>9</v>
      </c>
      <c r="D359">
        <v>2019</v>
      </c>
      <c r="E359" s="14">
        <v>-0.36</v>
      </c>
      <c r="F359" s="14">
        <v>0.06</v>
      </c>
      <c r="G359" s="14">
        <f t="shared" si="21"/>
        <v>-6</v>
      </c>
      <c r="H359" s="27">
        <v>0</v>
      </c>
      <c r="I359">
        <v>0</v>
      </c>
      <c r="J359">
        <v>11520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1</v>
      </c>
      <c r="U359">
        <v>1999</v>
      </c>
      <c r="V359">
        <v>2010</v>
      </c>
      <c r="W359">
        <f t="shared" si="19"/>
        <v>2005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1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1</v>
      </c>
      <c r="AR359">
        <v>0</v>
      </c>
      <c r="AS359">
        <v>1</v>
      </c>
      <c r="AT359">
        <v>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1</v>
      </c>
      <c r="BB359">
        <v>1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1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</row>
    <row r="360" spans="1:71">
      <c r="A360" s="50" t="s">
        <v>4785</v>
      </c>
      <c r="B360">
        <v>2</v>
      </c>
      <c r="C360">
        <v>10</v>
      </c>
      <c r="D360">
        <v>2019</v>
      </c>
      <c r="E360" s="14">
        <v>-0.36</v>
      </c>
      <c r="F360" s="14">
        <v>0.06</v>
      </c>
      <c r="G360" s="14">
        <f t="shared" si="21"/>
        <v>-6</v>
      </c>
      <c r="H360" s="27">
        <v>0</v>
      </c>
      <c r="I360">
        <v>0</v>
      </c>
      <c r="J360">
        <v>11520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1999</v>
      </c>
      <c r="V360">
        <v>2010</v>
      </c>
      <c r="W360">
        <f t="shared" si="19"/>
        <v>2005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1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</v>
      </c>
      <c r="AQ360">
        <v>1</v>
      </c>
      <c r="AR360">
        <v>0</v>
      </c>
      <c r="AS360">
        <v>1</v>
      </c>
      <c r="AT360">
        <v>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1</v>
      </c>
      <c r="BC360">
        <v>0</v>
      </c>
      <c r="BD360">
        <v>0</v>
      </c>
      <c r="BE360">
        <v>0</v>
      </c>
      <c r="BF360">
        <v>1</v>
      </c>
      <c r="BG360">
        <v>0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</row>
    <row r="361" spans="1:71">
      <c r="A361" s="50" t="s">
        <v>4785</v>
      </c>
      <c r="B361">
        <v>2</v>
      </c>
      <c r="C361">
        <v>11</v>
      </c>
      <c r="D361">
        <v>2019</v>
      </c>
      <c r="E361" s="14">
        <v>-0.26</v>
      </c>
      <c r="F361" s="14">
        <v>0.04</v>
      </c>
      <c r="G361" s="14">
        <f t="shared" si="21"/>
        <v>-6.5</v>
      </c>
      <c r="H361" s="27">
        <v>0</v>
      </c>
      <c r="I361">
        <v>0</v>
      </c>
      <c r="J361">
        <v>11520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1999</v>
      </c>
      <c r="V361">
        <v>2010</v>
      </c>
      <c r="W361">
        <f t="shared" si="19"/>
        <v>2005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1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1</v>
      </c>
      <c r="AR361">
        <v>0</v>
      </c>
      <c r="AS361">
        <v>1</v>
      </c>
      <c r="AT361">
        <v>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</v>
      </c>
      <c r="BB361">
        <v>1</v>
      </c>
      <c r="BC361">
        <v>0</v>
      </c>
      <c r="BD361">
        <v>0</v>
      </c>
      <c r="BE361">
        <v>0</v>
      </c>
      <c r="BF361">
        <v>1</v>
      </c>
      <c r="BG361">
        <v>0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</row>
    <row r="362" spans="1:71">
      <c r="A362" t="s">
        <v>4785</v>
      </c>
      <c r="B362">
        <v>2</v>
      </c>
      <c r="C362">
        <v>12</v>
      </c>
      <c r="D362">
        <v>2019</v>
      </c>
      <c r="E362" s="14">
        <v>-0.28999999999999998</v>
      </c>
      <c r="F362" s="14">
        <v>0.04</v>
      </c>
      <c r="G362" s="14">
        <f t="shared" si="21"/>
        <v>-7.2499999999999991</v>
      </c>
      <c r="H362" s="27">
        <v>0</v>
      </c>
      <c r="I362">
        <v>0</v>
      </c>
      <c r="J362">
        <v>11520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1999</v>
      </c>
      <c r="V362">
        <v>2010</v>
      </c>
      <c r="W362">
        <f t="shared" si="19"/>
        <v>2005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1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</v>
      </c>
      <c r="AQ362">
        <v>1</v>
      </c>
      <c r="AR362">
        <v>0</v>
      </c>
      <c r="AS362">
        <v>1</v>
      </c>
      <c r="AT362">
        <v>1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1</v>
      </c>
      <c r="BB362">
        <v>1</v>
      </c>
      <c r="BC362">
        <v>0</v>
      </c>
      <c r="BD362">
        <v>0</v>
      </c>
      <c r="BE362">
        <v>0</v>
      </c>
      <c r="BF362">
        <v>1</v>
      </c>
      <c r="BG362">
        <v>0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</row>
    <row r="363" spans="1:71">
      <c r="A363" s="1" t="s">
        <v>5241</v>
      </c>
      <c r="B363">
        <v>13</v>
      </c>
      <c r="C363">
        <v>72</v>
      </c>
      <c r="D363">
        <v>2019</v>
      </c>
      <c r="E363" s="14">
        <v>-1.51</v>
      </c>
      <c r="F363" s="14">
        <v>0.05</v>
      </c>
      <c r="G363" s="14">
        <f t="shared" si="21"/>
        <v>-30.2</v>
      </c>
      <c r="H363" s="27">
        <v>0</v>
      </c>
      <c r="I363">
        <v>1</v>
      </c>
      <c r="J363">
        <v>15377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1</v>
      </c>
      <c r="U363">
        <v>1995</v>
      </c>
      <c r="V363">
        <v>2008</v>
      </c>
      <c r="W363">
        <f t="shared" si="19"/>
        <v>2002</v>
      </c>
      <c r="X363">
        <v>1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0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1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</row>
    <row r="364" spans="1:71">
      <c r="A364" s="1" t="s">
        <v>5241</v>
      </c>
      <c r="B364">
        <v>13</v>
      </c>
      <c r="C364">
        <v>73</v>
      </c>
      <c r="D364">
        <v>2019</v>
      </c>
      <c r="E364" s="14">
        <v>-1.54</v>
      </c>
      <c r="F364" s="14">
        <v>0.05</v>
      </c>
      <c r="G364" s="14">
        <f t="shared" si="21"/>
        <v>-30.8</v>
      </c>
      <c r="H364" s="27">
        <v>0</v>
      </c>
      <c r="I364">
        <v>1</v>
      </c>
      <c r="J364">
        <v>15377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1995</v>
      </c>
      <c r="V364">
        <v>2008</v>
      </c>
      <c r="W364">
        <f t="shared" si="19"/>
        <v>2002</v>
      </c>
      <c r="X364">
        <v>1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0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1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</row>
    <row r="365" spans="1:71">
      <c r="A365" s="18" t="s">
        <v>4834</v>
      </c>
      <c r="B365">
        <v>14</v>
      </c>
      <c r="C365">
        <v>74</v>
      </c>
      <c r="D365">
        <v>2019</v>
      </c>
      <c r="E365" s="14">
        <v>-0.96</v>
      </c>
      <c r="F365" s="14">
        <f t="shared" ref="F365:F376" si="22">E365/G365</f>
        <v>0.10073452256033578</v>
      </c>
      <c r="G365" s="14">
        <v>-9.5299999999999994</v>
      </c>
      <c r="H365" s="27">
        <v>0</v>
      </c>
      <c r="I365">
        <v>1</v>
      </c>
      <c r="J365">
        <v>167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2001</v>
      </c>
      <c r="V365">
        <v>2013</v>
      </c>
      <c r="W365">
        <f t="shared" si="19"/>
        <v>2007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1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0</v>
      </c>
      <c r="AO365">
        <v>1</v>
      </c>
      <c r="AP365">
        <v>0</v>
      </c>
      <c r="AQ365">
        <v>0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1</v>
      </c>
      <c r="AZ365">
        <v>0</v>
      </c>
      <c r="BA365">
        <v>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</row>
    <row r="366" spans="1:71">
      <c r="A366" s="18" t="s">
        <v>4834</v>
      </c>
      <c r="B366">
        <v>14</v>
      </c>
      <c r="C366">
        <v>75</v>
      </c>
      <c r="D366">
        <v>2019</v>
      </c>
      <c r="E366" s="14">
        <v>-0.44</v>
      </c>
      <c r="F366" s="14">
        <f t="shared" si="22"/>
        <v>0.1075794621026895</v>
      </c>
      <c r="G366" s="14">
        <v>-4.09</v>
      </c>
      <c r="H366" s="27">
        <v>0</v>
      </c>
      <c r="I366">
        <v>1</v>
      </c>
      <c r="J366">
        <v>167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2001</v>
      </c>
      <c r="V366">
        <v>2013</v>
      </c>
      <c r="W366">
        <f t="shared" si="19"/>
        <v>2007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0</v>
      </c>
      <c r="AO366">
        <v>1</v>
      </c>
      <c r="AP366">
        <v>0</v>
      </c>
      <c r="AQ366">
        <v>0</v>
      </c>
      <c r="AR366">
        <v>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0</v>
      </c>
      <c r="BA366">
        <v>1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1</v>
      </c>
      <c r="BO366">
        <v>0</v>
      </c>
      <c r="BP366">
        <v>0</v>
      </c>
      <c r="BQ366">
        <v>0</v>
      </c>
      <c r="BR366">
        <v>0</v>
      </c>
      <c r="BS366">
        <v>0</v>
      </c>
    </row>
    <row r="367" spans="1:71">
      <c r="A367" s="1" t="s">
        <v>4834</v>
      </c>
      <c r="B367">
        <v>14</v>
      </c>
      <c r="C367">
        <v>76</v>
      </c>
      <c r="D367">
        <v>2019</v>
      </c>
      <c r="E367" s="14">
        <v>-0.36</v>
      </c>
      <c r="F367" s="14">
        <f t="shared" si="22"/>
        <v>8.4507042253521125E-2</v>
      </c>
      <c r="G367" s="14">
        <v>-4.26</v>
      </c>
      <c r="H367" s="27">
        <v>0</v>
      </c>
      <c r="I367">
        <v>1</v>
      </c>
      <c r="J367">
        <v>167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2001</v>
      </c>
      <c r="V367">
        <v>2013</v>
      </c>
      <c r="W367">
        <f t="shared" si="19"/>
        <v>2007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1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</v>
      </c>
      <c r="AO367">
        <v>1</v>
      </c>
      <c r="AP367">
        <v>0</v>
      </c>
      <c r="AQ367">
        <v>0</v>
      </c>
      <c r="AR367">
        <v>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0</v>
      </c>
      <c r="BA367">
        <v>1</v>
      </c>
      <c r="BB367">
        <v>0</v>
      </c>
      <c r="BC367">
        <v>0</v>
      </c>
      <c r="BD367">
        <v>0</v>
      </c>
      <c r="BE367">
        <v>0</v>
      </c>
      <c r="BF367">
        <v>1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1</v>
      </c>
      <c r="BO367">
        <v>0</v>
      </c>
      <c r="BP367">
        <v>0</v>
      </c>
      <c r="BQ367">
        <v>0</v>
      </c>
      <c r="BR367">
        <v>0</v>
      </c>
      <c r="BS367">
        <v>0</v>
      </c>
    </row>
    <row r="368" spans="1:71">
      <c r="A368" s="1" t="s">
        <v>4834</v>
      </c>
      <c r="B368">
        <v>14</v>
      </c>
      <c r="C368">
        <v>77</v>
      </c>
      <c r="D368">
        <v>2019</v>
      </c>
      <c r="E368" s="14">
        <v>-1.04</v>
      </c>
      <c r="F368" s="14">
        <f t="shared" si="22"/>
        <v>0.32098765432098764</v>
      </c>
      <c r="G368" s="14">
        <v>-3.24</v>
      </c>
      <c r="H368" s="27">
        <v>0</v>
      </c>
      <c r="I368">
        <v>1</v>
      </c>
      <c r="J368">
        <v>167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2001</v>
      </c>
      <c r="V368">
        <v>2013</v>
      </c>
      <c r="W368">
        <f t="shared" si="19"/>
        <v>2007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0</v>
      </c>
      <c r="AO368">
        <v>1</v>
      </c>
      <c r="AP368">
        <v>0</v>
      </c>
      <c r="AQ368">
        <v>0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</v>
      </c>
      <c r="AZ368">
        <v>0</v>
      </c>
      <c r="BA368">
        <v>1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</row>
    <row r="369" spans="1:71">
      <c r="A369" s="1" t="s">
        <v>4834</v>
      </c>
      <c r="B369">
        <v>14</v>
      </c>
      <c r="C369">
        <v>78</v>
      </c>
      <c r="D369">
        <v>2019</v>
      </c>
      <c r="E369" s="14">
        <v>-0.73</v>
      </c>
      <c r="F369" s="14">
        <f t="shared" si="22"/>
        <v>0.23856209150326796</v>
      </c>
      <c r="G369" s="14">
        <v>-3.06</v>
      </c>
      <c r="H369" s="27">
        <v>0</v>
      </c>
      <c r="I369">
        <v>1</v>
      </c>
      <c r="J369">
        <v>167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2001</v>
      </c>
      <c r="V369">
        <v>2013</v>
      </c>
      <c r="W369">
        <f t="shared" si="19"/>
        <v>2007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1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1</v>
      </c>
      <c r="AP369">
        <v>0</v>
      </c>
      <c r="AQ369">
        <v>0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</v>
      </c>
      <c r="AZ369">
        <v>0</v>
      </c>
      <c r="BA369">
        <v>1</v>
      </c>
      <c r="BB369">
        <v>0</v>
      </c>
      <c r="BC369">
        <v>0</v>
      </c>
      <c r="BD369">
        <v>0</v>
      </c>
      <c r="BE369">
        <v>0</v>
      </c>
      <c r="BF369">
        <v>1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1</v>
      </c>
      <c r="BO369">
        <v>0</v>
      </c>
      <c r="BP369">
        <v>0</v>
      </c>
      <c r="BQ369">
        <v>0</v>
      </c>
      <c r="BR369">
        <v>0</v>
      </c>
      <c r="BS369">
        <v>0</v>
      </c>
    </row>
    <row r="370" spans="1:71">
      <c r="A370" s="1" t="s">
        <v>4834</v>
      </c>
      <c r="B370">
        <v>14</v>
      </c>
      <c r="C370">
        <v>79</v>
      </c>
      <c r="D370">
        <v>2019</v>
      </c>
      <c r="E370" s="14">
        <v>-0.56000000000000005</v>
      </c>
      <c r="F370" s="14">
        <f t="shared" si="22"/>
        <v>0.23045267489711935</v>
      </c>
      <c r="G370" s="14">
        <v>-2.4300000000000002</v>
      </c>
      <c r="H370" s="27">
        <v>0</v>
      </c>
      <c r="I370">
        <v>1</v>
      </c>
      <c r="J370">
        <v>167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2001</v>
      </c>
      <c r="V370">
        <v>2013</v>
      </c>
      <c r="W370">
        <f t="shared" si="19"/>
        <v>2007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1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1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</v>
      </c>
      <c r="AZ370">
        <v>0</v>
      </c>
      <c r="BA370">
        <v>1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1</v>
      </c>
      <c r="BO370">
        <v>0</v>
      </c>
      <c r="BP370">
        <v>0</v>
      </c>
      <c r="BQ370">
        <v>0</v>
      </c>
      <c r="BR370">
        <v>0</v>
      </c>
      <c r="BS370">
        <v>0</v>
      </c>
    </row>
    <row r="371" spans="1:71">
      <c r="A371" s="1" t="s">
        <v>4834</v>
      </c>
      <c r="B371">
        <v>14</v>
      </c>
      <c r="C371">
        <v>80</v>
      </c>
      <c r="D371">
        <v>2019</v>
      </c>
      <c r="E371" s="14">
        <v>-0.46</v>
      </c>
      <c r="F371" s="14">
        <f t="shared" si="22"/>
        <v>8.6142322097378279E-2</v>
      </c>
      <c r="G371" s="14">
        <v>-5.34</v>
      </c>
      <c r="H371" s="27">
        <v>0</v>
      </c>
      <c r="I371">
        <v>1</v>
      </c>
      <c r="J371">
        <v>167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2001</v>
      </c>
      <c r="V371">
        <v>2013</v>
      </c>
      <c r="W371">
        <f t="shared" si="19"/>
        <v>2007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1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</v>
      </c>
      <c r="AO371">
        <v>1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1</v>
      </c>
      <c r="AZ371">
        <v>0</v>
      </c>
      <c r="BA371">
        <v>1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</row>
    <row r="372" spans="1:71">
      <c r="A372" s="18" t="s">
        <v>4834</v>
      </c>
      <c r="B372">
        <v>14</v>
      </c>
      <c r="C372">
        <v>81</v>
      </c>
      <c r="D372">
        <v>2019</v>
      </c>
      <c r="E372" s="14">
        <v>-0.5</v>
      </c>
      <c r="F372" s="14">
        <f t="shared" si="22"/>
        <v>7.598784194528875E-2</v>
      </c>
      <c r="G372" s="14">
        <v>-6.58</v>
      </c>
      <c r="H372" s="27">
        <v>0</v>
      </c>
      <c r="I372">
        <v>1</v>
      </c>
      <c r="J372">
        <v>167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2001</v>
      </c>
      <c r="V372">
        <v>2013</v>
      </c>
      <c r="W372">
        <f t="shared" si="19"/>
        <v>2007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1</v>
      </c>
      <c r="AP372">
        <v>0</v>
      </c>
      <c r="AQ372">
        <v>0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</v>
      </c>
      <c r="AZ372">
        <v>0</v>
      </c>
      <c r="BA372">
        <v>1</v>
      </c>
      <c r="BB372">
        <v>0</v>
      </c>
      <c r="BC372">
        <v>0</v>
      </c>
      <c r="BD372">
        <v>0</v>
      </c>
      <c r="BE372">
        <v>0</v>
      </c>
      <c r="BF372">
        <v>1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1</v>
      </c>
      <c r="BO372">
        <v>0</v>
      </c>
      <c r="BP372">
        <v>0</v>
      </c>
      <c r="BQ372">
        <v>0</v>
      </c>
      <c r="BR372">
        <v>0</v>
      </c>
      <c r="BS372">
        <v>0</v>
      </c>
    </row>
    <row r="373" spans="1:71">
      <c r="A373" s="18" t="s">
        <v>4834</v>
      </c>
      <c r="B373">
        <v>14</v>
      </c>
      <c r="C373">
        <v>82</v>
      </c>
      <c r="D373">
        <v>2019</v>
      </c>
      <c r="E373" s="14">
        <v>-0.54</v>
      </c>
      <c r="F373" s="14">
        <f t="shared" si="22"/>
        <v>9.0301003344481601E-2</v>
      </c>
      <c r="G373" s="14">
        <v>-5.98</v>
      </c>
      <c r="H373" s="27">
        <v>0</v>
      </c>
      <c r="I373">
        <v>1</v>
      </c>
      <c r="J373">
        <v>167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2001</v>
      </c>
      <c r="V373">
        <v>2013</v>
      </c>
      <c r="W373">
        <f t="shared" si="19"/>
        <v>2007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1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0</v>
      </c>
      <c r="AO373">
        <v>1</v>
      </c>
      <c r="AP373">
        <v>0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</v>
      </c>
      <c r="AZ373">
        <v>0</v>
      </c>
      <c r="BA373">
        <v>1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1</v>
      </c>
      <c r="BO373">
        <v>0</v>
      </c>
      <c r="BP373">
        <v>0</v>
      </c>
      <c r="BQ373">
        <v>0</v>
      </c>
      <c r="BR373">
        <v>0</v>
      </c>
      <c r="BS373">
        <v>0</v>
      </c>
    </row>
    <row r="374" spans="1:71">
      <c r="A374" s="18" t="s">
        <v>4834</v>
      </c>
      <c r="B374">
        <v>14</v>
      </c>
      <c r="C374">
        <v>83</v>
      </c>
      <c r="D374">
        <v>2019</v>
      </c>
      <c r="E374" s="14">
        <v>-0.36</v>
      </c>
      <c r="F374" s="14">
        <f t="shared" si="22"/>
        <v>0.18274111675126903</v>
      </c>
      <c r="G374" s="14">
        <v>-1.97</v>
      </c>
      <c r="H374" s="27">
        <v>0</v>
      </c>
      <c r="I374">
        <v>1</v>
      </c>
      <c r="J374">
        <v>167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1</v>
      </c>
      <c r="U374">
        <v>2001</v>
      </c>
      <c r="V374">
        <v>2013</v>
      </c>
      <c r="W374">
        <f t="shared" si="19"/>
        <v>2007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1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1</v>
      </c>
      <c r="AP374">
        <v>0</v>
      </c>
      <c r="AQ374">
        <v>0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0</v>
      </c>
      <c r="BA374">
        <v>1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</row>
    <row r="375" spans="1:71">
      <c r="A375" s="18" t="s">
        <v>4834</v>
      </c>
      <c r="B375">
        <v>14</v>
      </c>
      <c r="C375">
        <v>84</v>
      </c>
      <c r="D375">
        <v>2019</v>
      </c>
      <c r="E375" s="14">
        <v>-0.4</v>
      </c>
      <c r="F375" s="14">
        <f t="shared" si="22"/>
        <v>0.14035087719298245</v>
      </c>
      <c r="G375" s="14">
        <v>-2.85</v>
      </c>
      <c r="H375" s="27">
        <v>0</v>
      </c>
      <c r="I375">
        <v>1</v>
      </c>
      <c r="J375">
        <v>167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1</v>
      </c>
      <c r="U375">
        <v>2001</v>
      </c>
      <c r="V375">
        <v>2013</v>
      </c>
      <c r="W375">
        <f t="shared" si="19"/>
        <v>2007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1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1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1</v>
      </c>
      <c r="AZ375">
        <v>0</v>
      </c>
      <c r="BA375">
        <v>1</v>
      </c>
      <c r="BB375">
        <v>0</v>
      </c>
      <c r="BC375">
        <v>0</v>
      </c>
      <c r="BD375">
        <v>0</v>
      </c>
      <c r="BE375">
        <v>0</v>
      </c>
      <c r="BF375">
        <v>1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1</v>
      </c>
      <c r="BO375">
        <v>0</v>
      </c>
      <c r="BP375">
        <v>0</v>
      </c>
      <c r="BQ375">
        <v>0</v>
      </c>
      <c r="BR375">
        <v>0</v>
      </c>
      <c r="BS375">
        <v>0</v>
      </c>
    </row>
    <row r="376" spans="1:71">
      <c r="A376" s="1" t="s">
        <v>4834</v>
      </c>
      <c r="B376">
        <v>14</v>
      </c>
      <c r="C376">
        <v>85</v>
      </c>
      <c r="D376">
        <v>2019</v>
      </c>
      <c r="E376" s="14">
        <v>-0.48</v>
      </c>
      <c r="F376" s="14">
        <f t="shared" si="22"/>
        <v>0.14243323442136496</v>
      </c>
      <c r="G376" s="14">
        <v>-3.37</v>
      </c>
      <c r="H376" s="27">
        <v>0</v>
      </c>
      <c r="I376">
        <v>1</v>
      </c>
      <c r="J376">
        <v>167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1</v>
      </c>
      <c r="U376">
        <v>2001</v>
      </c>
      <c r="V376">
        <v>2013</v>
      </c>
      <c r="W376">
        <f t="shared" si="19"/>
        <v>2007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1</v>
      </c>
      <c r="AP376">
        <v>0</v>
      </c>
      <c r="AQ376">
        <v>0</v>
      </c>
      <c r="AR376">
        <v>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</v>
      </c>
      <c r="AZ376">
        <v>0</v>
      </c>
      <c r="BA376">
        <v>1</v>
      </c>
      <c r="BB376">
        <v>0</v>
      </c>
      <c r="BC376">
        <v>0</v>
      </c>
      <c r="BD376">
        <v>0</v>
      </c>
      <c r="BE376">
        <v>0</v>
      </c>
      <c r="BF376">
        <v>1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</row>
    <row r="377" spans="1:71">
      <c r="A377" s="1" t="s">
        <v>5211</v>
      </c>
      <c r="B377">
        <v>20</v>
      </c>
      <c r="C377">
        <v>134</v>
      </c>
      <c r="D377">
        <v>2019</v>
      </c>
      <c r="E377" s="14">
        <v>-0.87</v>
      </c>
      <c r="F377" s="14">
        <v>0.02</v>
      </c>
      <c r="G377" s="14">
        <f t="shared" ref="G377:G403" si="23">E377/F377</f>
        <v>-43.5</v>
      </c>
      <c r="H377" s="27">
        <v>0</v>
      </c>
      <c r="I377">
        <v>1</v>
      </c>
      <c r="J377">
        <v>117306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2014</v>
      </c>
      <c r="V377">
        <v>2014</v>
      </c>
      <c r="W377">
        <f t="shared" si="19"/>
        <v>2014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0</v>
      </c>
      <c r="AO377">
        <v>1</v>
      </c>
      <c r="AP377">
        <v>0</v>
      </c>
      <c r="AQ377">
        <v>1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</v>
      </c>
      <c r="AZ377">
        <v>0</v>
      </c>
      <c r="BA377">
        <v>1</v>
      </c>
      <c r="BB377">
        <v>0</v>
      </c>
      <c r="BC377">
        <v>0</v>
      </c>
      <c r="BD377">
        <v>0</v>
      </c>
      <c r="BE377">
        <v>1</v>
      </c>
      <c r="BF377">
        <v>0</v>
      </c>
      <c r="BG377">
        <v>0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</row>
    <row r="378" spans="1:71">
      <c r="A378" s="18" t="s">
        <v>5211</v>
      </c>
      <c r="B378">
        <v>20</v>
      </c>
      <c r="C378">
        <v>135</v>
      </c>
      <c r="D378">
        <v>2019</v>
      </c>
      <c r="E378" s="14">
        <v>-0.87</v>
      </c>
      <c r="F378" s="14">
        <v>0.02</v>
      </c>
      <c r="G378" s="14">
        <f t="shared" si="23"/>
        <v>-43.5</v>
      </c>
      <c r="H378" s="27">
        <v>0</v>
      </c>
      <c r="I378">
        <v>1</v>
      </c>
      <c r="J378">
        <v>117306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2014</v>
      </c>
      <c r="V378">
        <v>2014</v>
      </c>
      <c r="W378">
        <f t="shared" si="19"/>
        <v>2014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1</v>
      </c>
      <c r="AP378">
        <v>0</v>
      </c>
      <c r="AQ378">
        <v>1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</v>
      </c>
      <c r="AZ378">
        <v>0</v>
      </c>
      <c r="BA378">
        <v>1</v>
      </c>
      <c r="BB378">
        <v>0</v>
      </c>
      <c r="BC378">
        <v>0</v>
      </c>
      <c r="BD378">
        <v>0</v>
      </c>
      <c r="BE378">
        <v>1</v>
      </c>
      <c r="BF378">
        <v>0</v>
      </c>
      <c r="BG378">
        <v>0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</row>
    <row r="379" spans="1:71">
      <c r="A379" s="18" t="s">
        <v>5211</v>
      </c>
      <c r="B379">
        <v>20</v>
      </c>
      <c r="C379">
        <v>136</v>
      </c>
      <c r="D379">
        <v>2019</v>
      </c>
      <c r="E379" s="14">
        <v>-0.86</v>
      </c>
      <c r="F379" s="14">
        <v>0.02</v>
      </c>
      <c r="G379" s="14">
        <f t="shared" si="23"/>
        <v>-43</v>
      </c>
      <c r="H379" s="27">
        <v>0</v>
      </c>
      <c r="I379">
        <v>1</v>
      </c>
      <c r="J379">
        <v>117306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2014</v>
      </c>
      <c r="V379">
        <v>2014</v>
      </c>
      <c r="W379">
        <f t="shared" si="19"/>
        <v>2014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0</v>
      </c>
      <c r="AO379">
        <v>1</v>
      </c>
      <c r="AP379">
        <v>0</v>
      </c>
      <c r="AQ379">
        <v>1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1</v>
      </c>
      <c r="AZ379">
        <v>0</v>
      </c>
      <c r="BA379">
        <v>1</v>
      </c>
      <c r="BB379">
        <v>0</v>
      </c>
      <c r="BC379">
        <v>0</v>
      </c>
      <c r="BD379">
        <v>0</v>
      </c>
      <c r="BE379">
        <v>1</v>
      </c>
      <c r="BF379">
        <v>0</v>
      </c>
      <c r="BG379">
        <v>0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</row>
    <row r="380" spans="1:71">
      <c r="A380" s="1" t="s">
        <v>5211</v>
      </c>
      <c r="B380">
        <v>20</v>
      </c>
      <c r="C380">
        <v>137</v>
      </c>
      <c r="D380">
        <v>2019</v>
      </c>
      <c r="E380" s="14">
        <v>-0.88</v>
      </c>
      <c r="F380" s="14">
        <v>0.02</v>
      </c>
      <c r="G380" s="14">
        <f t="shared" si="23"/>
        <v>-44</v>
      </c>
      <c r="H380" s="27">
        <v>0</v>
      </c>
      <c r="I380">
        <v>1</v>
      </c>
      <c r="J380">
        <v>117306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2014</v>
      </c>
      <c r="V380">
        <v>2014</v>
      </c>
      <c r="W380">
        <f t="shared" si="19"/>
        <v>2014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0</v>
      </c>
      <c r="AO380">
        <v>1</v>
      </c>
      <c r="AP380">
        <v>0</v>
      </c>
      <c r="AQ380">
        <v>1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</v>
      </c>
      <c r="AZ380">
        <v>0</v>
      </c>
      <c r="BA380">
        <v>1</v>
      </c>
      <c r="BB380">
        <v>0</v>
      </c>
      <c r="BC380">
        <v>0</v>
      </c>
      <c r="BD380">
        <v>0</v>
      </c>
      <c r="BE380">
        <v>1</v>
      </c>
      <c r="BF380">
        <v>0</v>
      </c>
      <c r="BG380">
        <v>0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</row>
    <row r="381" spans="1:71">
      <c r="A381" s="1" t="s">
        <v>5211</v>
      </c>
      <c r="B381">
        <v>20</v>
      </c>
      <c r="C381">
        <v>138</v>
      </c>
      <c r="D381">
        <v>2019</v>
      </c>
      <c r="E381" s="14">
        <v>-0.87</v>
      </c>
      <c r="F381" s="14">
        <v>0.02</v>
      </c>
      <c r="G381" s="14">
        <f t="shared" si="23"/>
        <v>-43.5</v>
      </c>
      <c r="H381" s="27">
        <v>0</v>
      </c>
      <c r="I381">
        <v>1</v>
      </c>
      <c r="J381">
        <v>117306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2014</v>
      </c>
      <c r="V381">
        <v>2014</v>
      </c>
      <c r="W381">
        <f t="shared" si="19"/>
        <v>2014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1</v>
      </c>
      <c r="AP381">
        <v>0</v>
      </c>
      <c r="AQ381">
        <v>1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>
        <v>0</v>
      </c>
      <c r="BA381">
        <v>1</v>
      </c>
      <c r="BB381">
        <v>0</v>
      </c>
      <c r="BC381">
        <v>0</v>
      </c>
      <c r="BD381">
        <v>0</v>
      </c>
      <c r="BE381">
        <v>1</v>
      </c>
      <c r="BF381">
        <v>0</v>
      </c>
      <c r="BG381">
        <v>0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</row>
    <row r="382" spans="1:71">
      <c r="A382" s="43" t="s">
        <v>5211</v>
      </c>
      <c r="B382">
        <v>20</v>
      </c>
      <c r="C382">
        <v>139</v>
      </c>
      <c r="D382" s="21">
        <v>2019</v>
      </c>
      <c r="E382" s="23">
        <v>-0.87</v>
      </c>
      <c r="F382" s="23">
        <v>0.02</v>
      </c>
      <c r="G382" s="14">
        <f t="shared" si="23"/>
        <v>-43.5</v>
      </c>
      <c r="H382" s="27">
        <v>0</v>
      </c>
      <c r="I382" s="21">
        <v>1</v>
      </c>
      <c r="J382" s="21">
        <v>117306</v>
      </c>
      <c r="K382" s="21">
        <v>0</v>
      </c>
      <c r="L382" s="21">
        <v>0</v>
      </c>
      <c r="M382" s="21">
        <v>0</v>
      </c>
      <c r="N382" s="21">
        <v>1</v>
      </c>
      <c r="O382" s="21">
        <v>0</v>
      </c>
      <c r="P382">
        <v>0</v>
      </c>
      <c r="Q382" s="21">
        <v>0</v>
      </c>
      <c r="R382">
        <v>0</v>
      </c>
      <c r="S382" s="21">
        <v>0</v>
      </c>
      <c r="T382" s="21">
        <v>0</v>
      </c>
      <c r="U382" s="21">
        <v>2014</v>
      </c>
      <c r="V382" s="21">
        <v>2014</v>
      </c>
      <c r="W382">
        <f t="shared" si="19"/>
        <v>2014</v>
      </c>
      <c r="X382" s="21">
        <v>0</v>
      </c>
      <c r="Y382" s="21">
        <v>0</v>
      </c>
      <c r="Z382" s="21">
        <v>0</v>
      </c>
      <c r="AA382" s="21">
        <v>0</v>
      </c>
      <c r="AB382" s="21">
        <v>0</v>
      </c>
      <c r="AC382" s="21">
        <v>0</v>
      </c>
      <c r="AD382">
        <v>0</v>
      </c>
      <c r="AE382" s="21">
        <v>1</v>
      </c>
      <c r="AF382" s="21">
        <v>0</v>
      </c>
      <c r="AG382" s="21">
        <v>0</v>
      </c>
      <c r="AH382" s="21">
        <v>0</v>
      </c>
      <c r="AI382" s="21">
        <v>0</v>
      </c>
      <c r="AJ382" s="21">
        <v>0</v>
      </c>
      <c r="AK382" s="21">
        <v>0</v>
      </c>
      <c r="AL382" s="21">
        <v>0</v>
      </c>
      <c r="AM382" s="21">
        <v>1</v>
      </c>
      <c r="AN382">
        <v>0</v>
      </c>
      <c r="AO382">
        <v>1</v>
      </c>
      <c r="AP382">
        <v>0</v>
      </c>
      <c r="AQ382" s="21">
        <v>1</v>
      </c>
      <c r="AR382" s="21">
        <v>0</v>
      </c>
      <c r="AS382" s="21">
        <v>0</v>
      </c>
      <c r="AT382" s="21">
        <v>0</v>
      </c>
      <c r="AU382" s="21">
        <v>0</v>
      </c>
      <c r="AV382" s="21">
        <v>0</v>
      </c>
      <c r="AW382" s="21">
        <v>0</v>
      </c>
      <c r="AX382" s="21">
        <v>0</v>
      </c>
      <c r="AY382" s="21">
        <v>1</v>
      </c>
      <c r="AZ382">
        <v>0</v>
      </c>
      <c r="BA382">
        <v>1</v>
      </c>
      <c r="BB382">
        <v>0</v>
      </c>
      <c r="BC382" s="21">
        <v>0</v>
      </c>
      <c r="BD382" s="21">
        <v>0</v>
      </c>
      <c r="BE382" s="21">
        <v>1</v>
      </c>
      <c r="BF382" s="21">
        <v>0</v>
      </c>
      <c r="BG382">
        <v>0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</row>
    <row r="383" spans="1:71">
      <c r="A383" s="43" t="s">
        <v>5211</v>
      </c>
      <c r="B383">
        <v>20</v>
      </c>
      <c r="C383">
        <v>140</v>
      </c>
      <c r="D383" s="21">
        <v>2019</v>
      </c>
      <c r="E383" s="23">
        <v>-0.87</v>
      </c>
      <c r="F383" s="23">
        <v>0.02</v>
      </c>
      <c r="G383" s="14">
        <f t="shared" si="23"/>
        <v>-43.5</v>
      </c>
      <c r="H383" s="27">
        <v>0</v>
      </c>
      <c r="I383" s="21">
        <v>1</v>
      </c>
      <c r="J383" s="21">
        <v>117306</v>
      </c>
      <c r="K383" s="21">
        <v>0</v>
      </c>
      <c r="L383" s="21">
        <v>0</v>
      </c>
      <c r="M383" s="21">
        <v>0</v>
      </c>
      <c r="N383" s="21">
        <v>1</v>
      </c>
      <c r="O383" s="21">
        <v>0</v>
      </c>
      <c r="P383">
        <v>0</v>
      </c>
      <c r="Q383" s="21">
        <v>0</v>
      </c>
      <c r="R383">
        <v>0</v>
      </c>
      <c r="S383" s="21">
        <v>0</v>
      </c>
      <c r="T383" s="21">
        <v>0</v>
      </c>
      <c r="U383" s="21">
        <v>2014</v>
      </c>
      <c r="V383" s="21">
        <v>2014</v>
      </c>
      <c r="W383">
        <f t="shared" si="19"/>
        <v>2014</v>
      </c>
      <c r="X383" s="21">
        <v>0</v>
      </c>
      <c r="Y383" s="21">
        <v>0</v>
      </c>
      <c r="Z383" s="21">
        <v>0</v>
      </c>
      <c r="AA383" s="21">
        <v>0</v>
      </c>
      <c r="AB383" s="21">
        <v>0</v>
      </c>
      <c r="AC383" s="21">
        <v>0</v>
      </c>
      <c r="AD383">
        <v>0</v>
      </c>
      <c r="AE383" s="21">
        <v>1</v>
      </c>
      <c r="AF383" s="21">
        <v>0</v>
      </c>
      <c r="AG383" s="21">
        <v>0</v>
      </c>
      <c r="AH383" s="21">
        <v>0</v>
      </c>
      <c r="AI383" s="21">
        <v>0</v>
      </c>
      <c r="AJ383" s="21">
        <v>0</v>
      </c>
      <c r="AK383" s="21">
        <v>0</v>
      </c>
      <c r="AL383" s="21">
        <v>0</v>
      </c>
      <c r="AM383" s="21">
        <v>1</v>
      </c>
      <c r="AN383">
        <v>0</v>
      </c>
      <c r="AO383">
        <v>1</v>
      </c>
      <c r="AP383">
        <v>0</v>
      </c>
      <c r="AQ383" s="21">
        <v>1</v>
      </c>
      <c r="AR383" s="21">
        <v>0</v>
      </c>
      <c r="AS383" s="21">
        <v>0</v>
      </c>
      <c r="AT383" s="21">
        <v>0</v>
      </c>
      <c r="AU383" s="21">
        <v>0</v>
      </c>
      <c r="AV383" s="21">
        <v>0</v>
      </c>
      <c r="AW383" s="21">
        <v>0</v>
      </c>
      <c r="AX383" s="21">
        <v>0</v>
      </c>
      <c r="AY383" s="21">
        <v>1</v>
      </c>
      <c r="AZ383">
        <v>0</v>
      </c>
      <c r="BA383">
        <v>1</v>
      </c>
      <c r="BB383">
        <v>0</v>
      </c>
      <c r="BC383" s="21">
        <v>0</v>
      </c>
      <c r="BD383" s="21">
        <v>0</v>
      </c>
      <c r="BE383" s="21">
        <v>1</v>
      </c>
      <c r="BF383" s="21">
        <v>0</v>
      </c>
      <c r="BG383">
        <v>0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</row>
    <row r="384" spans="1:71">
      <c r="A384" s="43" t="s">
        <v>5211</v>
      </c>
      <c r="B384">
        <v>20</v>
      </c>
      <c r="C384">
        <v>141</v>
      </c>
      <c r="D384" s="21">
        <v>2019</v>
      </c>
      <c r="E384" s="23">
        <v>-0.87</v>
      </c>
      <c r="F384" s="23">
        <v>0.02</v>
      </c>
      <c r="G384" s="14">
        <f t="shared" si="23"/>
        <v>-43.5</v>
      </c>
      <c r="H384" s="27">
        <v>0</v>
      </c>
      <c r="I384" s="21">
        <v>1</v>
      </c>
      <c r="J384" s="21">
        <v>117306</v>
      </c>
      <c r="K384" s="21">
        <v>0</v>
      </c>
      <c r="L384" s="21">
        <v>0</v>
      </c>
      <c r="M384" s="21">
        <v>0</v>
      </c>
      <c r="N384" s="21">
        <v>1</v>
      </c>
      <c r="O384" s="21">
        <v>0</v>
      </c>
      <c r="P384">
        <v>0</v>
      </c>
      <c r="Q384" s="21">
        <v>0</v>
      </c>
      <c r="R384">
        <v>0</v>
      </c>
      <c r="S384" s="21">
        <v>0</v>
      </c>
      <c r="T384" s="21">
        <v>0</v>
      </c>
      <c r="U384" s="21">
        <v>2014</v>
      </c>
      <c r="V384" s="21">
        <v>2014</v>
      </c>
      <c r="W384">
        <f t="shared" si="19"/>
        <v>2014</v>
      </c>
      <c r="X384" s="21">
        <v>0</v>
      </c>
      <c r="Y384" s="21">
        <v>0</v>
      </c>
      <c r="Z384" s="21">
        <v>0</v>
      </c>
      <c r="AA384" s="21">
        <v>0</v>
      </c>
      <c r="AB384" s="21">
        <v>0</v>
      </c>
      <c r="AC384" s="21">
        <v>0</v>
      </c>
      <c r="AD384">
        <v>0</v>
      </c>
      <c r="AE384" s="21">
        <v>1</v>
      </c>
      <c r="AF384" s="21">
        <v>0</v>
      </c>
      <c r="AG384" s="21">
        <v>0</v>
      </c>
      <c r="AH384" s="21">
        <v>0</v>
      </c>
      <c r="AI384" s="21">
        <v>0</v>
      </c>
      <c r="AJ384" s="21">
        <v>0</v>
      </c>
      <c r="AK384" s="21">
        <v>0</v>
      </c>
      <c r="AL384" s="21">
        <v>0</v>
      </c>
      <c r="AM384" s="21">
        <v>1</v>
      </c>
      <c r="AN384">
        <v>0</v>
      </c>
      <c r="AO384">
        <v>1</v>
      </c>
      <c r="AP384">
        <v>0</v>
      </c>
      <c r="AQ384" s="21">
        <v>1</v>
      </c>
      <c r="AR384" s="21">
        <v>0</v>
      </c>
      <c r="AS384" s="21">
        <v>0</v>
      </c>
      <c r="AT384" s="21">
        <v>0</v>
      </c>
      <c r="AU384" s="21">
        <v>0</v>
      </c>
      <c r="AV384" s="21">
        <v>0</v>
      </c>
      <c r="AW384" s="21">
        <v>0</v>
      </c>
      <c r="AX384" s="21">
        <v>0</v>
      </c>
      <c r="AY384" s="21">
        <v>1</v>
      </c>
      <c r="AZ384">
        <v>0</v>
      </c>
      <c r="BA384">
        <v>1</v>
      </c>
      <c r="BB384">
        <v>0</v>
      </c>
      <c r="BC384" s="21">
        <v>0</v>
      </c>
      <c r="BD384" s="21">
        <v>0</v>
      </c>
      <c r="BE384" s="21">
        <v>1</v>
      </c>
      <c r="BF384" s="21">
        <v>0</v>
      </c>
      <c r="BG384">
        <v>0</v>
      </c>
      <c r="BH384">
        <v>1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</row>
    <row r="385" spans="1:71">
      <c r="A385" s="43" t="s">
        <v>5211</v>
      </c>
      <c r="B385">
        <v>20</v>
      </c>
      <c r="C385">
        <v>142</v>
      </c>
      <c r="D385" s="21">
        <v>2019</v>
      </c>
      <c r="E385" s="23">
        <v>-0.87</v>
      </c>
      <c r="F385" s="23">
        <v>0.02</v>
      </c>
      <c r="G385" s="14">
        <f t="shared" si="23"/>
        <v>-43.5</v>
      </c>
      <c r="H385" s="27">
        <v>0</v>
      </c>
      <c r="I385" s="21">
        <v>1</v>
      </c>
      <c r="J385" s="21">
        <v>117306</v>
      </c>
      <c r="K385" s="21">
        <v>0</v>
      </c>
      <c r="L385" s="21">
        <v>0</v>
      </c>
      <c r="M385" s="21">
        <v>0</v>
      </c>
      <c r="N385" s="21">
        <v>1</v>
      </c>
      <c r="O385" s="21">
        <v>0</v>
      </c>
      <c r="P385">
        <v>0</v>
      </c>
      <c r="Q385" s="21">
        <v>0</v>
      </c>
      <c r="R385">
        <v>0</v>
      </c>
      <c r="S385" s="21">
        <v>0</v>
      </c>
      <c r="T385" s="21">
        <v>0</v>
      </c>
      <c r="U385" s="21">
        <v>2014</v>
      </c>
      <c r="V385" s="21">
        <v>2014</v>
      </c>
      <c r="W385">
        <f t="shared" si="19"/>
        <v>2014</v>
      </c>
      <c r="X385" s="21">
        <v>0</v>
      </c>
      <c r="Y385" s="21">
        <v>0</v>
      </c>
      <c r="Z385" s="21">
        <v>0</v>
      </c>
      <c r="AA385" s="21">
        <v>0</v>
      </c>
      <c r="AB385" s="21">
        <v>0</v>
      </c>
      <c r="AC385" s="21">
        <v>0</v>
      </c>
      <c r="AD385">
        <v>0</v>
      </c>
      <c r="AE385" s="21">
        <v>1</v>
      </c>
      <c r="AF385" s="21">
        <v>0</v>
      </c>
      <c r="AG385" s="21">
        <v>0</v>
      </c>
      <c r="AH385" s="21">
        <v>0</v>
      </c>
      <c r="AI385" s="21">
        <v>0</v>
      </c>
      <c r="AJ385" s="21">
        <v>0</v>
      </c>
      <c r="AK385" s="21">
        <v>0</v>
      </c>
      <c r="AL385" s="21">
        <v>0</v>
      </c>
      <c r="AM385" s="21">
        <v>1</v>
      </c>
      <c r="AN385">
        <v>0</v>
      </c>
      <c r="AO385">
        <v>1</v>
      </c>
      <c r="AP385">
        <v>0</v>
      </c>
      <c r="AQ385" s="21">
        <v>1</v>
      </c>
      <c r="AR385" s="21">
        <v>0</v>
      </c>
      <c r="AS385" s="21">
        <v>0</v>
      </c>
      <c r="AT385" s="21">
        <v>0</v>
      </c>
      <c r="AU385" s="21">
        <v>0</v>
      </c>
      <c r="AV385" s="21">
        <v>0</v>
      </c>
      <c r="AW385" s="21">
        <v>0</v>
      </c>
      <c r="AX385" s="21">
        <v>0</v>
      </c>
      <c r="AY385" s="21">
        <v>1</v>
      </c>
      <c r="AZ385">
        <v>0</v>
      </c>
      <c r="BA385">
        <v>1</v>
      </c>
      <c r="BB385">
        <v>0</v>
      </c>
      <c r="BC385" s="21">
        <v>0</v>
      </c>
      <c r="BD385" s="21">
        <v>0</v>
      </c>
      <c r="BE385" s="21">
        <v>1</v>
      </c>
      <c r="BF385" s="21">
        <v>0</v>
      </c>
      <c r="BG385">
        <v>0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</row>
    <row r="386" spans="1:71">
      <c r="A386" s="43" t="s">
        <v>5211</v>
      </c>
      <c r="B386">
        <v>20</v>
      </c>
      <c r="C386">
        <v>143</v>
      </c>
      <c r="D386" s="21">
        <v>2019</v>
      </c>
      <c r="E386" s="23">
        <v>-0.86</v>
      </c>
      <c r="F386" s="23">
        <v>0.02</v>
      </c>
      <c r="G386" s="14">
        <f t="shared" si="23"/>
        <v>-43</v>
      </c>
      <c r="H386" s="27">
        <v>0</v>
      </c>
      <c r="I386" s="21">
        <v>1</v>
      </c>
      <c r="J386" s="21">
        <v>117306</v>
      </c>
      <c r="K386" s="21">
        <v>0</v>
      </c>
      <c r="L386" s="21">
        <v>0</v>
      </c>
      <c r="M386" s="21">
        <v>0</v>
      </c>
      <c r="N386" s="21">
        <v>1</v>
      </c>
      <c r="O386" s="21">
        <v>0</v>
      </c>
      <c r="P386">
        <v>0</v>
      </c>
      <c r="Q386" s="21">
        <v>0</v>
      </c>
      <c r="R386">
        <v>0</v>
      </c>
      <c r="S386" s="21">
        <v>0</v>
      </c>
      <c r="T386" s="21">
        <v>0</v>
      </c>
      <c r="U386" s="21">
        <v>2014</v>
      </c>
      <c r="V386" s="21">
        <v>2014</v>
      </c>
      <c r="W386">
        <f t="shared" ref="W386:W449" si="24">ROUND(AVERAGE(U386:V386), 0)</f>
        <v>2014</v>
      </c>
      <c r="X386" s="21">
        <v>0</v>
      </c>
      <c r="Y386" s="21">
        <v>0</v>
      </c>
      <c r="Z386" s="21">
        <v>0</v>
      </c>
      <c r="AA386" s="21">
        <v>0</v>
      </c>
      <c r="AB386" s="21">
        <v>0</v>
      </c>
      <c r="AC386" s="21">
        <v>0</v>
      </c>
      <c r="AD386">
        <v>0</v>
      </c>
      <c r="AE386" s="21">
        <v>1</v>
      </c>
      <c r="AF386" s="21">
        <v>0</v>
      </c>
      <c r="AG386" s="21">
        <v>0</v>
      </c>
      <c r="AH386" s="21">
        <v>0</v>
      </c>
      <c r="AI386" s="21">
        <v>0</v>
      </c>
      <c r="AJ386" s="21">
        <v>0</v>
      </c>
      <c r="AK386" s="21">
        <v>0</v>
      </c>
      <c r="AL386" s="21">
        <v>0</v>
      </c>
      <c r="AM386" s="21">
        <v>1</v>
      </c>
      <c r="AN386">
        <v>0</v>
      </c>
      <c r="AO386">
        <v>1</v>
      </c>
      <c r="AP386">
        <v>0</v>
      </c>
      <c r="AQ386" s="21">
        <v>1</v>
      </c>
      <c r="AR386" s="21">
        <v>0</v>
      </c>
      <c r="AS386" s="21">
        <v>0</v>
      </c>
      <c r="AT386" s="21">
        <v>0</v>
      </c>
      <c r="AU386" s="21">
        <v>0</v>
      </c>
      <c r="AV386" s="21">
        <v>0</v>
      </c>
      <c r="AW386" s="21">
        <v>0</v>
      </c>
      <c r="AX386" s="21">
        <v>0</v>
      </c>
      <c r="AY386" s="21">
        <v>1</v>
      </c>
      <c r="AZ386">
        <v>0</v>
      </c>
      <c r="BA386">
        <v>1</v>
      </c>
      <c r="BB386">
        <v>0</v>
      </c>
      <c r="BC386" s="21">
        <v>0</v>
      </c>
      <c r="BD386" s="21">
        <v>0</v>
      </c>
      <c r="BE386" s="21">
        <v>1</v>
      </c>
      <c r="BF386" s="21">
        <v>0</v>
      </c>
      <c r="BG386">
        <v>0</v>
      </c>
      <c r="BH386">
        <v>1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</row>
    <row r="387" spans="1:71">
      <c r="A387" s="43" t="s">
        <v>5211</v>
      </c>
      <c r="B387">
        <v>20</v>
      </c>
      <c r="C387">
        <v>144</v>
      </c>
      <c r="D387" s="21">
        <v>2019</v>
      </c>
      <c r="E387" s="23">
        <v>-0.87</v>
      </c>
      <c r="F387" s="23">
        <v>0.02</v>
      </c>
      <c r="G387" s="14">
        <f t="shared" si="23"/>
        <v>-43.5</v>
      </c>
      <c r="H387" s="27">
        <v>0</v>
      </c>
      <c r="I387" s="21">
        <v>1</v>
      </c>
      <c r="J387" s="21">
        <v>117306</v>
      </c>
      <c r="K387" s="21">
        <v>0</v>
      </c>
      <c r="L387" s="21">
        <v>0</v>
      </c>
      <c r="M387" s="21">
        <v>0</v>
      </c>
      <c r="N387" s="21">
        <v>1</v>
      </c>
      <c r="O387" s="21">
        <v>0</v>
      </c>
      <c r="P387">
        <v>0</v>
      </c>
      <c r="Q387" s="21">
        <v>0</v>
      </c>
      <c r="R387">
        <v>0</v>
      </c>
      <c r="S387" s="21">
        <v>0</v>
      </c>
      <c r="T387" s="21">
        <v>0</v>
      </c>
      <c r="U387" s="21">
        <v>2014</v>
      </c>
      <c r="V387" s="21">
        <v>2014</v>
      </c>
      <c r="W387">
        <f t="shared" si="24"/>
        <v>2014</v>
      </c>
      <c r="X387" s="21">
        <v>0</v>
      </c>
      <c r="Y387" s="21">
        <v>0</v>
      </c>
      <c r="Z387" s="21">
        <v>0</v>
      </c>
      <c r="AA387" s="21">
        <v>0</v>
      </c>
      <c r="AB387" s="21">
        <v>0</v>
      </c>
      <c r="AC387" s="21">
        <v>0</v>
      </c>
      <c r="AD387">
        <v>0</v>
      </c>
      <c r="AE387" s="21">
        <v>1</v>
      </c>
      <c r="AF387" s="21">
        <v>0</v>
      </c>
      <c r="AG387" s="21">
        <v>0</v>
      </c>
      <c r="AH387" s="21">
        <v>0</v>
      </c>
      <c r="AI387" s="21">
        <v>0</v>
      </c>
      <c r="AJ387" s="21">
        <v>0</v>
      </c>
      <c r="AK387" s="21">
        <v>0</v>
      </c>
      <c r="AL387" s="21">
        <v>0</v>
      </c>
      <c r="AM387" s="21">
        <v>1</v>
      </c>
      <c r="AN387">
        <v>0</v>
      </c>
      <c r="AO387">
        <v>1</v>
      </c>
      <c r="AP387">
        <v>0</v>
      </c>
      <c r="AQ387" s="21">
        <v>1</v>
      </c>
      <c r="AR387" s="21">
        <v>0</v>
      </c>
      <c r="AS387" s="21">
        <v>0</v>
      </c>
      <c r="AT387" s="21">
        <v>0</v>
      </c>
      <c r="AU387" s="21">
        <v>0</v>
      </c>
      <c r="AV387" s="21">
        <v>0</v>
      </c>
      <c r="AW387" s="21">
        <v>0</v>
      </c>
      <c r="AX387" s="21">
        <v>0</v>
      </c>
      <c r="AY387" s="21">
        <v>1</v>
      </c>
      <c r="AZ387">
        <v>0</v>
      </c>
      <c r="BA387">
        <v>1</v>
      </c>
      <c r="BB387">
        <v>0</v>
      </c>
      <c r="BC387" s="21">
        <v>0</v>
      </c>
      <c r="BD387" s="21">
        <v>0</v>
      </c>
      <c r="BE387" s="21">
        <v>1</v>
      </c>
      <c r="BF387" s="21">
        <v>0</v>
      </c>
      <c r="BG387">
        <v>0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</row>
    <row r="388" spans="1:71">
      <c r="A388" s="43" t="s">
        <v>5211</v>
      </c>
      <c r="B388">
        <v>20</v>
      </c>
      <c r="C388">
        <v>145</v>
      </c>
      <c r="D388" s="21">
        <v>2019</v>
      </c>
      <c r="E388" s="23">
        <v>-0.87</v>
      </c>
      <c r="F388" s="23">
        <v>0.02</v>
      </c>
      <c r="G388" s="14">
        <f t="shared" si="23"/>
        <v>-43.5</v>
      </c>
      <c r="H388" s="27">
        <v>0</v>
      </c>
      <c r="I388" s="21">
        <v>1</v>
      </c>
      <c r="J388" s="21">
        <v>117306</v>
      </c>
      <c r="K388" s="21">
        <v>0</v>
      </c>
      <c r="L388" s="21">
        <v>0</v>
      </c>
      <c r="M388" s="21">
        <v>0</v>
      </c>
      <c r="N388" s="21">
        <v>1</v>
      </c>
      <c r="O388" s="21">
        <v>0</v>
      </c>
      <c r="P388">
        <v>0</v>
      </c>
      <c r="Q388" s="21">
        <v>0</v>
      </c>
      <c r="R388">
        <v>0</v>
      </c>
      <c r="S388" s="21">
        <v>0</v>
      </c>
      <c r="T388" s="21">
        <v>0</v>
      </c>
      <c r="U388" s="21">
        <v>2014</v>
      </c>
      <c r="V388" s="21">
        <v>2014</v>
      </c>
      <c r="W388">
        <f t="shared" si="24"/>
        <v>2014</v>
      </c>
      <c r="X388" s="21">
        <v>0</v>
      </c>
      <c r="Y388" s="21">
        <v>0</v>
      </c>
      <c r="Z388" s="21">
        <v>0</v>
      </c>
      <c r="AA388" s="21">
        <v>0</v>
      </c>
      <c r="AB388" s="21">
        <v>0</v>
      </c>
      <c r="AC388" s="21">
        <v>0</v>
      </c>
      <c r="AD388">
        <v>0</v>
      </c>
      <c r="AE388" s="21">
        <v>1</v>
      </c>
      <c r="AF388" s="21">
        <v>0</v>
      </c>
      <c r="AG388" s="21">
        <v>0</v>
      </c>
      <c r="AH388" s="21">
        <v>0</v>
      </c>
      <c r="AI388" s="21">
        <v>0</v>
      </c>
      <c r="AJ388" s="21">
        <v>0</v>
      </c>
      <c r="AK388" s="21">
        <v>0</v>
      </c>
      <c r="AL388" s="21">
        <v>0</v>
      </c>
      <c r="AM388" s="21">
        <v>1</v>
      </c>
      <c r="AN388">
        <v>0</v>
      </c>
      <c r="AO388">
        <v>1</v>
      </c>
      <c r="AP388">
        <v>0</v>
      </c>
      <c r="AQ388" s="21">
        <v>1</v>
      </c>
      <c r="AR388" s="21">
        <v>0</v>
      </c>
      <c r="AS388" s="21">
        <v>0</v>
      </c>
      <c r="AT388" s="21">
        <v>0</v>
      </c>
      <c r="AU388" s="21">
        <v>0</v>
      </c>
      <c r="AV388" s="21">
        <v>0</v>
      </c>
      <c r="AW388" s="21">
        <v>0</v>
      </c>
      <c r="AX388" s="21">
        <v>0</v>
      </c>
      <c r="AY388" s="21">
        <v>1</v>
      </c>
      <c r="AZ388">
        <v>0</v>
      </c>
      <c r="BA388">
        <v>1</v>
      </c>
      <c r="BB388">
        <v>0</v>
      </c>
      <c r="BC388" s="21">
        <v>0</v>
      </c>
      <c r="BD388" s="21">
        <v>0</v>
      </c>
      <c r="BE388" s="21">
        <v>1</v>
      </c>
      <c r="BF388" s="21">
        <v>0</v>
      </c>
      <c r="BG388">
        <v>0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</row>
    <row r="389" spans="1:71">
      <c r="A389" s="43" t="s">
        <v>5225</v>
      </c>
      <c r="B389">
        <v>22</v>
      </c>
      <c r="C389">
        <v>148</v>
      </c>
      <c r="D389" s="21">
        <v>2019</v>
      </c>
      <c r="E389" s="23">
        <v>-0.89</v>
      </c>
      <c r="F389" s="23">
        <v>0.01</v>
      </c>
      <c r="G389" s="14">
        <f t="shared" si="23"/>
        <v>-89</v>
      </c>
      <c r="H389" s="27">
        <v>0</v>
      </c>
      <c r="I389" s="21">
        <v>1</v>
      </c>
      <c r="J389" s="21">
        <v>72819</v>
      </c>
      <c r="K389" s="21">
        <v>0</v>
      </c>
      <c r="L389" s="21">
        <v>1</v>
      </c>
      <c r="M389" s="21">
        <v>0</v>
      </c>
      <c r="N389" s="21">
        <v>0</v>
      </c>
      <c r="O389" s="21">
        <v>0</v>
      </c>
      <c r="P389">
        <v>0</v>
      </c>
      <c r="Q389" s="21">
        <v>1</v>
      </c>
      <c r="R389" s="21">
        <v>0</v>
      </c>
      <c r="S389" s="21">
        <v>0</v>
      </c>
      <c r="T389" s="21">
        <v>1</v>
      </c>
      <c r="U389" s="21">
        <v>1995</v>
      </c>
      <c r="V389" s="21">
        <v>2012</v>
      </c>
      <c r="W389">
        <f t="shared" si="24"/>
        <v>2004</v>
      </c>
      <c r="X389" s="21">
        <v>1</v>
      </c>
      <c r="Y389" s="21">
        <v>0</v>
      </c>
      <c r="Z389" s="21">
        <v>1</v>
      </c>
      <c r="AA389" s="21">
        <v>0</v>
      </c>
      <c r="AB389" s="21">
        <v>0</v>
      </c>
      <c r="AC389" s="21">
        <v>0</v>
      </c>
      <c r="AD389" s="21">
        <v>0</v>
      </c>
      <c r="AE389" s="21">
        <v>0</v>
      </c>
      <c r="AF389" s="21">
        <v>1</v>
      </c>
      <c r="AG389" s="21">
        <v>1</v>
      </c>
      <c r="AH389" s="21">
        <v>1</v>
      </c>
      <c r="AI389" s="21">
        <v>1</v>
      </c>
      <c r="AJ389" s="21">
        <v>1</v>
      </c>
      <c r="AK389" s="21">
        <v>1</v>
      </c>
      <c r="AL389" s="21">
        <v>1</v>
      </c>
      <c r="AM389" s="21">
        <v>1</v>
      </c>
      <c r="AN389" s="21">
        <v>1</v>
      </c>
      <c r="AO389" s="21">
        <v>1</v>
      </c>
      <c r="AP389" s="21">
        <v>1</v>
      </c>
      <c r="AQ389" s="21">
        <v>0</v>
      </c>
      <c r="AR389" s="21">
        <v>1</v>
      </c>
      <c r="AS389" s="21">
        <v>1</v>
      </c>
      <c r="AT389" s="21">
        <v>1</v>
      </c>
      <c r="AU389" s="21">
        <v>1</v>
      </c>
      <c r="AV389" s="21">
        <v>1</v>
      </c>
      <c r="AW389" s="21">
        <v>1</v>
      </c>
      <c r="AX389" s="21">
        <v>1</v>
      </c>
      <c r="AY389" s="21">
        <v>1</v>
      </c>
      <c r="AZ389" s="21">
        <v>1</v>
      </c>
      <c r="BA389" s="21">
        <v>1</v>
      </c>
      <c r="BB389" s="21">
        <v>1</v>
      </c>
      <c r="BC389" s="21">
        <v>1</v>
      </c>
      <c r="BD389" s="21">
        <v>1</v>
      </c>
      <c r="BE389" s="21">
        <v>1</v>
      </c>
      <c r="BF389" s="21">
        <v>0</v>
      </c>
      <c r="BG389" s="21">
        <v>0</v>
      </c>
      <c r="BH389" s="21">
        <v>1</v>
      </c>
      <c r="BI389" s="21">
        <v>1</v>
      </c>
      <c r="BJ389" s="21">
        <v>0</v>
      </c>
      <c r="BK389" s="21">
        <v>0</v>
      </c>
      <c r="BL389" s="21">
        <v>1</v>
      </c>
      <c r="BM389" s="21">
        <v>0</v>
      </c>
      <c r="BN389" s="21">
        <v>0</v>
      </c>
      <c r="BO389" s="21">
        <v>0</v>
      </c>
      <c r="BP389" s="21">
        <v>0</v>
      </c>
      <c r="BQ389" s="21">
        <v>0</v>
      </c>
      <c r="BR389" s="21">
        <v>0</v>
      </c>
      <c r="BS389" s="21">
        <v>0</v>
      </c>
    </row>
    <row r="390" spans="1:71">
      <c r="A390" s="43" t="s">
        <v>5225</v>
      </c>
      <c r="B390">
        <v>22</v>
      </c>
      <c r="C390">
        <v>149</v>
      </c>
      <c r="D390" s="21">
        <v>2019</v>
      </c>
      <c r="E390" s="23">
        <v>-0.88</v>
      </c>
      <c r="F390" s="23">
        <v>0.01</v>
      </c>
      <c r="G390" s="14">
        <f t="shared" si="23"/>
        <v>-88</v>
      </c>
      <c r="H390" s="27">
        <v>0</v>
      </c>
      <c r="I390" s="21">
        <v>1</v>
      </c>
      <c r="J390" s="21">
        <v>72819</v>
      </c>
      <c r="K390" s="21">
        <v>0</v>
      </c>
      <c r="L390" s="21">
        <v>1</v>
      </c>
      <c r="M390" s="21">
        <v>0</v>
      </c>
      <c r="N390" s="21">
        <v>0</v>
      </c>
      <c r="O390" s="21">
        <v>0</v>
      </c>
      <c r="P390">
        <v>0</v>
      </c>
      <c r="Q390" s="21">
        <v>1</v>
      </c>
      <c r="R390" s="21">
        <v>0</v>
      </c>
      <c r="S390" s="21">
        <v>0</v>
      </c>
      <c r="T390" s="21">
        <v>1</v>
      </c>
      <c r="U390" s="21">
        <v>1995</v>
      </c>
      <c r="V390" s="21">
        <v>2012</v>
      </c>
      <c r="W390">
        <f t="shared" si="24"/>
        <v>2004</v>
      </c>
      <c r="X390" s="21">
        <v>1</v>
      </c>
      <c r="Y390" s="21">
        <v>0</v>
      </c>
      <c r="Z390" s="21">
        <v>1</v>
      </c>
      <c r="AA390" s="21">
        <v>0</v>
      </c>
      <c r="AB390" s="21">
        <v>0</v>
      </c>
      <c r="AC390" s="21">
        <v>0</v>
      </c>
      <c r="AD390" s="21">
        <v>0</v>
      </c>
      <c r="AE390" s="21">
        <v>0</v>
      </c>
      <c r="AF390" s="21">
        <v>1</v>
      </c>
      <c r="AG390" s="21">
        <v>1</v>
      </c>
      <c r="AH390" s="21">
        <v>1</v>
      </c>
      <c r="AI390" s="21">
        <v>1</v>
      </c>
      <c r="AJ390" s="21">
        <v>1</v>
      </c>
      <c r="AK390" s="21">
        <v>1</v>
      </c>
      <c r="AL390" s="21">
        <v>1</v>
      </c>
      <c r="AM390" s="21">
        <v>1</v>
      </c>
      <c r="AN390" s="21">
        <v>1</v>
      </c>
      <c r="AO390" s="21">
        <v>1</v>
      </c>
      <c r="AP390" s="21">
        <v>1</v>
      </c>
      <c r="AQ390" s="21">
        <v>0</v>
      </c>
      <c r="AR390" s="21">
        <v>1</v>
      </c>
      <c r="AS390" s="21">
        <v>1</v>
      </c>
      <c r="AT390" s="21">
        <v>1</v>
      </c>
      <c r="AU390" s="21">
        <v>1</v>
      </c>
      <c r="AV390" s="21">
        <v>1</v>
      </c>
      <c r="AW390" s="21">
        <v>1</v>
      </c>
      <c r="AX390" s="21">
        <v>1</v>
      </c>
      <c r="AY390" s="21">
        <v>1</v>
      </c>
      <c r="AZ390" s="21">
        <v>1</v>
      </c>
      <c r="BA390" s="21">
        <v>1</v>
      </c>
      <c r="BB390" s="21">
        <v>1</v>
      </c>
      <c r="BC390" s="21">
        <v>1</v>
      </c>
      <c r="BD390" s="21">
        <v>1</v>
      </c>
      <c r="BE390" s="21">
        <v>1</v>
      </c>
      <c r="BF390" s="21">
        <v>0</v>
      </c>
      <c r="BG390" s="21">
        <v>0</v>
      </c>
      <c r="BH390" s="21">
        <v>1</v>
      </c>
      <c r="BI390" s="21">
        <v>1</v>
      </c>
      <c r="BJ390" s="21">
        <v>0</v>
      </c>
      <c r="BK390" s="21">
        <v>0</v>
      </c>
      <c r="BL390" s="21">
        <v>1</v>
      </c>
      <c r="BM390" s="21">
        <v>0</v>
      </c>
      <c r="BN390" s="21">
        <v>0</v>
      </c>
      <c r="BO390" s="21">
        <v>0</v>
      </c>
      <c r="BP390" s="21">
        <v>0</v>
      </c>
      <c r="BQ390" s="21">
        <v>0</v>
      </c>
      <c r="BR390" s="21">
        <v>0</v>
      </c>
      <c r="BS390" s="21">
        <v>0</v>
      </c>
    </row>
    <row r="391" spans="1:71">
      <c r="A391" s="43" t="s">
        <v>5225</v>
      </c>
      <c r="B391">
        <v>22</v>
      </c>
      <c r="C391">
        <v>150</v>
      </c>
      <c r="D391" s="21">
        <v>2019</v>
      </c>
      <c r="E391" s="23">
        <v>-0.89</v>
      </c>
      <c r="F391" s="23">
        <v>0.01</v>
      </c>
      <c r="G391" s="14">
        <f t="shared" si="23"/>
        <v>-89</v>
      </c>
      <c r="H391" s="27">
        <v>0</v>
      </c>
      <c r="I391" s="21">
        <v>1</v>
      </c>
      <c r="J391" s="21">
        <v>72819</v>
      </c>
      <c r="K391" s="21">
        <v>0</v>
      </c>
      <c r="L391" s="21">
        <v>1</v>
      </c>
      <c r="M391" s="21">
        <v>0</v>
      </c>
      <c r="N391" s="21">
        <v>0</v>
      </c>
      <c r="O391" s="21">
        <v>0</v>
      </c>
      <c r="P391">
        <v>0</v>
      </c>
      <c r="Q391" s="21">
        <v>1</v>
      </c>
      <c r="R391" s="21">
        <v>0</v>
      </c>
      <c r="S391" s="21">
        <v>0</v>
      </c>
      <c r="T391" s="21">
        <v>1</v>
      </c>
      <c r="U391" s="21">
        <v>1995</v>
      </c>
      <c r="V391" s="21">
        <v>2012</v>
      </c>
      <c r="W391">
        <f t="shared" si="24"/>
        <v>2004</v>
      </c>
      <c r="X391" s="21">
        <v>1</v>
      </c>
      <c r="Y391" s="21">
        <v>0</v>
      </c>
      <c r="Z391" s="21">
        <v>1</v>
      </c>
      <c r="AA391" s="21">
        <v>0</v>
      </c>
      <c r="AB391" s="21">
        <v>0</v>
      </c>
      <c r="AC391" s="21">
        <v>0</v>
      </c>
      <c r="AD391" s="21">
        <v>0</v>
      </c>
      <c r="AE391" s="21">
        <v>0</v>
      </c>
      <c r="AF391" s="21">
        <v>1</v>
      </c>
      <c r="AG391" s="21">
        <v>1</v>
      </c>
      <c r="AH391" s="21">
        <v>1</v>
      </c>
      <c r="AI391" s="21">
        <v>1</v>
      </c>
      <c r="AJ391" s="21">
        <v>1</v>
      </c>
      <c r="AK391" s="21">
        <v>1</v>
      </c>
      <c r="AL391" s="21">
        <v>1</v>
      </c>
      <c r="AM391" s="21">
        <v>1</v>
      </c>
      <c r="AN391" s="21">
        <v>1</v>
      </c>
      <c r="AO391" s="21">
        <v>1</v>
      </c>
      <c r="AP391" s="21">
        <v>1</v>
      </c>
      <c r="AQ391" s="21">
        <v>0</v>
      </c>
      <c r="AR391" s="21">
        <v>1</v>
      </c>
      <c r="AS391" s="21">
        <v>1</v>
      </c>
      <c r="AT391" s="21">
        <v>1</v>
      </c>
      <c r="AU391" s="21">
        <v>1</v>
      </c>
      <c r="AV391" s="21">
        <v>1</v>
      </c>
      <c r="AW391" s="21">
        <v>1</v>
      </c>
      <c r="AX391" s="21">
        <v>1</v>
      </c>
      <c r="AY391" s="21">
        <v>1</v>
      </c>
      <c r="AZ391" s="21">
        <v>1</v>
      </c>
      <c r="BA391" s="21">
        <v>1</v>
      </c>
      <c r="BB391" s="21">
        <v>1</v>
      </c>
      <c r="BC391" s="21">
        <v>1</v>
      </c>
      <c r="BD391" s="21">
        <v>1</v>
      </c>
      <c r="BE391" s="21">
        <v>1</v>
      </c>
      <c r="BF391" s="21">
        <v>0</v>
      </c>
      <c r="BG391" s="21">
        <v>0</v>
      </c>
      <c r="BH391" s="21">
        <v>1</v>
      </c>
      <c r="BI391" s="21">
        <v>1</v>
      </c>
      <c r="BJ391" s="21">
        <v>0</v>
      </c>
      <c r="BK391" s="21">
        <v>0</v>
      </c>
      <c r="BL391" s="21">
        <v>1</v>
      </c>
      <c r="BM391" s="21">
        <v>0</v>
      </c>
      <c r="BN391" s="21">
        <v>0</v>
      </c>
      <c r="BO391" s="21">
        <v>0</v>
      </c>
      <c r="BP391" s="21">
        <v>0</v>
      </c>
      <c r="BQ391" s="21">
        <v>0</v>
      </c>
      <c r="BR391" s="21">
        <v>0</v>
      </c>
      <c r="BS391" s="21">
        <v>0</v>
      </c>
    </row>
    <row r="392" spans="1:71">
      <c r="A392" s="43" t="s">
        <v>5225</v>
      </c>
      <c r="B392">
        <v>22</v>
      </c>
      <c r="C392">
        <v>151</v>
      </c>
      <c r="D392" s="21">
        <v>2019</v>
      </c>
      <c r="E392" s="23">
        <v>-0.88</v>
      </c>
      <c r="F392" s="23">
        <v>0.01</v>
      </c>
      <c r="G392" s="14">
        <f t="shared" si="23"/>
        <v>-88</v>
      </c>
      <c r="H392" s="27">
        <v>0</v>
      </c>
      <c r="I392" s="21">
        <v>1</v>
      </c>
      <c r="J392" s="21">
        <v>72819</v>
      </c>
      <c r="K392" s="21">
        <v>0</v>
      </c>
      <c r="L392" s="21">
        <v>1</v>
      </c>
      <c r="M392" s="21">
        <v>0</v>
      </c>
      <c r="N392" s="21">
        <v>0</v>
      </c>
      <c r="O392" s="21">
        <v>0</v>
      </c>
      <c r="P392">
        <v>0</v>
      </c>
      <c r="Q392" s="21">
        <v>1</v>
      </c>
      <c r="R392" s="21">
        <v>0</v>
      </c>
      <c r="S392" s="21">
        <v>0</v>
      </c>
      <c r="T392" s="21">
        <v>1</v>
      </c>
      <c r="U392" s="21">
        <v>1995</v>
      </c>
      <c r="V392" s="21">
        <v>2012</v>
      </c>
      <c r="W392">
        <f t="shared" si="24"/>
        <v>2004</v>
      </c>
      <c r="X392" s="21">
        <v>1</v>
      </c>
      <c r="Y392" s="21">
        <v>0</v>
      </c>
      <c r="Z392" s="21">
        <v>1</v>
      </c>
      <c r="AA392" s="21">
        <v>0</v>
      </c>
      <c r="AB392" s="21">
        <v>0</v>
      </c>
      <c r="AC392" s="21">
        <v>0</v>
      </c>
      <c r="AD392" s="21">
        <v>0</v>
      </c>
      <c r="AE392" s="21">
        <v>0</v>
      </c>
      <c r="AF392" s="21">
        <v>1</v>
      </c>
      <c r="AG392" s="21">
        <v>1</v>
      </c>
      <c r="AH392" s="21">
        <v>1</v>
      </c>
      <c r="AI392" s="21">
        <v>1</v>
      </c>
      <c r="AJ392" s="21">
        <v>1</v>
      </c>
      <c r="AK392" s="21">
        <v>1</v>
      </c>
      <c r="AL392" s="21">
        <v>1</v>
      </c>
      <c r="AM392" s="21">
        <v>1</v>
      </c>
      <c r="AN392" s="21">
        <v>1</v>
      </c>
      <c r="AO392" s="21">
        <v>1</v>
      </c>
      <c r="AP392" s="21">
        <v>1</v>
      </c>
      <c r="AQ392" s="21">
        <v>0</v>
      </c>
      <c r="AR392" s="21">
        <v>1</v>
      </c>
      <c r="AS392" s="21">
        <v>1</v>
      </c>
      <c r="AT392" s="21">
        <v>1</v>
      </c>
      <c r="AU392" s="21">
        <v>1</v>
      </c>
      <c r="AV392" s="21">
        <v>1</v>
      </c>
      <c r="AW392" s="21">
        <v>1</v>
      </c>
      <c r="AX392" s="21">
        <v>1</v>
      </c>
      <c r="AY392" s="21">
        <v>1</v>
      </c>
      <c r="AZ392" s="21">
        <v>1</v>
      </c>
      <c r="BA392" s="21">
        <v>1</v>
      </c>
      <c r="BB392" s="21">
        <v>1</v>
      </c>
      <c r="BC392" s="21">
        <v>1</v>
      </c>
      <c r="BD392" s="21">
        <v>1</v>
      </c>
      <c r="BE392" s="21">
        <v>1</v>
      </c>
      <c r="BF392" s="21">
        <v>0</v>
      </c>
      <c r="BG392" s="21">
        <v>0</v>
      </c>
      <c r="BH392" s="21">
        <v>1</v>
      </c>
      <c r="BI392" s="21">
        <v>1</v>
      </c>
      <c r="BJ392" s="21">
        <v>0</v>
      </c>
      <c r="BK392" s="21">
        <v>0</v>
      </c>
      <c r="BL392" s="21">
        <v>1</v>
      </c>
      <c r="BM392" s="21">
        <v>0</v>
      </c>
      <c r="BN392" s="21">
        <v>0</v>
      </c>
      <c r="BO392" s="21">
        <v>0</v>
      </c>
      <c r="BP392" s="21">
        <v>0</v>
      </c>
      <c r="BQ392" s="21">
        <v>0</v>
      </c>
      <c r="BR392" s="21">
        <v>0</v>
      </c>
      <c r="BS392" s="21">
        <v>0</v>
      </c>
    </row>
    <row r="393" spans="1:71">
      <c r="A393" s="43" t="s">
        <v>5225</v>
      </c>
      <c r="B393">
        <v>22</v>
      </c>
      <c r="C393">
        <v>152</v>
      </c>
      <c r="D393" s="21">
        <v>2019</v>
      </c>
      <c r="E393" s="23">
        <v>-0.89</v>
      </c>
      <c r="F393" s="23">
        <v>0.01</v>
      </c>
      <c r="G393" s="14">
        <f t="shared" si="23"/>
        <v>-89</v>
      </c>
      <c r="H393" s="27">
        <v>0</v>
      </c>
      <c r="I393" s="21">
        <v>1</v>
      </c>
      <c r="J393" s="21">
        <v>72819</v>
      </c>
      <c r="K393" s="21">
        <v>0</v>
      </c>
      <c r="L393" s="21">
        <v>1</v>
      </c>
      <c r="M393" s="21">
        <v>0</v>
      </c>
      <c r="N393" s="21">
        <v>0</v>
      </c>
      <c r="O393" s="21">
        <v>0</v>
      </c>
      <c r="P393">
        <v>0</v>
      </c>
      <c r="Q393" s="21">
        <v>1</v>
      </c>
      <c r="R393" s="21">
        <v>0</v>
      </c>
      <c r="S393" s="21">
        <v>0</v>
      </c>
      <c r="T393" s="21">
        <v>1</v>
      </c>
      <c r="U393" s="21">
        <v>1995</v>
      </c>
      <c r="V393" s="21">
        <v>2012</v>
      </c>
      <c r="W393">
        <f t="shared" si="24"/>
        <v>2004</v>
      </c>
      <c r="X393" s="21">
        <v>1</v>
      </c>
      <c r="Y393" s="21">
        <v>0</v>
      </c>
      <c r="Z393" s="21">
        <v>1</v>
      </c>
      <c r="AA393" s="21">
        <v>0</v>
      </c>
      <c r="AB393" s="21">
        <v>0</v>
      </c>
      <c r="AC393" s="21">
        <v>0</v>
      </c>
      <c r="AD393" s="21">
        <v>0</v>
      </c>
      <c r="AE393" s="21">
        <v>0</v>
      </c>
      <c r="AF393" s="21">
        <v>1</v>
      </c>
      <c r="AG393" s="21">
        <v>1</v>
      </c>
      <c r="AH393" s="21">
        <v>1</v>
      </c>
      <c r="AI393" s="21">
        <v>1</v>
      </c>
      <c r="AJ393" s="21">
        <v>1</v>
      </c>
      <c r="AK393" s="21">
        <v>1</v>
      </c>
      <c r="AL393" s="21">
        <v>1</v>
      </c>
      <c r="AM393" s="21">
        <v>1</v>
      </c>
      <c r="AN393" s="21">
        <v>1</v>
      </c>
      <c r="AO393" s="21">
        <v>1</v>
      </c>
      <c r="AP393" s="21">
        <v>1</v>
      </c>
      <c r="AQ393" s="21">
        <v>0</v>
      </c>
      <c r="AR393" s="21">
        <v>1</v>
      </c>
      <c r="AS393" s="21">
        <v>1</v>
      </c>
      <c r="AT393" s="21">
        <v>1</v>
      </c>
      <c r="AU393" s="21">
        <v>1</v>
      </c>
      <c r="AV393" s="21">
        <v>1</v>
      </c>
      <c r="AW393" s="21">
        <v>1</v>
      </c>
      <c r="AX393" s="21">
        <v>1</v>
      </c>
      <c r="AY393" s="21">
        <v>1</v>
      </c>
      <c r="AZ393" s="21">
        <v>1</v>
      </c>
      <c r="BA393" s="21">
        <v>1</v>
      </c>
      <c r="BB393" s="21">
        <v>1</v>
      </c>
      <c r="BC393" s="21">
        <v>1</v>
      </c>
      <c r="BD393" s="21">
        <v>1</v>
      </c>
      <c r="BE393" s="21">
        <v>1</v>
      </c>
      <c r="BF393" s="21">
        <v>0</v>
      </c>
      <c r="BG393" s="21">
        <v>0</v>
      </c>
      <c r="BH393" s="21">
        <v>1</v>
      </c>
      <c r="BI393" s="21">
        <v>1</v>
      </c>
      <c r="BJ393" s="21">
        <v>0</v>
      </c>
      <c r="BK393" s="21">
        <v>0</v>
      </c>
      <c r="BL393" s="21">
        <v>1</v>
      </c>
      <c r="BM393" s="21">
        <v>0</v>
      </c>
      <c r="BN393" s="21">
        <v>0</v>
      </c>
      <c r="BO393" s="21">
        <v>0</v>
      </c>
      <c r="BP393" s="21">
        <v>0</v>
      </c>
      <c r="BQ393" s="21">
        <v>0</v>
      </c>
      <c r="BR393" s="21">
        <v>0</v>
      </c>
      <c r="BS393" s="21">
        <v>0</v>
      </c>
    </row>
    <row r="394" spans="1:71">
      <c r="A394" s="43" t="s">
        <v>5225</v>
      </c>
      <c r="B394">
        <v>22</v>
      </c>
      <c r="C394">
        <v>153</v>
      </c>
      <c r="D394" s="21">
        <v>2019</v>
      </c>
      <c r="E394" s="23">
        <v>-0.95</v>
      </c>
      <c r="F394" s="23">
        <v>0.01</v>
      </c>
      <c r="G394" s="14">
        <f t="shared" si="23"/>
        <v>-95</v>
      </c>
      <c r="H394" s="27">
        <v>0</v>
      </c>
      <c r="I394" s="21">
        <v>1</v>
      </c>
      <c r="J394" s="21">
        <v>67734</v>
      </c>
      <c r="K394" s="21">
        <v>0</v>
      </c>
      <c r="L394" s="21">
        <v>1</v>
      </c>
      <c r="M394" s="21">
        <v>0</v>
      </c>
      <c r="N394" s="21">
        <v>0</v>
      </c>
      <c r="O394" s="21">
        <v>0</v>
      </c>
      <c r="P394">
        <v>0</v>
      </c>
      <c r="Q394" s="21">
        <v>1</v>
      </c>
      <c r="R394" s="21">
        <v>0</v>
      </c>
      <c r="S394" s="21">
        <v>0</v>
      </c>
      <c r="T394" s="21">
        <v>1</v>
      </c>
      <c r="U394" s="21">
        <v>1995</v>
      </c>
      <c r="V394" s="21">
        <v>2012</v>
      </c>
      <c r="W394">
        <f t="shared" si="24"/>
        <v>2004</v>
      </c>
      <c r="X394" s="21">
        <v>1</v>
      </c>
      <c r="Y394" s="21">
        <v>0</v>
      </c>
      <c r="Z394" s="21">
        <v>1</v>
      </c>
      <c r="AA394" s="21">
        <v>0</v>
      </c>
      <c r="AB394" s="21">
        <v>0</v>
      </c>
      <c r="AC394" s="21">
        <v>0</v>
      </c>
      <c r="AD394" s="21">
        <v>0</v>
      </c>
      <c r="AE394" s="21">
        <v>0</v>
      </c>
      <c r="AF394" s="21">
        <v>1</v>
      </c>
      <c r="AG394" s="21">
        <v>1</v>
      </c>
      <c r="AH394" s="21">
        <v>1</v>
      </c>
      <c r="AI394" s="21">
        <v>1</v>
      </c>
      <c r="AJ394" s="21">
        <v>1</v>
      </c>
      <c r="AK394" s="21">
        <v>1</v>
      </c>
      <c r="AL394" s="21">
        <v>1</v>
      </c>
      <c r="AM394" s="21">
        <v>1</v>
      </c>
      <c r="AN394" s="21">
        <v>1</v>
      </c>
      <c r="AO394" s="21">
        <v>1</v>
      </c>
      <c r="AP394" s="21">
        <v>1</v>
      </c>
      <c r="AQ394" s="21">
        <v>0</v>
      </c>
      <c r="AR394" s="21">
        <v>1</v>
      </c>
      <c r="AS394" s="21">
        <v>1</v>
      </c>
      <c r="AT394" s="21">
        <v>1</v>
      </c>
      <c r="AU394" s="21">
        <v>1</v>
      </c>
      <c r="AV394" s="21">
        <v>1</v>
      </c>
      <c r="AW394" s="21">
        <v>1</v>
      </c>
      <c r="AX394" s="21">
        <v>1</v>
      </c>
      <c r="AY394" s="21">
        <v>1</v>
      </c>
      <c r="AZ394" s="21">
        <v>1</v>
      </c>
      <c r="BA394" s="21">
        <v>1</v>
      </c>
      <c r="BB394" s="21">
        <v>1</v>
      </c>
      <c r="BC394" s="21">
        <v>1</v>
      </c>
      <c r="BD394" s="21">
        <v>1</v>
      </c>
      <c r="BE394" s="21">
        <v>1</v>
      </c>
      <c r="BF394" s="21">
        <v>0</v>
      </c>
      <c r="BG394" s="21">
        <v>0</v>
      </c>
      <c r="BH394" s="21">
        <v>1</v>
      </c>
      <c r="BI394" s="21">
        <v>1</v>
      </c>
      <c r="BJ394" s="21">
        <v>0</v>
      </c>
      <c r="BK394" s="21">
        <v>0</v>
      </c>
      <c r="BL394" s="21">
        <v>1</v>
      </c>
      <c r="BM394" s="21">
        <v>0</v>
      </c>
      <c r="BN394" s="21">
        <v>1</v>
      </c>
      <c r="BO394" s="21">
        <v>0</v>
      </c>
      <c r="BP394" s="21">
        <v>0</v>
      </c>
      <c r="BQ394" s="21">
        <v>0</v>
      </c>
      <c r="BR394" s="21">
        <v>0</v>
      </c>
      <c r="BS394" s="21">
        <v>0</v>
      </c>
    </row>
    <row r="395" spans="1:71">
      <c r="A395" s="43" t="s">
        <v>5225</v>
      </c>
      <c r="B395">
        <v>22</v>
      </c>
      <c r="C395">
        <v>154</v>
      </c>
      <c r="D395" s="21">
        <v>2019</v>
      </c>
      <c r="E395" s="23">
        <v>-0.89</v>
      </c>
      <c r="F395" s="23">
        <v>0.01</v>
      </c>
      <c r="G395" s="14">
        <f t="shared" si="23"/>
        <v>-89</v>
      </c>
      <c r="H395" s="27">
        <v>0</v>
      </c>
      <c r="I395" s="21">
        <v>1</v>
      </c>
      <c r="J395" s="21">
        <v>72013</v>
      </c>
      <c r="K395" s="21">
        <v>0</v>
      </c>
      <c r="L395" s="21">
        <v>1</v>
      </c>
      <c r="M395" s="21">
        <v>0</v>
      </c>
      <c r="N395" s="21">
        <v>0</v>
      </c>
      <c r="O395" s="21">
        <v>0</v>
      </c>
      <c r="P395">
        <v>0</v>
      </c>
      <c r="Q395" s="21">
        <v>1</v>
      </c>
      <c r="R395" s="21">
        <v>0</v>
      </c>
      <c r="S395" s="21">
        <v>0</v>
      </c>
      <c r="T395" s="21">
        <v>1</v>
      </c>
      <c r="U395" s="21">
        <v>1995</v>
      </c>
      <c r="V395" s="21">
        <v>2012</v>
      </c>
      <c r="W395">
        <f t="shared" si="24"/>
        <v>2004</v>
      </c>
      <c r="X395" s="21">
        <v>1</v>
      </c>
      <c r="Y395" s="21">
        <v>0</v>
      </c>
      <c r="Z395" s="21">
        <v>1</v>
      </c>
      <c r="AA395" s="21">
        <v>0</v>
      </c>
      <c r="AB395" s="21">
        <v>0</v>
      </c>
      <c r="AC395" s="21">
        <v>0</v>
      </c>
      <c r="AD395" s="21">
        <v>0</v>
      </c>
      <c r="AE395" s="21">
        <v>0</v>
      </c>
      <c r="AF395" s="21">
        <v>1</v>
      </c>
      <c r="AG395" s="21">
        <v>1</v>
      </c>
      <c r="AH395" s="21">
        <v>1</v>
      </c>
      <c r="AI395" s="21">
        <v>1</v>
      </c>
      <c r="AJ395" s="21">
        <v>1</v>
      </c>
      <c r="AK395" s="21">
        <v>1</v>
      </c>
      <c r="AL395" s="21">
        <v>1</v>
      </c>
      <c r="AM395" s="21">
        <v>1</v>
      </c>
      <c r="AN395" s="21">
        <v>1</v>
      </c>
      <c r="AO395" s="21">
        <v>1</v>
      </c>
      <c r="AP395" s="21">
        <v>1</v>
      </c>
      <c r="AQ395" s="21">
        <v>0</v>
      </c>
      <c r="AR395" s="21">
        <v>1</v>
      </c>
      <c r="AS395" s="21">
        <v>1</v>
      </c>
      <c r="AT395" s="21">
        <v>1</v>
      </c>
      <c r="AU395" s="21">
        <v>1</v>
      </c>
      <c r="AV395" s="21">
        <v>1</v>
      </c>
      <c r="AW395" s="21">
        <v>1</v>
      </c>
      <c r="AX395" s="21">
        <v>1</v>
      </c>
      <c r="AY395" s="21">
        <v>1</v>
      </c>
      <c r="AZ395" s="21">
        <v>1</v>
      </c>
      <c r="BA395" s="21">
        <v>1</v>
      </c>
      <c r="BB395" s="21">
        <v>1</v>
      </c>
      <c r="BC395" s="21">
        <v>1</v>
      </c>
      <c r="BD395" s="21">
        <v>1</v>
      </c>
      <c r="BE395" s="21">
        <v>1</v>
      </c>
      <c r="BF395" s="21">
        <v>0</v>
      </c>
      <c r="BG395" s="21">
        <v>0</v>
      </c>
      <c r="BH395" s="21">
        <v>1</v>
      </c>
      <c r="BI395" s="21">
        <v>1</v>
      </c>
      <c r="BJ395" s="21">
        <v>0</v>
      </c>
      <c r="BK395" s="21">
        <v>0</v>
      </c>
      <c r="BL395" s="21">
        <v>1</v>
      </c>
      <c r="BM395" s="21">
        <v>0</v>
      </c>
      <c r="BN395" s="21">
        <v>0</v>
      </c>
      <c r="BO395" s="21">
        <v>0</v>
      </c>
      <c r="BP395" s="21">
        <v>0</v>
      </c>
      <c r="BQ395" s="21">
        <v>0</v>
      </c>
      <c r="BR395" s="21">
        <v>0</v>
      </c>
      <c r="BS395" s="21">
        <v>0</v>
      </c>
    </row>
    <row r="396" spans="1:71">
      <c r="A396" s="43" t="s">
        <v>5225</v>
      </c>
      <c r="B396">
        <v>22</v>
      </c>
      <c r="C396">
        <v>155</v>
      </c>
      <c r="D396" s="21">
        <v>2019</v>
      </c>
      <c r="E396" s="23">
        <v>-0.88</v>
      </c>
      <c r="F396" s="23">
        <v>0.01</v>
      </c>
      <c r="G396" s="14">
        <f t="shared" si="23"/>
        <v>-88</v>
      </c>
      <c r="H396" s="27">
        <v>0</v>
      </c>
      <c r="I396" s="21">
        <v>1</v>
      </c>
      <c r="J396" s="21">
        <v>72013</v>
      </c>
      <c r="K396" s="21">
        <v>0</v>
      </c>
      <c r="L396" s="21">
        <v>1</v>
      </c>
      <c r="M396" s="21">
        <v>0</v>
      </c>
      <c r="N396" s="21">
        <v>0</v>
      </c>
      <c r="O396" s="21">
        <v>0</v>
      </c>
      <c r="P396">
        <v>0</v>
      </c>
      <c r="Q396" s="21">
        <v>1</v>
      </c>
      <c r="R396" s="21">
        <v>0</v>
      </c>
      <c r="S396" s="21">
        <v>0</v>
      </c>
      <c r="T396" s="21">
        <v>1</v>
      </c>
      <c r="U396" s="21">
        <v>1995</v>
      </c>
      <c r="V396" s="21">
        <v>2012</v>
      </c>
      <c r="W396">
        <f t="shared" si="24"/>
        <v>2004</v>
      </c>
      <c r="X396" s="21">
        <v>1</v>
      </c>
      <c r="Y396" s="21">
        <v>0</v>
      </c>
      <c r="Z396" s="21">
        <v>1</v>
      </c>
      <c r="AA396" s="21">
        <v>0</v>
      </c>
      <c r="AB396" s="21">
        <v>0</v>
      </c>
      <c r="AC396" s="21">
        <v>0</v>
      </c>
      <c r="AD396" s="21">
        <v>0</v>
      </c>
      <c r="AE396" s="21">
        <v>0</v>
      </c>
      <c r="AF396" s="21">
        <v>1</v>
      </c>
      <c r="AG396" s="21">
        <v>1</v>
      </c>
      <c r="AH396" s="21">
        <v>1</v>
      </c>
      <c r="AI396" s="21">
        <v>1</v>
      </c>
      <c r="AJ396" s="21">
        <v>1</v>
      </c>
      <c r="AK396" s="21">
        <v>1</v>
      </c>
      <c r="AL396" s="21">
        <v>1</v>
      </c>
      <c r="AM396" s="21">
        <v>1</v>
      </c>
      <c r="AN396" s="21">
        <v>1</v>
      </c>
      <c r="AO396" s="21">
        <v>1</v>
      </c>
      <c r="AP396" s="21">
        <v>1</v>
      </c>
      <c r="AQ396" s="21">
        <v>0</v>
      </c>
      <c r="AR396" s="21">
        <v>1</v>
      </c>
      <c r="AS396" s="21">
        <v>1</v>
      </c>
      <c r="AT396" s="21">
        <v>1</v>
      </c>
      <c r="AU396" s="21">
        <v>1</v>
      </c>
      <c r="AV396" s="21">
        <v>1</v>
      </c>
      <c r="AW396" s="21">
        <v>1</v>
      </c>
      <c r="AX396" s="21">
        <v>1</v>
      </c>
      <c r="AY396" s="21">
        <v>1</v>
      </c>
      <c r="AZ396" s="21">
        <v>1</v>
      </c>
      <c r="BA396" s="21">
        <v>1</v>
      </c>
      <c r="BB396" s="21">
        <v>1</v>
      </c>
      <c r="BC396" s="21">
        <v>1</v>
      </c>
      <c r="BD396" s="21">
        <v>1</v>
      </c>
      <c r="BE396" s="21">
        <v>1</v>
      </c>
      <c r="BF396" s="21">
        <v>0</v>
      </c>
      <c r="BG396" s="21">
        <v>0</v>
      </c>
      <c r="BH396" s="21">
        <v>1</v>
      </c>
      <c r="BI396" s="21">
        <v>1</v>
      </c>
      <c r="BJ396" s="21">
        <v>0</v>
      </c>
      <c r="BK396" s="21">
        <v>0</v>
      </c>
      <c r="BL396" s="21">
        <v>1</v>
      </c>
      <c r="BM396" s="21">
        <v>0</v>
      </c>
      <c r="BN396" s="21">
        <v>0</v>
      </c>
      <c r="BO396" s="21">
        <v>0</v>
      </c>
      <c r="BP396" s="21">
        <v>0</v>
      </c>
      <c r="BQ396" s="21">
        <v>0</v>
      </c>
      <c r="BR396" s="21">
        <v>0</v>
      </c>
      <c r="BS396" s="21">
        <v>0</v>
      </c>
    </row>
    <row r="397" spans="1:71">
      <c r="A397" s="43" t="s">
        <v>5096</v>
      </c>
      <c r="B397">
        <v>23</v>
      </c>
      <c r="C397">
        <v>156</v>
      </c>
      <c r="D397" s="21">
        <v>2019</v>
      </c>
      <c r="E397" s="23">
        <v>-0.97</v>
      </c>
      <c r="F397" s="14">
        <f>0.3/1.96</f>
        <v>0.15306122448979592</v>
      </c>
      <c r="G397" s="14">
        <f t="shared" si="23"/>
        <v>-6.3373333333333326</v>
      </c>
      <c r="H397" s="27">
        <v>0</v>
      </c>
      <c r="I397" s="21">
        <v>1</v>
      </c>
      <c r="J397" s="21">
        <v>2060</v>
      </c>
      <c r="K397" s="21">
        <v>1</v>
      </c>
      <c r="L397" s="21">
        <v>0</v>
      </c>
      <c r="M397" s="21">
        <v>0</v>
      </c>
      <c r="N397" s="21">
        <v>0</v>
      </c>
      <c r="O397" s="21">
        <v>0</v>
      </c>
      <c r="P397">
        <v>0</v>
      </c>
      <c r="Q397" s="21">
        <v>0</v>
      </c>
      <c r="R397" s="21">
        <v>0</v>
      </c>
      <c r="S397" s="21">
        <v>0</v>
      </c>
      <c r="T397" s="21">
        <v>0</v>
      </c>
      <c r="U397" s="21">
        <v>2012</v>
      </c>
      <c r="V397" s="21">
        <v>2012</v>
      </c>
      <c r="W397">
        <f t="shared" si="24"/>
        <v>2012</v>
      </c>
      <c r="X397" s="21">
        <v>1</v>
      </c>
      <c r="Y397" s="21">
        <v>0</v>
      </c>
      <c r="Z397" s="21">
        <v>0</v>
      </c>
      <c r="AA397" s="21">
        <v>0</v>
      </c>
      <c r="AB397" s="21">
        <v>0</v>
      </c>
      <c r="AC397" s="21">
        <v>0</v>
      </c>
      <c r="AD397" s="21">
        <v>0</v>
      </c>
      <c r="AE397" s="21">
        <v>0</v>
      </c>
      <c r="AF397" s="21">
        <v>1</v>
      </c>
      <c r="AG397" s="21">
        <v>0</v>
      </c>
      <c r="AH397" s="21">
        <v>1</v>
      </c>
      <c r="AI397" s="21">
        <v>0</v>
      </c>
      <c r="AJ397" s="21">
        <v>0</v>
      </c>
      <c r="AK397" s="21">
        <v>0</v>
      </c>
      <c r="AL397" s="21">
        <v>0</v>
      </c>
      <c r="AM397" s="21">
        <v>0</v>
      </c>
      <c r="AN397" s="21">
        <v>0</v>
      </c>
      <c r="AO397" s="21">
        <v>0</v>
      </c>
      <c r="AP397" s="21">
        <v>1</v>
      </c>
      <c r="AQ397" s="21">
        <v>0</v>
      </c>
      <c r="AR397" s="21">
        <v>1</v>
      </c>
      <c r="AS397" s="21">
        <v>1</v>
      </c>
      <c r="AT397" s="21">
        <v>1</v>
      </c>
      <c r="AU397" s="21">
        <v>1</v>
      </c>
      <c r="AV397" s="21">
        <v>0</v>
      </c>
      <c r="AW397" s="21">
        <v>1</v>
      </c>
      <c r="AX397" s="21">
        <v>1</v>
      </c>
      <c r="AY397" s="21">
        <v>1</v>
      </c>
      <c r="AZ397" s="21">
        <v>0</v>
      </c>
      <c r="BA397" s="21">
        <v>1</v>
      </c>
      <c r="BB397" s="21">
        <v>1</v>
      </c>
      <c r="BC397" s="21">
        <v>0</v>
      </c>
      <c r="BD397" s="21">
        <v>0</v>
      </c>
      <c r="BE397" s="21">
        <v>0</v>
      </c>
      <c r="BF397" s="21">
        <v>0</v>
      </c>
      <c r="BG397" s="21">
        <v>0</v>
      </c>
      <c r="BH397" s="21">
        <v>0</v>
      </c>
      <c r="BI397" s="21">
        <v>0</v>
      </c>
      <c r="BJ397" s="21">
        <v>0</v>
      </c>
      <c r="BK397" s="21">
        <v>0</v>
      </c>
      <c r="BL397" s="21">
        <v>1</v>
      </c>
      <c r="BM397" s="21">
        <v>0</v>
      </c>
      <c r="BN397" s="21">
        <v>0</v>
      </c>
      <c r="BO397" s="21">
        <v>0</v>
      </c>
      <c r="BP397" s="21">
        <v>0</v>
      </c>
      <c r="BQ397" s="21">
        <v>0</v>
      </c>
      <c r="BR397" s="21">
        <v>1</v>
      </c>
      <c r="BS397" s="21">
        <v>0</v>
      </c>
    </row>
    <row r="398" spans="1:71">
      <c r="A398" s="43" t="s">
        <v>5096</v>
      </c>
      <c r="B398">
        <v>23</v>
      </c>
      <c r="C398">
        <v>157</v>
      </c>
      <c r="D398" s="21">
        <v>2019</v>
      </c>
      <c r="E398" s="23">
        <v>-1.1100000000000001</v>
      </c>
      <c r="F398" s="14">
        <f>0.13/1.96</f>
        <v>6.6326530612244902E-2</v>
      </c>
      <c r="G398" s="14">
        <f t="shared" si="23"/>
        <v>-16.735384615384614</v>
      </c>
      <c r="H398" s="27">
        <v>0</v>
      </c>
      <c r="I398" s="21">
        <v>0</v>
      </c>
      <c r="J398" s="21">
        <v>2060</v>
      </c>
      <c r="K398" s="21">
        <v>1</v>
      </c>
      <c r="L398" s="21">
        <v>0</v>
      </c>
      <c r="M398" s="21">
        <v>0</v>
      </c>
      <c r="N398" s="21">
        <v>0</v>
      </c>
      <c r="O398" s="21">
        <v>0</v>
      </c>
      <c r="P398">
        <v>0</v>
      </c>
      <c r="Q398" s="21">
        <v>0</v>
      </c>
      <c r="R398" s="21">
        <v>0</v>
      </c>
      <c r="S398" s="21">
        <v>0</v>
      </c>
      <c r="T398" s="21">
        <v>0</v>
      </c>
      <c r="U398" s="21">
        <v>2012</v>
      </c>
      <c r="V398" s="21">
        <v>2012</v>
      </c>
      <c r="W398">
        <f t="shared" si="24"/>
        <v>2012</v>
      </c>
      <c r="X398" s="21">
        <v>1</v>
      </c>
      <c r="Y398" s="21">
        <v>0</v>
      </c>
      <c r="Z398" s="21">
        <v>0</v>
      </c>
      <c r="AA398" s="21">
        <v>0</v>
      </c>
      <c r="AB398" s="21">
        <v>0</v>
      </c>
      <c r="AC398" s="21">
        <v>0</v>
      </c>
      <c r="AD398" s="21">
        <v>0</v>
      </c>
      <c r="AE398" s="21">
        <v>0</v>
      </c>
      <c r="AF398" s="21">
        <v>1</v>
      </c>
      <c r="AG398" s="21">
        <v>0</v>
      </c>
      <c r="AH398" s="21">
        <v>1</v>
      </c>
      <c r="AI398" s="21">
        <v>0</v>
      </c>
      <c r="AJ398" s="21">
        <v>0</v>
      </c>
      <c r="AK398" s="21">
        <v>0</v>
      </c>
      <c r="AL398" s="21">
        <v>0</v>
      </c>
      <c r="AM398" s="21">
        <v>0</v>
      </c>
      <c r="AN398" s="21">
        <v>0</v>
      </c>
      <c r="AO398" s="21">
        <v>0</v>
      </c>
      <c r="AP398" s="21">
        <v>1</v>
      </c>
      <c r="AQ398" s="21">
        <v>0</v>
      </c>
      <c r="AR398" s="21">
        <v>1</v>
      </c>
      <c r="AS398" s="21">
        <v>1</v>
      </c>
      <c r="AT398" s="21">
        <v>1</v>
      </c>
      <c r="AU398" s="21">
        <v>1</v>
      </c>
      <c r="AV398" s="21">
        <v>0</v>
      </c>
      <c r="AW398" s="21">
        <v>1</v>
      </c>
      <c r="AX398" s="21">
        <v>1</v>
      </c>
      <c r="AY398" s="21">
        <v>1</v>
      </c>
      <c r="AZ398" s="21">
        <v>0</v>
      </c>
      <c r="BA398" s="21">
        <v>1</v>
      </c>
      <c r="BB398" s="21">
        <v>1</v>
      </c>
      <c r="BC398" s="21">
        <v>0</v>
      </c>
      <c r="BD398" s="21">
        <v>0</v>
      </c>
      <c r="BE398" s="21">
        <v>0</v>
      </c>
      <c r="BF398" s="21">
        <v>0</v>
      </c>
      <c r="BG398" s="21">
        <v>0</v>
      </c>
      <c r="BH398" s="21">
        <v>0</v>
      </c>
      <c r="BI398" s="21">
        <v>0</v>
      </c>
      <c r="BJ398" s="21">
        <v>0</v>
      </c>
      <c r="BK398" s="21">
        <v>0</v>
      </c>
      <c r="BL398" s="21">
        <v>1</v>
      </c>
      <c r="BM398" s="21">
        <v>0</v>
      </c>
      <c r="BN398" s="21">
        <v>0</v>
      </c>
      <c r="BO398" s="21">
        <v>0</v>
      </c>
      <c r="BP398" s="21">
        <v>0</v>
      </c>
      <c r="BQ398" s="21">
        <v>0</v>
      </c>
      <c r="BR398" s="21">
        <v>1</v>
      </c>
      <c r="BS398" s="21">
        <v>0</v>
      </c>
    </row>
    <row r="399" spans="1:71">
      <c r="A399" s="43" t="s">
        <v>4975</v>
      </c>
      <c r="B399">
        <v>26</v>
      </c>
      <c r="C399">
        <v>163</v>
      </c>
      <c r="D399" s="21">
        <v>2019</v>
      </c>
      <c r="E399" s="23">
        <v>-1.75</v>
      </c>
      <c r="F399" s="23">
        <v>0.01</v>
      </c>
      <c r="G399" s="14">
        <f t="shared" si="23"/>
        <v>-175</v>
      </c>
      <c r="H399" s="27">
        <v>0</v>
      </c>
      <c r="I399" s="21">
        <v>1</v>
      </c>
      <c r="J399" s="21">
        <v>61949</v>
      </c>
      <c r="K399" s="21">
        <v>1</v>
      </c>
      <c r="L399" s="21">
        <v>0</v>
      </c>
      <c r="M399" s="21">
        <v>0</v>
      </c>
      <c r="N399" s="21">
        <v>0</v>
      </c>
      <c r="O399" s="21">
        <v>0</v>
      </c>
      <c r="P399">
        <v>0</v>
      </c>
      <c r="Q399" s="21">
        <v>1</v>
      </c>
      <c r="R399" s="21">
        <v>0</v>
      </c>
      <c r="S399" s="21">
        <v>0</v>
      </c>
      <c r="T399" s="21">
        <v>1</v>
      </c>
      <c r="U399" s="21">
        <v>1995</v>
      </c>
      <c r="V399" s="21">
        <v>2015</v>
      </c>
      <c r="W399">
        <f t="shared" si="24"/>
        <v>2005</v>
      </c>
      <c r="X399" s="21">
        <v>1</v>
      </c>
      <c r="Y399" s="21">
        <v>0</v>
      </c>
      <c r="Z399" s="21">
        <v>1</v>
      </c>
      <c r="AA399" s="21">
        <v>0</v>
      </c>
      <c r="AB399" s="21">
        <v>1</v>
      </c>
      <c r="AC399" s="21">
        <v>1</v>
      </c>
      <c r="AD399" s="21">
        <v>0</v>
      </c>
      <c r="AE399" s="21">
        <v>0</v>
      </c>
      <c r="AF399" s="21">
        <v>1</v>
      </c>
      <c r="AG399" s="21">
        <v>1</v>
      </c>
      <c r="AH399" s="21">
        <v>1</v>
      </c>
      <c r="AI399" s="21">
        <v>1</v>
      </c>
      <c r="AJ399" s="21">
        <v>1</v>
      </c>
      <c r="AK399" s="21">
        <v>1</v>
      </c>
      <c r="AL399" s="21">
        <v>1</v>
      </c>
      <c r="AM399" s="21">
        <v>1</v>
      </c>
      <c r="AN399" s="21">
        <v>1</v>
      </c>
      <c r="AO399" s="21">
        <v>1</v>
      </c>
      <c r="AP399" s="21">
        <v>1</v>
      </c>
      <c r="AQ399" s="21">
        <v>0</v>
      </c>
      <c r="AR399" s="21">
        <v>1</v>
      </c>
      <c r="AS399" s="21">
        <v>1</v>
      </c>
      <c r="AT399" s="21">
        <v>1</v>
      </c>
      <c r="AU399" s="21">
        <v>1</v>
      </c>
      <c r="AV399" s="21">
        <v>1</v>
      </c>
      <c r="AW399" s="21">
        <v>1</v>
      </c>
      <c r="AX399" s="21">
        <v>1</v>
      </c>
      <c r="AY399" s="21">
        <v>1</v>
      </c>
      <c r="AZ399" s="21">
        <v>1</v>
      </c>
      <c r="BA399" s="21">
        <v>1</v>
      </c>
      <c r="BB399" s="21">
        <v>1</v>
      </c>
      <c r="BC399" s="21">
        <v>1</v>
      </c>
      <c r="BD399" s="21">
        <v>1</v>
      </c>
      <c r="BE399" s="21">
        <v>1</v>
      </c>
      <c r="BF399" s="21">
        <v>0</v>
      </c>
      <c r="BG399" s="21">
        <v>0</v>
      </c>
      <c r="BH399" s="21">
        <v>0</v>
      </c>
      <c r="BI399" s="21">
        <v>1</v>
      </c>
      <c r="BJ399" s="21">
        <v>0</v>
      </c>
      <c r="BK399" s="21">
        <v>0</v>
      </c>
      <c r="BL399" s="21">
        <v>0</v>
      </c>
      <c r="BM399" s="21">
        <v>0</v>
      </c>
      <c r="BN399" s="21">
        <v>0</v>
      </c>
      <c r="BO399" s="21">
        <v>0</v>
      </c>
      <c r="BP399" s="21">
        <v>0</v>
      </c>
      <c r="BQ399" s="21">
        <v>0</v>
      </c>
      <c r="BR399" s="21">
        <v>1</v>
      </c>
      <c r="BS399" s="21">
        <v>0</v>
      </c>
    </row>
    <row r="400" spans="1:71">
      <c r="A400" s="43" t="s">
        <v>4975</v>
      </c>
      <c r="B400">
        <v>26</v>
      </c>
      <c r="C400">
        <v>164</v>
      </c>
      <c r="D400" s="21">
        <v>2019</v>
      </c>
      <c r="E400" s="23">
        <v>-1.75</v>
      </c>
      <c r="F400" s="23">
        <v>0.01</v>
      </c>
      <c r="G400" s="14">
        <f t="shared" si="23"/>
        <v>-175</v>
      </c>
      <c r="H400" s="27">
        <v>0</v>
      </c>
      <c r="I400" s="21">
        <v>1</v>
      </c>
      <c r="J400" s="21">
        <v>61949</v>
      </c>
      <c r="K400" s="21">
        <v>1</v>
      </c>
      <c r="L400" s="21">
        <v>0</v>
      </c>
      <c r="M400" s="21">
        <v>0</v>
      </c>
      <c r="N400" s="21">
        <v>0</v>
      </c>
      <c r="O400" s="21">
        <v>0</v>
      </c>
      <c r="P400">
        <v>0</v>
      </c>
      <c r="Q400" s="21">
        <v>1</v>
      </c>
      <c r="R400" s="21">
        <v>0</v>
      </c>
      <c r="S400" s="21">
        <v>0</v>
      </c>
      <c r="T400" s="21">
        <v>1</v>
      </c>
      <c r="U400" s="21">
        <v>1995</v>
      </c>
      <c r="V400" s="21">
        <v>2015</v>
      </c>
      <c r="W400">
        <f t="shared" si="24"/>
        <v>2005</v>
      </c>
      <c r="X400" s="21">
        <v>1</v>
      </c>
      <c r="Y400" s="21">
        <v>0</v>
      </c>
      <c r="Z400" s="21">
        <v>1</v>
      </c>
      <c r="AA400" s="21">
        <v>0</v>
      </c>
      <c r="AB400" s="21">
        <v>1</v>
      </c>
      <c r="AC400" s="21">
        <v>1</v>
      </c>
      <c r="AD400" s="21">
        <v>0</v>
      </c>
      <c r="AE400" s="21">
        <v>0</v>
      </c>
      <c r="AF400" s="21">
        <v>1</v>
      </c>
      <c r="AG400" s="21">
        <v>1</v>
      </c>
      <c r="AH400" s="21">
        <v>1</v>
      </c>
      <c r="AI400" s="21">
        <v>1</v>
      </c>
      <c r="AJ400" s="21">
        <v>1</v>
      </c>
      <c r="AK400" s="21">
        <v>1</v>
      </c>
      <c r="AL400" s="21">
        <v>1</v>
      </c>
      <c r="AM400" s="21">
        <v>1</v>
      </c>
      <c r="AN400" s="21">
        <v>1</v>
      </c>
      <c r="AO400" s="21">
        <v>1</v>
      </c>
      <c r="AP400" s="21">
        <v>1</v>
      </c>
      <c r="AQ400" s="21">
        <v>0</v>
      </c>
      <c r="AR400" s="21">
        <v>1</v>
      </c>
      <c r="AS400" s="21">
        <v>1</v>
      </c>
      <c r="AT400" s="21">
        <v>1</v>
      </c>
      <c r="AU400" s="21">
        <v>1</v>
      </c>
      <c r="AV400" s="21">
        <v>1</v>
      </c>
      <c r="AW400" s="21">
        <v>1</v>
      </c>
      <c r="AX400" s="21">
        <v>1</v>
      </c>
      <c r="AY400" s="21">
        <v>1</v>
      </c>
      <c r="AZ400" s="21">
        <v>1</v>
      </c>
      <c r="BA400" s="21">
        <v>1</v>
      </c>
      <c r="BB400" s="21">
        <v>1</v>
      </c>
      <c r="BC400" s="21">
        <v>1</v>
      </c>
      <c r="BD400" s="21">
        <v>1</v>
      </c>
      <c r="BE400" s="21">
        <v>1</v>
      </c>
      <c r="BF400" s="21">
        <v>0</v>
      </c>
      <c r="BG400" s="21">
        <v>0</v>
      </c>
      <c r="BH400" s="21">
        <v>0</v>
      </c>
      <c r="BI400" s="21">
        <v>1</v>
      </c>
      <c r="BJ400" s="21">
        <v>0</v>
      </c>
      <c r="BK400" s="21">
        <v>0</v>
      </c>
      <c r="BL400" s="21">
        <v>0</v>
      </c>
      <c r="BM400" s="21">
        <v>0</v>
      </c>
      <c r="BN400" s="21">
        <v>0</v>
      </c>
      <c r="BO400" s="21">
        <v>0</v>
      </c>
      <c r="BP400" s="21">
        <v>0</v>
      </c>
      <c r="BQ400" s="21">
        <v>0</v>
      </c>
      <c r="BR400" s="21">
        <v>1</v>
      </c>
      <c r="BS400" s="21">
        <v>0</v>
      </c>
    </row>
    <row r="401" spans="1:71">
      <c r="A401" s="43" t="s">
        <v>4975</v>
      </c>
      <c r="B401">
        <v>26</v>
      </c>
      <c r="C401">
        <v>165</v>
      </c>
      <c r="D401" s="21">
        <v>2019</v>
      </c>
      <c r="E401" s="23">
        <v>-1.75</v>
      </c>
      <c r="F401" s="23">
        <v>0.01</v>
      </c>
      <c r="G401" s="14">
        <f t="shared" si="23"/>
        <v>-175</v>
      </c>
      <c r="H401" s="27">
        <v>0</v>
      </c>
      <c r="I401" s="21">
        <v>1</v>
      </c>
      <c r="J401" s="21">
        <v>61949</v>
      </c>
      <c r="K401" s="21">
        <v>1</v>
      </c>
      <c r="L401" s="21">
        <v>0</v>
      </c>
      <c r="M401" s="21">
        <v>0</v>
      </c>
      <c r="N401" s="21">
        <v>0</v>
      </c>
      <c r="O401" s="21">
        <v>0</v>
      </c>
      <c r="P401">
        <v>0</v>
      </c>
      <c r="Q401" s="21">
        <v>1</v>
      </c>
      <c r="R401" s="21">
        <v>0</v>
      </c>
      <c r="S401" s="21">
        <v>0</v>
      </c>
      <c r="T401" s="21">
        <v>1</v>
      </c>
      <c r="U401" s="21">
        <v>1995</v>
      </c>
      <c r="V401" s="21">
        <v>2015</v>
      </c>
      <c r="W401">
        <f t="shared" si="24"/>
        <v>2005</v>
      </c>
      <c r="X401" s="21">
        <v>1</v>
      </c>
      <c r="Y401" s="21">
        <v>0</v>
      </c>
      <c r="Z401" s="21">
        <v>1</v>
      </c>
      <c r="AA401" s="21">
        <v>0</v>
      </c>
      <c r="AB401" s="21">
        <v>1</v>
      </c>
      <c r="AC401" s="21">
        <v>1</v>
      </c>
      <c r="AD401" s="21">
        <v>0</v>
      </c>
      <c r="AE401" s="21">
        <v>0</v>
      </c>
      <c r="AF401" s="21">
        <v>1</v>
      </c>
      <c r="AG401" s="21">
        <v>1</v>
      </c>
      <c r="AH401" s="21">
        <v>1</v>
      </c>
      <c r="AI401" s="21">
        <v>1</v>
      </c>
      <c r="AJ401" s="21">
        <v>1</v>
      </c>
      <c r="AK401" s="21">
        <v>1</v>
      </c>
      <c r="AL401" s="21">
        <v>1</v>
      </c>
      <c r="AM401" s="21">
        <v>1</v>
      </c>
      <c r="AN401" s="21">
        <v>1</v>
      </c>
      <c r="AO401" s="21">
        <v>1</v>
      </c>
      <c r="AP401" s="21">
        <v>1</v>
      </c>
      <c r="AQ401" s="21">
        <v>0</v>
      </c>
      <c r="AR401" s="21">
        <v>1</v>
      </c>
      <c r="AS401" s="21">
        <v>1</v>
      </c>
      <c r="AT401" s="21">
        <v>1</v>
      </c>
      <c r="AU401" s="21">
        <v>1</v>
      </c>
      <c r="AV401" s="21">
        <v>1</v>
      </c>
      <c r="AW401" s="21">
        <v>1</v>
      </c>
      <c r="AX401" s="21">
        <v>1</v>
      </c>
      <c r="AY401" s="21">
        <v>1</v>
      </c>
      <c r="AZ401" s="21">
        <v>1</v>
      </c>
      <c r="BA401" s="21">
        <v>1</v>
      </c>
      <c r="BB401" s="21">
        <v>1</v>
      </c>
      <c r="BC401" s="21">
        <v>1</v>
      </c>
      <c r="BD401" s="21">
        <v>1</v>
      </c>
      <c r="BE401" s="21">
        <v>1</v>
      </c>
      <c r="BF401" s="21">
        <v>0</v>
      </c>
      <c r="BG401" s="21">
        <v>0</v>
      </c>
      <c r="BH401" s="21">
        <v>0</v>
      </c>
      <c r="BI401" s="21">
        <v>1</v>
      </c>
      <c r="BJ401" s="21">
        <v>0</v>
      </c>
      <c r="BK401" s="21">
        <v>0</v>
      </c>
      <c r="BL401" s="21">
        <v>0</v>
      </c>
      <c r="BM401" s="21">
        <v>0</v>
      </c>
      <c r="BN401" s="21">
        <v>0</v>
      </c>
      <c r="BO401" s="21">
        <v>0</v>
      </c>
      <c r="BP401" s="21">
        <v>0</v>
      </c>
      <c r="BQ401" s="21">
        <v>0</v>
      </c>
      <c r="BR401" s="21">
        <v>1</v>
      </c>
      <c r="BS401" s="21">
        <v>0</v>
      </c>
    </row>
    <row r="402" spans="1:71">
      <c r="A402" s="1" t="s">
        <v>4859</v>
      </c>
      <c r="B402">
        <v>31</v>
      </c>
      <c r="C402">
        <v>190</v>
      </c>
      <c r="D402" s="21">
        <v>2019</v>
      </c>
      <c r="E402" s="23">
        <v>-2.1</v>
      </c>
      <c r="F402" s="23">
        <v>0.14000000000000001</v>
      </c>
      <c r="G402" s="14">
        <f t="shared" si="23"/>
        <v>-15</v>
      </c>
      <c r="H402" s="27">
        <v>0</v>
      </c>
      <c r="I402" s="21">
        <v>1</v>
      </c>
      <c r="J402" s="21">
        <v>550</v>
      </c>
      <c r="K402" s="21">
        <v>1</v>
      </c>
      <c r="L402" s="21">
        <v>0</v>
      </c>
      <c r="M402" s="21">
        <v>0</v>
      </c>
      <c r="N402" s="21">
        <v>0</v>
      </c>
      <c r="O402" s="21">
        <v>0</v>
      </c>
      <c r="P402">
        <v>0</v>
      </c>
      <c r="Q402" s="21">
        <v>0</v>
      </c>
      <c r="R402" s="21">
        <v>0</v>
      </c>
      <c r="S402" s="21">
        <v>0</v>
      </c>
      <c r="T402" s="21">
        <v>1</v>
      </c>
      <c r="U402" s="21">
        <v>2006</v>
      </c>
      <c r="V402" s="21">
        <v>2015</v>
      </c>
      <c r="W402">
        <f t="shared" si="24"/>
        <v>2011</v>
      </c>
      <c r="X402" s="21">
        <v>1</v>
      </c>
      <c r="Y402" s="21">
        <v>0</v>
      </c>
      <c r="Z402" s="21">
        <v>0</v>
      </c>
      <c r="AA402" s="21">
        <v>0</v>
      </c>
      <c r="AB402" s="21">
        <v>0</v>
      </c>
      <c r="AC402" s="21">
        <v>1</v>
      </c>
      <c r="AD402" s="21">
        <v>0</v>
      </c>
      <c r="AE402" s="21">
        <v>0</v>
      </c>
      <c r="AF402" s="21">
        <v>0</v>
      </c>
      <c r="AG402" s="21">
        <v>0</v>
      </c>
      <c r="AH402" s="21">
        <v>0</v>
      </c>
      <c r="AI402" s="21">
        <v>0</v>
      </c>
      <c r="AJ402" s="21">
        <v>0</v>
      </c>
      <c r="AK402" s="21">
        <v>0</v>
      </c>
      <c r="AL402" s="21">
        <v>0</v>
      </c>
      <c r="AM402" s="21">
        <v>1</v>
      </c>
      <c r="AN402" s="21">
        <v>1</v>
      </c>
      <c r="AO402" s="21">
        <v>1</v>
      </c>
      <c r="AP402" s="21">
        <v>1</v>
      </c>
      <c r="AQ402" s="21">
        <v>0</v>
      </c>
      <c r="AR402" s="21">
        <v>0</v>
      </c>
      <c r="AS402" s="21">
        <v>0</v>
      </c>
      <c r="AT402" s="21">
        <v>1</v>
      </c>
      <c r="AU402" s="21">
        <v>0</v>
      </c>
      <c r="AV402" s="21">
        <v>0</v>
      </c>
      <c r="AW402" s="21">
        <v>0</v>
      </c>
      <c r="AX402" s="21">
        <v>0</v>
      </c>
      <c r="AY402" s="21">
        <v>1</v>
      </c>
      <c r="AZ402" s="21">
        <v>0</v>
      </c>
      <c r="BA402" s="21">
        <v>1</v>
      </c>
      <c r="BB402" s="21">
        <v>0</v>
      </c>
      <c r="BC402" s="21">
        <v>0</v>
      </c>
      <c r="BD402" s="21">
        <v>0</v>
      </c>
      <c r="BE402" s="21">
        <v>0</v>
      </c>
      <c r="BF402" s="21">
        <v>0</v>
      </c>
      <c r="BG402" s="21">
        <v>0</v>
      </c>
      <c r="BH402" s="21">
        <v>0</v>
      </c>
      <c r="BI402" s="21">
        <v>0</v>
      </c>
      <c r="BJ402" s="21">
        <v>0</v>
      </c>
      <c r="BK402" s="21">
        <v>1</v>
      </c>
      <c r="BL402" s="21">
        <v>1</v>
      </c>
      <c r="BM402" s="21">
        <v>0</v>
      </c>
      <c r="BN402" s="21">
        <v>1</v>
      </c>
      <c r="BO402" s="21">
        <v>0</v>
      </c>
      <c r="BP402" s="21">
        <v>0</v>
      </c>
      <c r="BQ402" s="21">
        <v>0</v>
      </c>
      <c r="BR402" s="21">
        <v>0</v>
      </c>
      <c r="BS402" s="21">
        <v>0</v>
      </c>
    </row>
    <row r="403" spans="1:71">
      <c r="A403" s="1" t="s">
        <v>4859</v>
      </c>
      <c r="B403">
        <v>31</v>
      </c>
      <c r="C403">
        <v>191</v>
      </c>
      <c r="D403" s="21">
        <v>2019</v>
      </c>
      <c r="E403" s="23">
        <v>-2.41</v>
      </c>
      <c r="F403" s="23">
        <v>0.46</v>
      </c>
      <c r="G403" s="14">
        <f t="shared" si="23"/>
        <v>-5.2391304347826084</v>
      </c>
      <c r="H403" s="27">
        <v>0</v>
      </c>
      <c r="I403" s="21">
        <v>1</v>
      </c>
      <c r="J403" s="21">
        <v>550</v>
      </c>
      <c r="K403" s="21">
        <v>1</v>
      </c>
      <c r="L403" s="21">
        <v>0</v>
      </c>
      <c r="M403" s="21">
        <v>0</v>
      </c>
      <c r="N403" s="21">
        <v>0</v>
      </c>
      <c r="O403" s="21">
        <v>0</v>
      </c>
      <c r="P403">
        <v>0</v>
      </c>
      <c r="Q403" s="21">
        <v>0</v>
      </c>
      <c r="R403" s="21">
        <v>0</v>
      </c>
      <c r="S403" s="21">
        <v>0</v>
      </c>
      <c r="T403" s="21">
        <v>1</v>
      </c>
      <c r="U403" s="21">
        <v>2006</v>
      </c>
      <c r="V403" s="21">
        <v>2015</v>
      </c>
      <c r="W403">
        <f t="shared" si="24"/>
        <v>2011</v>
      </c>
      <c r="X403" s="21">
        <v>1</v>
      </c>
      <c r="Y403" s="21">
        <v>0</v>
      </c>
      <c r="Z403" s="21">
        <v>0</v>
      </c>
      <c r="AA403" s="21">
        <v>0</v>
      </c>
      <c r="AB403" s="21">
        <v>0</v>
      </c>
      <c r="AC403" s="21">
        <v>1</v>
      </c>
      <c r="AD403" s="21">
        <v>0</v>
      </c>
      <c r="AE403" s="21">
        <v>0</v>
      </c>
      <c r="AF403" s="21">
        <v>0</v>
      </c>
      <c r="AG403" s="21">
        <v>0</v>
      </c>
      <c r="AH403" s="21">
        <v>0</v>
      </c>
      <c r="AI403" s="21">
        <v>0</v>
      </c>
      <c r="AJ403" s="21">
        <v>0</v>
      </c>
      <c r="AK403" s="21">
        <v>0</v>
      </c>
      <c r="AL403" s="21">
        <v>0</v>
      </c>
      <c r="AM403" s="21">
        <v>1</v>
      </c>
      <c r="AN403" s="21">
        <v>1</v>
      </c>
      <c r="AO403" s="21">
        <v>1</v>
      </c>
      <c r="AP403" s="21">
        <v>1</v>
      </c>
      <c r="AQ403" s="21">
        <v>0</v>
      </c>
      <c r="AR403" s="21">
        <v>0</v>
      </c>
      <c r="AS403" s="21">
        <v>0</v>
      </c>
      <c r="AT403" s="21">
        <v>1</v>
      </c>
      <c r="AU403" s="21">
        <v>0</v>
      </c>
      <c r="AV403" s="21">
        <v>0</v>
      </c>
      <c r="AW403" s="21">
        <v>0</v>
      </c>
      <c r="AX403" s="21">
        <v>0</v>
      </c>
      <c r="AY403" s="21">
        <v>1</v>
      </c>
      <c r="AZ403" s="21">
        <v>0</v>
      </c>
      <c r="BA403" s="21">
        <v>1</v>
      </c>
      <c r="BB403" s="21">
        <v>0</v>
      </c>
      <c r="BC403" s="21">
        <v>0</v>
      </c>
      <c r="BD403" s="21">
        <v>0</v>
      </c>
      <c r="BE403" s="21">
        <v>0</v>
      </c>
      <c r="BF403" s="21">
        <v>0</v>
      </c>
      <c r="BG403" s="21">
        <v>0</v>
      </c>
      <c r="BH403" s="21">
        <v>0</v>
      </c>
      <c r="BI403" s="21">
        <v>0</v>
      </c>
      <c r="BJ403" s="21">
        <v>0</v>
      </c>
      <c r="BK403" s="21">
        <v>1</v>
      </c>
      <c r="BL403" s="21">
        <v>1</v>
      </c>
      <c r="BM403" s="21">
        <v>0</v>
      </c>
      <c r="BN403" s="21">
        <v>1</v>
      </c>
      <c r="BO403" s="21">
        <v>0</v>
      </c>
      <c r="BP403" s="21">
        <v>0</v>
      </c>
      <c r="BQ403" s="21">
        <v>0</v>
      </c>
      <c r="BR403" s="21">
        <v>0</v>
      </c>
      <c r="BS403" s="21">
        <v>0</v>
      </c>
    </row>
    <row r="404" spans="1:71">
      <c r="A404" s="1" t="s">
        <v>5207</v>
      </c>
      <c r="B404">
        <v>32</v>
      </c>
      <c r="C404">
        <v>192</v>
      </c>
      <c r="D404" s="21">
        <v>2019</v>
      </c>
      <c r="E404" s="23">
        <v>-1.1399999999999999</v>
      </c>
      <c r="F404" s="14">
        <f t="shared" ref="F404:F419" si="25">E404/G404</f>
        <v>3.4819792302993278E-2</v>
      </c>
      <c r="G404" s="23">
        <v>-32.74</v>
      </c>
      <c r="H404" s="27">
        <v>0</v>
      </c>
      <c r="I404" s="21">
        <v>1</v>
      </c>
      <c r="J404" s="21">
        <v>420</v>
      </c>
      <c r="K404" s="21">
        <v>1</v>
      </c>
      <c r="L404" s="21">
        <v>0</v>
      </c>
      <c r="M404" s="21">
        <v>0</v>
      </c>
      <c r="N404" s="21">
        <v>0</v>
      </c>
      <c r="O404" s="21">
        <v>0</v>
      </c>
      <c r="P404">
        <v>0</v>
      </c>
      <c r="Q404" s="21">
        <v>1</v>
      </c>
      <c r="R404" s="21">
        <v>0</v>
      </c>
      <c r="S404" s="21">
        <v>0</v>
      </c>
      <c r="T404" s="21">
        <v>1</v>
      </c>
      <c r="U404" s="21">
        <v>1995</v>
      </c>
      <c r="V404" s="21">
        <v>2014</v>
      </c>
      <c r="W404">
        <f t="shared" si="24"/>
        <v>2005</v>
      </c>
      <c r="X404" s="21">
        <v>1</v>
      </c>
      <c r="Y404" s="21">
        <v>0</v>
      </c>
      <c r="Z404" s="21">
        <v>0</v>
      </c>
      <c r="AA404" s="21">
        <v>0</v>
      </c>
      <c r="AB404" s="21">
        <v>0</v>
      </c>
      <c r="AC404" s="21">
        <v>1</v>
      </c>
      <c r="AD404" s="21">
        <v>0</v>
      </c>
      <c r="AE404" s="21">
        <v>0</v>
      </c>
      <c r="AF404" s="21">
        <v>1</v>
      </c>
      <c r="AG404" s="21">
        <v>0</v>
      </c>
      <c r="AH404" s="21">
        <v>0</v>
      </c>
      <c r="AI404" s="21">
        <v>0</v>
      </c>
      <c r="AJ404" s="21">
        <v>0</v>
      </c>
      <c r="AK404" s="21">
        <v>0</v>
      </c>
      <c r="AL404" s="21">
        <v>0</v>
      </c>
      <c r="AM404" s="21">
        <v>1</v>
      </c>
      <c r="AN404" s="21">
        <v>0</v>
      </c>
      <c r="AO404" s="21">
        <v>1</v>
      </c>
      <c r="AP404" s="21">
        <v>0</v>
      </c>
      <c r="AQ404" s="21">
        <v>0</v>
      </c>
      <c r="AR404" s="21">
        <v>1</v>
      </c>
      <c r="AS404" s="21">
        <v>1</v>
      </c>
      <c r="AT404" s="21">
        <v>1</v>
      </c>
      <c r="AU404" s="21">
        <v>1</v>
      </c>
      <c r="AV404" s="21">
        <v>0</v>
      </c>
      <c r="AW404" s="21">
        <v>1</v>
      </c>
      <c r="AX404" s="21">
        <v>0</v>
      </c>
      <c r="AY404" s="21">
        <v>1</v>
      </c>
      <c r="AZ404" s="21">
        <v>1</v>
      </c>
      <c r="BA404" s="21">
        <v>1</v>
      </c>
      <c r="BB404" s="21">
        <v>1</v>
      </c>
      <c r="BC404" s="21">
        <v>0</v>
      </c>
      <c r="BD404" s="21">
        <v>0</v>
      </c>
      <c r="BE404" s="21">
        <v>0</v>
      </c>
      <c r="BF404" s="21">
        <v>0</v>
      </c>
      <c r="BG404" s="21">
        <v>1</v>
      </c>
      <c r="BH404" s="21">
        <v>0</v>
      </c>
      <c r="BI404" s="21">
        <v>0</v>
      </c>
      <c r="BJ404" s="21">
        <v>0</v>
      </c>
      <c r="BK404" s="21">
        <v>1</v>
      </c>
      <c r="BL404" s="21">
        <v>0</v>
      </c>
      <c r="BM404" s="21">
        <v>0</v>
      </c>
      <c r="BN404" s="21">
        <v>0</v>
      </c>
      <c r="BO404" s="21">
        <v>0</v>
      </c>
      <c r="BP404" s="21">
        <v>0</v>
      </c>
      <c r="BQ404" s="21">
        <v>1</v>
      </c>
      <c r="BR404" s="21">
        <v>0</v>
      </c>
      <c r="BS404" s="21">
        <v>0</v>
      </c>
    </row>
    <row r="405" spans="1:71">
      <c r="A405" s="1" t="s">
        <v>5207</v>
      </c>
      <c r="B405">
        <v>32</v>
      </c>
      <c r="C405">
        <v>193</v>
      </c>
      <c r="D405" s="21">
        <v>2019</v>
      </c>
      <c r="E405" s="23">
        <v>-1.4</v>
      </c>
      <c r="F405" s="14">
        <f t="shared" si="25"/>
        <v>3.9795338260375214E-2</v>
      </c>
      <c r="G405" s="23">
        <v>-35.18</v>
      </c>
      <c r="H405" s="27">
        <v>0</v>
      </c>
      <c r="I405" s="21">
        <v>1</v>
      </c>
      <c r="J405" s="21">
        <v>420</v>
      </c>
      <c r="K405" s="21">
        <v>1</v>
      </c>
      <c r="L405" s="21">
        <v>0</v>
      </c>
      <c r="M405" s="21">
        <v>0</v>
      </c>
      <c r="N405" s="21">
        <v>0</v>
      </c>
      <c r="O405" s="21">
        <v>0</v>
      </c>
      <c r="P405">
        <v>0</v>
      </c>
      <c r="Q405" s="21">
        <v>1</v>
      </c>
      <c r="R405" s="21">
        <v>0</v>
      </c>
      <c r="S405" s="21">
        <v>0</v>
      </c>
      <c r="T405" s="21">
        <v>1</v>
      </c>
      <c r="U405" s="21">
        <v>1995</v>
      </c>
      <c r="V405" s="21">
        <v>2014</v>
      </c>
      <c r="W405">
        <f t="shared" si="24"/>
        <v>2005</v>
      </c>
      <c r="X405" s="21">
        <v>1</v>
      </c>
      <c r="Y405" s="21">
        <v>0</v>
      </c>
      <c r="Z405" s="21">
        <v>0</v>
      </c>
      <c r="AA405" s="21">
        <v>0</v>
      </c>
      <c r="AB405" s="21">
        <v>0</v>
      </c>
      <c r="AC405" s="21">
        <v>1</v>
      </c>
      <c r="AD405" s="21">
        <v>0</v>
      </c>
      <c r="AE405" s="21">
        <v>0</v>
      </c>
      <c r="AF405" s="21">
        <v>1</v>
      </c>
      <c r="AG405" s="21">
        <v>0</v>
      </c>
      <c r="AH405" s="21">
        <v>0</v>
      </c>
      <c r="AI405" s="21">
        <v>0</v>
      </c>
      <c r="AJ405" s="21">
        <v>0</v>
      </c>
      <c r="AK405" s="21">
        <v>0</v>
      </c>
      <c r="AL405" s="21">
        <v>0</v>
      </c>
      <c r="AM405" s="21">
        <v>1</v>
      </c>
      <c r="AN405" s="21">
        <v>0</v>
      </c>
      <c r="AO405" s="21">
        <v>1</v>
      </c>
      <c r="AP405" s="21">
        <v>0</v>
      </c>
      <c r="AQ405" s="21">
        <v>0</v>
      </c>
      <c r="AR405" s="21">
        <v>1</v>
      </c>
      <c r="AS405" s="21">
        <v>1</v>
      </c>
      <c r="AT405" s="21">
        <v>1</v>
      </c>
      <c r="AU405" s="21">
        <v>1</v>
      </c>
      <c r="AV405" s="21">
        <v>0</v>
      </c>
      <c r="AW405" s="21">
        <v>1</v>
      </c>
      <c r="AX405" s="21">
        <v>0</v>
      </c>
      <c r="AY405" s="21">
        <v>1</v>
      </c>
      <c r="AZ405" s="21">
        <v>1</v>
      </c>
      <c r="BA405" s="21">
        <v>1</v>
      </c>
      <c r="BB405" s="21">
        <v>1</v>
      </c>
      <c r="BC405" s="21">
        <v>0</v>
      </c>
      <c r="BD405" s="21">
        <v>0</v>
      </c>
      <c r="BE405" s="21">
        <v>0</v>
      </c>
      <c r="BF405" s="21">
        <v>0</v>
      </c>
      <c r="BG405" s="21">
        <v>1</v>
      </c>
      <c r="BH405" s="21">
        <v>0</v>
      </c>
      <c r="BI405" s="21">
        <v>0</v>
      </c>
      <c r="BJ405" s="21">
        <v>0</v>
      </c>
      <c r="BK405" s="21">
        <v>1</v>
      </c>
      <c r="BL405" s="21">
        <v>1</v>
      </c>
      <c r="BM405" s="21">
        <v>0</v>
      </c>
      <c r="BN405" s="21">
        <v>0</v>
      </c>
      <c r="BO405" s="21">
        <v>0</v>
      </c>
      <c r="BP405" s="21">
        <v>0</v>
      </c>
      <c r="BQ405" s="21">
        <v>1</v>
      </c>
      <c r="BR405" s="21">
        <v>0</v>
      </c>
      <c r="BS405" s="21">
        <v>0</v>
      </c>
    </row>
    <row r="406" spans="1:71">
      <c r="A406" s="1" t="s">
        <v>5207</v>
      </c>
      <c r="B406">
        <v>32</v>
      </c>
      <c r="C406">
        <v>194</v>
      </c>
      <c r="D406" s="21">
        <v>2019</v>
      </c>
      <c r="E406" s="23">
        <v>-1.33</v>
      </c>
      <c r="F406" s="14">
        <f t="shared" si="25"/>
        <v>4.4318560479840056E-2</v>
      </c>
      <c r="G406" s="23">
        <v>-30.01</v>
      </c>
      <c r="H406" s="27">
        <v>0</v>
      </c>
      <c r="I406" s="21">
        <v>1</v>
      </c>
      <c r="J406" s="21">
        <v>420</v>
      </c>
      <c r="K406" s="21">
        <v>1</v>
      </c>
      <c r="L406" s="21">
        <v>0</v>
      </c>
      <c r="M406" s="21">
        <v>0</v>
      </c>
      <c r="N406" s="21">
        <v>0</v>
      </c>
      <c r="O406" s="21">
        <v>0</v>
      </c>
      <c r="P406">
        <v>0</v>
      </c>
      <c r="Q406" s="21">
        <v>1</v>
      </c>
      <c r="R406" s="21">
        <v>0</v>
      </c>
      <c r="S406" s="21">
        <v>0</v>
      </c>
      <c r="T406" s="21">
        <v>1</v>
      </c>
      <c r="U406" s="21">
        <v>1995</v>
      </c>
      <c r="V406" s="21">
        <v>2014</v>
      </c>
      <c r="W406">
        <f t="shared" si="24"/>
        <v>2005</v>
      </c>
      <c r="X406" s="21">
        <v>1</v>
      </c>
      <c r="Y406" s="21">
        <v>0</v>
      </c>
      <c r="Z406" s="21">
        <v>0</v>
      </c>
      <c r="AA406" s="21">
        <v>0</v>
      </c>
      <c r="AB406" s="21">
        <v>0</v>
      </c>
      <c r="AC406" s="21">
        <v>1</v>
      </c>
      <c r="AD406" s="21">
        <v>0</v>
      </c>
      <c r="AE406" s="21">
        <v>0</v>
      </c>
      <c r="AF406" s="21">
        <v>1</v>
      </c>
      <c r="AG406" s="21">
        <v>0</v>
      </c>
      <c r="AH406" s="21">
        <v>0</v>
      </c>
      <c r="AI406" s="21">
        <v>0</v>
      </c>
      <c r="AJ406" s="21">
        <v>0</v>
      </c>
      <c r="AK406" s="21">
        <v>0</v>
      </c>
      <c r="AL406" s="21">
        <v>0</v>
      </c>
      <c r="AM406" s="21">
        <v>1</v>
      </c>
      <c r="AN406" s="21">
        <v>0</v>
      </c>
      <c r="AO406" s="21">
        <v>1</v>
      </c>
      <c r="AP406" s="21">
        <v>0</v>
      </c>
      <c r="AQ406" s="21">
        <v>0</v>
      </c>
      <c r="AR406" s="21">
        <v>1</v>
      </c>
      <c r="AS406" s="21">
        <v>1</v>
      </c>
      <c r="AT406" s="21">
        <v>1</v>
      </c>
      <c r="AU406" s="21">
        <v>1</v>
      </c>
      <c r="AV406" s="21">
        <v>0</v>
      </c>
      <c r="AW406" s="21">
        <v>1</v>
      </c>
      <c r="AX406" s="21">
        <v>0</v>
      </c>
      <c r="AY406" s="21">
        <v>1</v>
      </c>
      <c r="AZ406" s="21">
        <v>1</v>
      </c>
      <c r="BA406" s="21">
        <v>1</v>
      </c>
      <c r="BB406" s="21">
        <v>1</v>
      </c>
      <c r="BC406" s="21">
        <v>0</v>
      </c>
      <c r="BD406" s="21">
        <v>0</v>
      </c>
      <c r="BE406" s="21">
        <v>0</v>
      </c>
      <c r="BF406" s="21">
        <v>0</v>
      </c>
      <c r="BG406" s="21">
        <v>1</v>
      </c>
      <c r="BH406" s="21">
        <v>0</v>
      </c>
      <c r="BI406" s="21">
        <v>0</v>
      </c>
      <c r="BJ406" s="21">
        <v>0</v>
      </c>
      <c r="BK406" s="21">
        <v>1</v>
      </c>
      <c r="BL406" s="21">
        <v>1</v>
      </c>
      <c r="BM406" s="21">
        <v>0</v>
      </c>
      <c r="BN406" s="21">
        <v>0</v>
      </c>
      <c r="BO406" s="21">
        <v>0</v>
      </c>
      <c r="BP406" s="21">
        <v>0</v>
      </c>
      <c r="BQ406" s="21">
        <v>1</v>
      </c>
      <c r="BR406" s="21">
        <v>0</v>
      </c>
      <c r="BS406" s="21">
        <v>0</v>
      </c>
    </row>
    <row r="407" spans="1:71">
      <c r="A407" s="1" t="s">
        <v>5207</v>
      </c>
      <c r="B407">
        <v>32</v>
      </c>
      <c r="C407">
        <v>195</v>
      </c>
      <c r="D407" s="21">
        <v>2019</v>
      </c>
      <c r="E407" s="23">
        <v>-1.1499999999999999</v>
      </c>
      <c r="F407" s="14">
        <f t="shared" si="25"/>
        <v>0.10540788267644362</v>
      </c>
      <c r="G407" s="23">
        <v>-10.91</v>
      </c>
      <c r="H407" s="27">
        <v>0</v>
      </c>
      <c r="I407" s="21">
        <v>1</v>
      </c>
      <c r="J407" s="21">
        <v>420</v>
      </c>
      <c r="K407" s="21">
        <v>1</v>
      </c>
      <c r="L407" s="21">
        <v>0</v>
      </c>
      <c r="M407" s="21">
        <v>0</v>
      </c>
      <c r="N407" s="21">
        <v>0</v>
      </c>
      <c r="O407" s="21">
        <v>0</v>
      </c>
      <c r="P407">
        <v>0</v>
      </c>
      <c r="Q407" s="21">
        <v>1</v>
      </c>
      <c r="R407" s="21">
        <v>0</v>
      </c>
      <c r="S407" s="21">
        <v>0</v>
      </c>
      <c r="T407" s="21">
        <v>1</v>
      </c>
      <c r="U407" s="21">
        <v>1995</v>
      </c>
      <c r="V407" s="21">
        <v>2014</v>
      </c>
      <c r="W407">
        <f t="shared" si="24"/>
        <v>2005</v>
      </c>
      <c r="X407" s="21">
        <v>1</v>
      </c>
      <c r="Y407" s="21">
        <v>0</v>
      </c>
      <c r="Z407" s="21">
        <v>0</v>
      </c>
      <c r="AA407" s="21">
        <v>0</v>
      </c>
      <c r="AB407" s="21">
        <v>0</v>
      </c>
      <c r="AC407" s="21">
        <v>1</v>
      </c>
      <c r="AD407" s="21">
        <v>0</v>
      </c>
      <c r="AE407" s="21">
        <v>0</v>
      </c>
      <c r="AF407" s="21">
        <v>1</v>
      </c>
      <c r="AG407" s="21">
        <v>0</v>
      </c>
      <c r="AH407" s="21">
        <v>0</v>
      </c>
      <c r="AI407" s="21">
        <v>0</v>
      </c>
      <c r="AJ407" s="21">
        <v>0</v>
      </c>
      <c r="AK407" s="21">
        <v>0</v>
      </c>
      <c r="AL407" s="21">
        <v>0</v>
      </c>
      <c r="AM407" s="21">
        <v>1</v>
      </c>
      <c r="AN407" s="21">
        <v>0</v>
      </c>
      <c r="AO407" s="21">
        <v>1</v>
      </c>
      <c r="AP407" s="21">
        <v>0</v>
      </c>
      <c r="AQ407" s="21">
        <v>0</v>
      </c>
      <c r="AR407" s="21">
        <v>1</v>
      </c>
      <c r="AS407" s="21">
        <v>1</v>
      </c>
      <c r="AT407" s="21">
        <v>1</v>
      </c>
      <c r="AU407" s="21">
        <v>1</v>
      </c>
      <c r="AV407" s="21">
        <v>0</v>
      </c>
      <c r="AW407" s="21">
        <v>1</v>
      </c>
      <c r="AX407" s="21">
        <v>0</v>
      </c>
      <c r="AY407" s="21">
        <v>1</v>
      </c>
      <c r="AZ407" s="21">
        <v>1</v>
      </c>
      <c r="BA407" s="21">
        <v>1</v>
      </c>
      <c r="BB407" s="21">
        <v>1</v>
      </c>
      <c r="BC407" s="21">
        <v>0</v>
      </c>
      <c r="BD407" s="21">
        <v>0</v>
      </c>
      <c r="BE407" s="21">
        <v>0</v>
      </c>
      <c r="BF407" s="21">
        <v>0</v>
      </c>
      <c r="BG407" s="21">
        <v>1</v>
      </c>
      <c r="BH407" s="21">
        <v>0</v>
      </c>
      <c r="BI407" s="21">
        <v>0</v>
      </c>
      <c r="BJ407" s="21">
        <v>0</v>
      </c>
      <c r="BK407" s="21">
        <v>1</v>
      </c>
      <c r="BL407" s="21">
        <v>1</v>
      </c>
      <c r="BM407" s="21">
        <v>0</v>
      </c>
      <c r="BN407" s="21">
        <v>0</v>
      </c>
      <c r="BO407" s="21">
        <v>0</v>
      </c>
      <c r="BP407" s="21">
        <v>0</v>
      </c>
      <c r="BQ407" s="21">
        <v>1</v>
      </c>
      <c r="BR407" s="21">
        <v>0</v>
      </c>
      <c r="BS407" s="21">
        <v>0</v>
      </c>
    </row>
    <row r="408" spans="1:71">
      <c r="A408" s="1" t="s">
        <v>5207</v>
      </c>
      <c r="B408">
        <v>32</v>
      </c>
      <c r="C408">
        <v>196</v>
      </c>
      <c r="D408" s="21">
        <v>2019</v>
      </c>
      <c r="E408" s="23">
        <v>-0.99</v>
      </c>
      <c r="F408" s="14">
        <f t="shared" si="25"/>
        <v>4.5559134836631383E-2</v>
      </c>
      <c r="G408" s="23">
        <v>-21.73</v>
      </c>
      <c r="H408" s="27">
        <v>0</v>
      </c>
      <c r="I408" s="21">
        <v>1</v>
      </c>
      <c r="J408" s="21">
        <v>420</v>
      </c>
      <c r="K408" s="21">
        <v>1</v>
      </c>
      <c r="L408" s="21">
        <v>0</v>
      </c>
      <c r="M408" s="21">
        <v>0</v>
      </c>
      <c r="N408" s="21">
        <v>0</v>
      </c>
      <c r="O408" s="21">
        <v>0</v>
      </c>
      <c r="P408">
        <v>0</v>
      </c>
      <c r="Q408" s="21">
        <v>1</v>
      </c>
      <c r="R408" s="21">
        <v>0</v>
      </c>
      <c r="S408" s="21">
        <v>0</v>
      </c>
      <c r="T408" s="21">
        <v>1</v>
      </c>
      <c r="U408" s="21">
        <v>1995</v>
      </c>
      <c r="V408" s="21">
        <v>2014</v>
      </c>
      <c r="W408">
        <f t="shared" si="24"/>
        <v>2005</v>
      </c>
      <c r="X408" s="21">
        <v>1</v>
      </c>
      <c r="Y408" s="21">
        <v>0</v>
      </c>
      <c r="Z408" s="21">
        <v>0</v>
      </c>
      <c r="AA408" s="21">
        <v>0</v>
      </c>
      <c r="AB408" s="21">
        <v>0</v>
      </c>
      <c r="AC408" s="21">
        <v>1</v>
      </c>
      <c r="AD408" s="21">
        <v>0</v>
      </c>
      <c r="AE408" s="21">
        <v>0</v>
      </c>
      <c r="AF408" s="21">
        <v>1</v>
      </c>
      <c r="AG408" s="21">
        <v>0</v>
      </c>
      <c r="AH408" s="21">
        <v>0</v>
      </c>
      <c r="AI408" s="21">
        <v>0</v>
      </c>
      <c r="AJ408" s="21">
        <v>0</v>
      </c>
      <c r="AK408" s="21">
        <v>0</v>
      </c>
      <c r="AL408" s="21">
        <v>0</v>
      </c>
      <c r="AM408" s="21">
        <v>1</v>
      </c>
      <c r="AN408" s="21">
        <v>0</v>
      </c>
      <c r="AO408" s="21">
        <v>1</v>
      </c>
      <c r="AP408" s="21">
        <v>0</v>
      </c>
      <c r="AQ408" s="21">
        <v>0</v>
      </c>
      <c r="AR408" s="21">
        <v>1</v>
      </c>
      <c r="AS408" s="21">
        <v>1</v>
      </c>
      <c r="AT408" s="21">
        <v>1</v>
      </c>
      <c r="AU408" s="21">
        <v>1</v>
      </c>
      <c r="AV408" s="21">
        <v>0</v>
      </c>
      <c r="AW408" s="21">
        <v>1</v>
      </c>
      <c r="AX408" s="21">
        <v>0</v>
      </c>
      <c r="AY408" s="21">
        <v>1</v>
      </c>
      <c r="AZ408" s="21">
        <v>1</v>
      </c>
      <c r="BA408" s="21">
        <v>1</v>
      </c>
      <c r="BB408" s="21">
        <v>1</v>
      </c>
      <c r="BC408" s="21">
        <v>0</v>
      </c>
      <c r="BD408" s="21">
        <v>0</v>
      </c>
      <c r="BE408" s="21">
        <v>0</v>
      </c>
      <c r="BF408" s="21">
        <v>0</v>
      </c>
      <c r="BG408" s="21">
        <v>1</v>
      </c>
      <c r="BH408" s="21">
        <v>0</v>
      </c>
      <c r="BI408" s="21">
        <v>0</v>
      </c>
      <c r="BJ408" s="21">
        <v>0</v>
      </c>
      <c r="BK408" s="21">
        <v>1</v>
      </c>
      <c r="BL408" s="21">
        <v>1</v>
      </c>
      <c r="BM408" s="21">
        <v>0</v>
      </c>
      <c r="BN408" s="21">
        <v>1</v>
      </c>
      <c r="BO408" s="21">
        <v>0</v>
      </c>
      <c r="BP408" s="21">
        <v>0</v>
      </c>
      <c r="BQ408" s="21">
        <v>1</v>
      </c>
      <c r="BR408" s="21">
        <v>0</v>
      </c>
      <c r="BS408" s="21">
        <v>0</v>
      </c>
    </row>
    <row r="409" spans="1:71">
      <c r="A409" s="1" t="s">
        <v>5207</v>
      </c>
      <c r="B409">
        <v>32</v>
      </c>
      <c r="C409">
        <v>197</v>
      </c>
      <c r="D409" s="21">
        <v>2019</v>
      </c>
      <c r="E409" s="23">
        <v>-1.01</v>
      </c>
      <c r="F409" s="14">
        <f t="shared" si="25"/>
        <v>0.10488058151609553</v>
      </c>
      <c r="G409" s="23">
        <v>-9.6300000000000008</v>
      </c>
      <c r="H409" s="27">
        <v>0</v>
      </c>
      <c r="I409" s="21">
        <v>1</v>
      </c>
      <c r="J409" s="21">
        <v>399</v>
      </c>
      <c r="K409" s="21">
        <v>1</v>
      </c>
      <c r="L409" s="21">
        <v>0</v>
      </c>
      <c r="M409" s="21">
        <v>0</v>
      </c>
      <c r="N409" s="21">
        <v>0</v>
      </c>
      <c r="O409" s="21">
        <v>0</v>
      </c>
      <c r="P409">
        <v>0</v>
      </c>
      <c r="Q409" s="21">
        <v>1</v>
      </c>
      <c r="R409" s="21">
        <v>0</v>
      </c>
      <c r="S409" s="21">
        <v>0</v>
      </c>
      <c r="T409" s="21">
        <v>1</v>
      </c>
      <c r="U409" s="21">
        <v>1995</v>
      </c>
      <c r="V409" s="21">
        <v>2014</v>
      </c>
      <c r="W409">
        <f t="shared" si="24"/>
        <v>2005</v>
      </c>
      <c r="X409" s="21">
        <v>1</v>
      </c>
      <c r="Y409" s="21">
        <v>0</v>
      </c>
      <c r="Z409" s="21">
        <v>0</v>
      </c>
      <c r="AA409" s="21">
        <v>0</v>
      </c>
      <c r="AB409" s="21">
        <v>0</v>
      </c>
      <c r="AC409" s="21">
        <v>1</v>
      </c>
      <c r="AD409" s="21">
        <v>0</v>
      </c>
      <c r="AE409" s="21">
        <v>0</v>
      </c>
      <c r="AF409" s="21">
        <v>1</v>
      </c>
      <c r="AG409" s="21">
        <v>0</v>
      </c>
      <c r="AH409" s="21">
        <v>0</v>
      </c>
      <c r="AI409" s="21">
        <v>0</v>
      </c>
      <c r="AJ409" s="21">
        <v>0</v>
      </c>
      <c r="AK409" s="21">
        <v>0</v>
      </c>
      <c r="AL409" s="21">
        <v>0</v>
      </c>
      <c r="AM409" s="21">
        <v>1</v>
      </c>
      <c r="AN409" s="21">
        <v>0</v>
      </c>
      <c r="AO409" s="21">
        <v>1</v>
      </c>
      <c r="AP409" s="21">
        <v>0</v>
      </c>
      <c r="AQ409" s="21">
        <v>0</v>
      </c>
      <c r="AR409" s="21">
        <v>1</v>
      </c>
      <c r="AS409" s="21">
        <v>1</v>
      </c>
      <c r="AT409" s="21">
        <v>1</v>
      </c>
      <c r="AU409" s="21">
        <v>1</v>
      </c>
      <c r="AV409" s="21">
        <v>0</v>
      </c>
      <c r="AW409" s="21">
        <v>1</v>
      </c>
      <c r="AX409" s="21">
        <v>0</v>
      </c>
      <c r="AY409" s="21">
        <v>1</v>
      </c>
      <c r="AZ409" s="21">
        <v>1</v>
      </c>
      <c r="BA409" s="21">
        <v>1</v>
      </c>
      <c r="BB409" s="21">
        <v>1</v>
      </c>
      <c r="BC409" s="21">
        <v>0</v>
      </c>
      <c r="BD409" s="21">
        <v>0</v>
      </c>
      <c r="BE409" s="21">
        <v>0</v>
      </c>
      <c r="BF409" s="21">
        <v>0</v>
      </c>
      <c r="BG409" s="21">
        <v>1</v>
      </c>
      <c r="BH409" s="21">
        <v>0</v>
      </c>
      <c r="BI409" s="21">
        <v>0</v>
      </c>
      <c r="BJ409" s="21">
        <v>0</v>
      </c>
      <c r="BK409" s="21">
        <v>1</v>
      </c>
      <c r="BL409" s="21">
        <v>1</v>
      </c>
      <c r="BM409" s="21">
        <v>0</v>
      </c>
      <c r="BN409" s="21">
        <v>1</v>
      </c>
      <c r="BO409" s="21">
        <v>0</v>
      </c>
      <c r="BP409" s="21">
        <v>0</v>
      </c>
      <c r="BQ409" s="21">
        <v>1</v>
      </c>
      <c r="BR409" s="21">
        <v>0</v>
      </c>
      <c r="BS409" s="21">
        <v>0</v>
      </c>
    </row>
    <row r="410" spans="1:71">
      <c r="A410" s="1" t="s">
        <v>5207</v>
      </c>
      <c r="B410">
        <v>32</v>
      </c>
      <c r="C410">
        <v>198</v>
      </c>
      <c r="D410" s="21">
        <v>2019</v>
      </c>
      <c r="E410" s="23">
        <v>-1</v>
      </c>
      <c r="F410" s="14">
        <f t="shared" si="25"/>
        <v>0.11061946902654868</v>
      </c>
      <c r="G410" s="23">
        <v>-9.0399999999999991</v>
      </c>
      <c r="H410" s="27">
        <v>0</v>
      </c>
      <c r="I410" s="21">
        <v>1</v>
      </c>
      <c r="J410" s="21">
        <v>399</v>
      </c>
      <c r="K410" s="21">
        <v>1</v>
      </c>
      <c r="L410" s="21">
        <v>0</v>
      </c>
      <c r="M410" s="21">
        <v>0</v>
      </c>
      <c r="N410" s="21">
        <v>0</v>
      </c>
      <c r="O410" s="21">
        <v>0</v>
      </c>
      <c r="P410">
        <v>0</v>
      </c>
      <c r="Q410" s="21">
        <v>1</v>
      </c>
      <c r="R410" s="21">
        <v>0</v>
      </c>
      <c r="S410" s="21">
        <v>0</v>
      </c>
      <c r="T410" s="21">
        <v>1</v>
      </c>
      <c r="U410" s="21">
        <v>1995</v>
      </c>
      <c r="V410" s="21">
        <v>2014</v>
      </c>
      <c r="W410">
        <f t="shared" si="24"/>
        <v>2005</v>
      </c>
      <c r="X410" s="21">
        <v>1</v>
      </c>
      <c r="Y410" s="21">
        <v>0</v>
      </c>
      <c r="Z410" s="21">
        <v>0</v>
      </c>
      <c r="AA410" s="21">
        <v>0</v>
      </c>
      <c r="AB410" s="21">
        <v>0</v>
      </c>
      <c r="AC410" s="21">
        <v>1</v>
      </c>
      <c r="AD410" s="21">
        <v>0</v>
      </c>
      <c r="AE410" s="21">
        <v>0</v>
      </c>
      <c r="AF410" s="21">
        <v>1</v>
      </c>
      <c r="AG410" s="21">
        <v>0</v>
      </c>
      <c r="AH410" s="21">
        <v>0</v>
      </c>
      <c r="AI410" s="21">
        <v>0</v>
      </c>
      <c r="AJ410" s="21">
        <v>0</v>
      </c>
      <c r="AK410" s="21">
        <v>0</v>
      </c>
      <c r="AL410" s="21">
        <v>0</v>
      </c>
      <c r="AM410" s="21">
        <v>1</v>
      </c>
      <c r="AN410" s="21">
        <v>0</v>
      </c>
      <c r="AO410" s="21">
        <v>1</v>
      </c>
      <c r="AP410" s="21">
        <v>0</v>
      </c>
      <c r="AQ410" s="21">
        <v>0</v>
      </c>
      <c r="AR410" s="21">
        <v>1</v>
      </c>
      <c r="AS410" s="21">
        <v>1</v>
      </c>
      <c r="AT410" s="21">
        <v>1</v>
      </c>
      <c r="AU410" s="21">
        <v>1</v>
      </c>
      <c r="AV410" s="21">
        <v>0</v>
      </c>
      <c r="AW410" s="21">
        <v>1</v>
      </c>
      <c r="AX410" s="21">
        <v>0</v>
      </c>
      <c r="AY410" s="21">
        <v>1</v>
      </c>
      <c r="AZ410" s="21">
        <v>1</v>
      </c>
      <c r="BA410" s="21">
        <v>1</v>
      </c>
      <c r="BB410" s="21">
        <v>1</v>
      </c>
      <c r="BC410" s="21">
        <v>0</v>
      </c>
      <c r="BD410" s="21">
        <v>0</v>
      </c>
      <c r="BE410" s="21">
        <v>0</v>
      </c>
      <c r="BF410" s="21">
        <v>0</v>
      </c>
      <c r="BG410" s="21">
        <v>1</v>
      </c>
      <c r="BH410" s="21">
        <v>0</v>
      </c>
      <c r="BI410" s="21">
        <v>0</v>
      </c>
      <c r="BJ410" s="21">
        <v>0</v>
      </c>
      <c r="BK410" s="21">
        <v>1</v>
      </c>
      <c r="BL410" s="21">
        <v>1</v>
      </c>
      <c r="BM410" s="21">
        <v>0</v>
      </c>
      <c r="BN410" s="21">
        <v>1</v>
      </c>
      <c r="BO410" s="21">
        <v>0</v>
      </c>
      <c r="BP410" s="21">
        <v>0</v>
      </c>
      <c r="BQ410" s="21">
        <v>1</v>
      </c>
      <c r="BR410" s="21">
        <v>0</v>
      </c>
      <c r="BS410" s="21">
        <v>0</v>
      </c>
    </row>
    <row r="411" spans="1:71">
      <c r="A411" s="1" t="s">
        <v>5207</v>
      </c>
      <c r="B411">
        <v>32</v>
      </c>
      <c r="C411">
        <v>199</v>
      </c>
      <c r="D411" s="21">
        <v>2019</v>
      </c>
      <c r="E411" s="23">
        <v>-1.38</v>
      </c>
      <c r="F411" s="14">
        <f t="shared" si="25"/>
        <v>8.7397086763774542E-2</v>
      </c>
      <c r="G411" s="23">
        <v>-15.79</v>
      </c>
      <c r="H411" s="27">
        <v>0</v>
      </c>
      <c r="I411" s="21">
        <v>1</v>
      </c>
      <c r="J411" s="21">
        <v>420</v>
      </c>
      <c r="K411" s="21">
        <v>1</v>
      </c>
      <c r="L411" s="21">
        <v>0</v>
      </c>
      <c r="M411" s="21">
        <v>0</v>
      </c>
      <c r="N411" s="21">
        <v>0</v>
      </c>
      <c r="O411" s="21">
        <v>0</v>
      </c>
      <c r="P411">
        <v>0</v>
      </c>
      <c r="Q411" s="21">
        <v>1</v>
      </c>
      <c r="R411" s="21">
        <v>0</v>
      </c>
      <c r="S411" s="21">
        <v>0</v>
      </c>
      <c r="T411" s="21">
        <v>1</v>
      </c>
      <c r="U411" s="21">
        <v>1995</v>
      </c>
      <c r="V411" s="21">
        <v>2014</v>
      </c>
      <c r="W411">
        <f t="shared" si="24"/>
        <v>2005</v>
      </c>
      <c r="X411" s="21">
        <v>1</v>
      </c>
      <c r="Y411" s="21">
        <v>0</v>
      </c>
      <c r="Z411" s="21">
        <v>0</v>
      </c>
      <c r="AA411" s="21">
        <v>0</v>
      </c>
      <c r="AB411" s="21">
        <v>0</v>
      </c>
      <c r="AC411" s="21">
        <v>1</v>
      </c>
      <c r="AD411" s="21">
        <v>0</v>
      </c>
      <c r="AE411" s="21">
        <v>0</v>
      </c>
      <c r="AF411" s="21">
        <v>1</v>
      </c>
      <c r="AG411" s="21">
        <v>0</v>
      </c>
      <c r="AH411" s="21">
        <v>0</v>
      </c>
      <c r="AI411" s="21">
        <v>0</v>
      </c>
      <c r="AJ411" s="21">
        <v>0</v>
      </c>
      <c r="AK411" s="21">
        <v>0</v>
      </c>
      <c r="AL411" s="21">
        <v>0</v>
      </c>
      <c r="AM411" s="21">
        <v>1</v>
      </c>
      <c r="AN411" s="21">
        <v>0</v>
      </c>
      <c r="AO411" s="21">
        <v>1</v>
      </c>
      <c r="AP411" s="21">
        <v>0</v>
      </c>
      <c r="AQ411" s="21">
        <v>0</v>
      </c>
      <c r="AR411" s="21">
        <v>1</v>
      </c>
      <c r="AS411" s="21">
        <v>1</v>
      </c>
      <c r="AT411" s="21">
        <v>1</v>
      </c>
      <c r="AU411" s="21">
        <v>1</v>
      </c>
      <c r="AV411" s="21">
        <v>0</v>
      </c>
      <c r="AW411" s="21">
        <v>1</v>
      </c>
      <c r="AX411" s="21">
        <v>0</v>
      </c>
      <c r="AY411" s="21">
        <v>1</v>
      </c>
      <c r="AZ411" s="21">
        <v>1</v>
      </c>
      <c r="BA411" s="21">
        <v>1</v>
      </c>
      <c r="BB411" s="21">
        <v>1</v>
      </c>
      <c r="BC411" s="21">
        <v>0</v>
      </c>
      <c r="BD411" s="21">
        <v>0</v>
      </c>
      <c r="BE411" s="21">
        <v>0</v>
      </c>
      <c r="BF411" s="21">
        <v>0</v>
      </c>
      <c r="BG411" s="21">
        <v>1</v>
      </c>
      <c r="BH411" s="21">
        <v>0</v>
      </c>
      <c r="BI411" s="21">
        <v>0</v>
      </c>
      <c r="BJ411" s="21">
        <v>0</v>
      </c>
      <c r="BK411" s="21">
        <v>1</v>
      </c>
      <c r="BL411" s="21">
        <v>1</v>
      </c>
      <c r="BM411" s="21">
        <v>0</v>
      </c>
      <c r="BN411" s="21">
        <v>1</v>
      </c>
      <c r="BO411" s="21">
        <v>0</v>
      </c>
      <c r="BP411" s="21">
        <v>0</v>
      </c>
      <c r="BQ411" s="21">
        <v>1</v>
      </c>
      <c r="BR411" s="21">
        <v>0</v>
      </c>
      <c r="BS411" s="21">
        <v>0</v>
      </c>
    </row>
    <row r="412" spans="1:71">
      <c r="A412" s="1" t="s">
        <v>5207</v>
      </c>
      <c r="B412">
        <v>32</v>
      </c>
      <c r="C412">
        <v>200</v>
      </c>
      <c r="D412" s="21">
        <v>2019</v>
      </c>
      <c r="E412" s="23">
        <v>-1.39</v>
      </c>
      <c r="F412" s="14">
        <f t="shared" si="25"/>
        <v>3.3341328855840728E-2</v>
      </c>
      <c r="G412" s="23">
        <v>-41.69</v>
      </c>
      <c r="H412" s="27">
        <v>0</v>
      </c>
      <c r="I412" s="21">
        <v>1</v>
      </c>
      <c r="J412" s="21">
        <v>420</v>
      </c>
      <c r="K412" s="21">
        <v>1</v>
      </c>
      <c r="L412" s="21">
        <v>0</v>
      </c>
      <c r="M412" s="21">
        <v>0</v>
      </c>
      <c r="N412" s="21">
        <v>0</v>
      </c>
      <c r="O412" s="21">
        <v>0</v>
      </c>
      <c r="P412">
        <v>0</v>
      </c>
      <c r="Q412" s="21">
        <v>1</v>
      </c>
      <c r="R412" s="21">
        <v>0</v>
      </c>
      <c r="S412" s="21">
        <v>0</v>
      </c>
      <c r="T412" s="21">
        <v>1</v>
      </c>
      <c r="U412" s="21">
        <v>1995</v>
      </c>
      <c r="V412" s="21">
        <v>2014</v>
      </c>
      <c r="W412">
        <f t="shared" si="24"/>
        <v>2005</v>
      </c>
      <c r="X412" s="21">
        <v>1</v>
      </c>
      <c r="Y412" s="21">
        <v>0</v>
      </c>
      <c r="Z412" s="21">
        <v>0</v>
      </c>
      <c r="AA412" s="21">
        <v>0</v>
      </c>
      <c r="AB412" s="21">
        <v>0</v>
      </c>
      <c r="AC412" s="21">
        <v>1</v>
      </c>
      <c r="AD412" s="21">
        <v>0</v>
      </c>
      <c r="AE412" s="21">
        <v>0</v>
      </c>
      <c r="AF412" s="21">
        <v>1</v>
      </c>
      <c r="AG412" s="21">
        <v>0</v>
      </c>
      <c r="AH412" s="21">
        <v>0</v>
      </c>
      <c r="AI412" s="21">
        <v>0</v>
      </c>
      <c r="AJ412" s="21">
        <v>0</v>
      </c>
      <c r="AK412" s="21">
        <v>0</v>
      </c>
      <c r="AL412" s="21">
        <v>0</v>
      </c>
      <c r="AM412" s="21">
        <v>1</v>
      </c>
      <c r="AN412" s="21">
        <v>0</v>
      </c>
      <c r="AO412" s="21">
        <v>1</v>
      </c>
      <c r="AP412" s="21">
        <v>0</v>
      </c>
      <c r="AQ412" s="21">
        <v>0</v>
      </c>
      <c r="AR412" s="21">
        <v>1</v>
      </c>
      <c r="AS412" s="21">
        <v>1</v>
      </c>
      <c r="AT412" s="21">
        <v>1</v>
      </c>
      <c r="AU412" s="21">
        <v>1</v>
      </c>
      <c r="AV412" s="21">
        <v>0</v>
      </c>
      <c r="AW412" s="21">
        <v>1</v>
      </c>
      <c r="AX412" s="21">
        <v>0</v>
      </c>
      <c r="AY412" s="21">
        <v>1</v>
      </c>
      <c r="AZ412" s="21">
        <v>1</v>
      </c>
      <c r="BA412" s="21">
        <v>1</v>
      </c>
      <c r="BB412" s="21">
        <v>1</v>
      </c>
      <c r="BC412" s="21">
        <v>0</v>
      </c>
      <c r="BD412" s="21">
        <v>0</v>
      </c>
      <c r="BE412" s="21">
        <v>0</v>
      </c>
      <c r="BF412" s="21">
        <v>0</v>
      </c>
      <c r="BG412" s="21">
        <v>1</v>
      </c>
      <c r="BH412" s="21">
        <v>0</v>
      </c>
      <c r="BI412" s="21">
        <v>0</v>
      </c>
      <c r="BJ412" s="21">
        <v>0</v>
      </c>
      <c r="BK412" s="21">
        <v>1</v>
      </c>
      <c r="BL412" s="21">
        <v>1</v>
      </c>
      <c r="BM412" s="21">
        <v>0</v>
      </c>
      <c r="BN412" s="21">
        <v>1</v>
      </c>
      <c r="BO412" s="21">
        <v>0</v>
      </c>
      <c r="BP412" s="21">
        <v>0</v>
      </c>
      <c r="BQ412" s="21">
        <v>1</v>
      </c>
      <c r="BR412" s="21">
        <v>0</v>
      </c>
      <c r="BS412" s="21">
        <v>0</v>
      </c>
    </row>
    <row r="413" spans="1:71">
      <c r="A413" s="1" t="s">
        <v>5207</v>
      </c>
      <c r="B413">
        <v>32</v>
      </c>
      <c r="C413">
        <v>201</v>
      </c>
      <c r="D413" s="21">
        <v>2019</v>
      </c>
      <c r="E413" s="23">
        <v>-1.39</v>
      </c>
      <c r="F413" s="14">
        <f t="shared" si="25"/>
        <v>3.3413461538461538E-2</v>
      </c>
      <c r="G413" s="23">
        <v>-41.6</v>
      </c>
      <c r="H413" s="27">
        <v>0</v>
      </c>
      <c r="I413" s="21">
        <v>1</v>
      </c>
      <c r="J413" s="21">
        <v>420</v>
      </c>
      <c r="K413" s="21">
        <v>1</v>
      </c>
      <c r="L413" s="21">
        <v>0</v>
      </c>
      <c r="M413" s="21">
        <v>0</v>
      </c>
      <c r="N413" s="21">
        <v>0</v>
      </c>
      <c r="O413" s="21">
        <v>0</v>
      </c>
      <c r="P413">
        <v>0</v>
      </c>
      <c r="Q413" s="21">
        <v>1</v>
      </c>
      <c r="R413" s="21">
        <v>0</v>
      </c>
      <c r="S413" s="21">
        <v>0</v>
      </c>
      <c r="T413" s="21">
        <v>1</v>
      </c>
      <c r="U413" s="21">
        <v>1995</v>
      </c>
      <c r="V413" s="21">
        <v>2014</v>
      </c>
      <c r="W413">
        <f t="shared" si="24"/>
        <v>2005</v>
      </c>
      <c r="X413" s="21">
        <v>1</v>
      </c>
      <c r="Y413" s="21">
        <v>0</v>
      </c>
      <c r="Z413" s="21">
        <v>0</v>
      </c>
      <c r="AA413" s="21">
        <v>0</v>
      </c>
      <c r="AB413" s="21">
        <v>0</v>
      </c>
      <c r="AC413" s="21">
        <v>1</v>
      </c>
      <c r="AD413" s="21">
        <v>0</v>
      </c>
      <c r="AE413" s="21">
        <v>0</v>
      </c>
      <c r="AF413" s="21">
        <v>1</v>
      </c>
      <c r="AG413" s="21">
        <v>0</v>
      </c>
      <c r="AH413" s="21">
        <v>0</v>
      </c>
      <c r="AI413" s="21">
        <v>0</v>
      </c>
      <c r="AJ413" s="21">
        <v>0</v>
      </c>
      <c r="AK413" s="21">
        <v>0</v>
      </c>
      <c r="AL413" s="21">
        <v>0</v>
      </c>
      <c r="AM413" s="21">
        <v>1</v>
      </c>
      <c r="AN413" s="21">
        <v>0</v>
      </c>
      <c r="AO413" s="21">
        <v>1</v>
      </c>
      <c r="AP413" s="21">
        <v>0</v>
      </c>
      <c r="AQ413" s="21">
        <v>0</v>
      </c>
      <c r="AR413" s="21">
        <v>1</v>
      </c>
      <c r="AS413" s="21">
        <v>1</v>
      </c>
      <c r="AT413" s="21">
        <v>1</v>
      </c>
      <c r="AU413" s="21">
        <v>1</v>
      </c>
      <c r="AV413" s="21">
        <v>0</v>
      </c>
      <c r="AW413" s="21">
        <v>1</v>
      </c>
      <c r="AX413" s="21">
        <v>0</v>
      </c>
      <c r="AY413" s="21">
        <v>1</v>
      </c>
      <c r="AZ413" s="21">
        <v>1</v>
      </c>
      <c r="BA413" s="21">
        <v>1</v>
      </c>
      <c r="BB413" s="21">
        <v>1</v>
      </c>
      <c r="BC413" s="21">
        <v>0</v>
      </c>
      <c r="BD413" s="21">
        <v>0</v>
      </c>
      <c r="BE413" s="21">
        <v>0</v>
      </c>
      <c r="BF413" s="21">
        <v>0</v>
      </c>
      <c r="BG413" s="21">
        <v>1</v>
      </c>
      <c r="BH413" s="21">
        <v>0</v>
      </c>
      <c r="BI413" s="21">
        <v>0</v>
      </c>
      <c r="BJ413" s="21">
        <v>0</v>
      </c>
      <c r="BK413" s="21">
        <v>1</v>
      </c>
      <c r="BL413" s="21">
        <v>1</v>
      </c>
      <c r="BM413" s="21">
        <v>0</v>
      </c>
      <c r="BN413" s="21">
        <v>1</v>
      </c>
      <c r="BO413" s="21">
        <v>0</v>
      </c>
      <c r="BP413" s="21">
        <v>0</v>
      </c>
      <c r="BQ413" s="21">
        <v>1</v>
      </c>
      <c r="BR413" s="21">
        <v>0</v>
      </c>
      <c r="BS413" s="21">
        <v>0</v>
      </c>
    </row>
    <row r="414" spans="1:71">
      <c r="A414" s="1" t="s">
        <v>5207</v>
      </c>
      <c r="B414">
        <v>32</v>
      </c>
      <c r="C414">
        <v>202</v>
      </c>
      <c r="D414" s="21">
        <v>2019</v>
      </c>
      <c r="E414" s="23">
        <v>-1.39</v>
      </c>
      <c r="F414" s="14">
        <f t="shared" si="25"/>
        <v>3.3413461538461538E-2</v>
      </c>
      <c r="G414" s="23">
        <v>-41.6</v>
      </c>
      <c r="H414" s="27">
        <v>0</v>
      </c>
      <c r="I414" s="21">
        <v>1</v>
      </c>
      <c r="J414" s="21">
        <v>420</v>
      </c>
      <c r="K414" s="21">
        <v>1</v>
      </c>
      <c r="L414" s="21">
        <v>0</v>
      </c>
      <c r="M414" s="21">
        <v>0</v>
      </c>
      <c r="N414" s="21">
        <v>0</v>
      </c>
      <c r="O414" s="21">
        <v>0</v>
      </c>
      <c r="P414">
        <v>0</v>
      </c>
      <c r="Q414" s="21">
        <v>1</v>
      </c>
      <c r="R414" s="21">
        <v>0</v>
      </c>
      <c r="S414" s="21">
        <v>0</v>
      </c>
      <c r="T414" s="21">
        <v>1</v>
      </c>
      <c r="U414" s="21">
        <v>1995</v>
      </c>
      <c r="V414" s="21">
        <v>2014</v>
      </c>
      <c r="W414">
        <f t="shared" si="24"/>
        <v>2005</v>
      </c>
      <c r="X414" s="21">
        <v>1</v>
      </c>
      <c r="Y414" s="21">
        <v>0</v>
      </c>
      <c r="Z414" s="21">
        <v>0</v>
      </c>
      <c r="AA414" s="21">
        <v>0</v>
      </c>
      <c r="AB414" s="21">
        <v>0</v>
      </c>
      <c r="AC414" s="21">
        <v>1</v>
      </c>
      <c r="AD414" s="21">
        <v>0</v>
      </c>
      <c r="AE414" s="21">
        <v>0</v>
      </c>
      <c r="AF414" s="21">
        <v>1</v>
      </c>
      <c r="AG414" s="21">
        <v>0</v>
      </c>
      <c r="AH414" s="21">
        <v>0</v>
      </c>
      <c r="AI414" s="21">
        <v>0</v>
      </c>
      <c r="AJ414" s="21">
        <v>0</v>
      </c>
      <c r="AK414" s="21">
        <v>0</v>
      </c>
      <c r="AL414" s="21">
        <v>0</v>
      </c>
      <c r="AM414" s="21">
        <v>1</v>
      </c>
      <c r="AN414" s="21">
        <v>0</v>
      </c>
      <c r="AO414" s="21">
        <v>1</v>
      </c>
      <c r="AP414" s="21">
        <v>0</v>
      </c>
      <c r="AQ414" s="21">
        <v>0</v>
      </c>
      <c r="AR414" s="21">
        <v>1</v>
      </c>
      <c r="AS414" s="21">
        <v>1</v>
      </c>
      <c r="AT414" s="21">
        <v>1</v>
      </c>
      <c r="AU414" s="21">
        <v>1</v>
      </c>
      <c r="AV414" s="21">
        <v>0</v>
      </c>
      <c r="AW414" s="21">
        <v>1</v>
      </c>
      <c r="AX414" s="21">
        <v>0</v>
      </c>
      <c r="AY414" s="21">
        <v>1</v>
      </c>
      <c r="AZ414" s="21">
        <v>1</v>
      </c>
      <c r="BA414" s="21">
        <v>1</v>
      </c>
      <c r="BB414" s="21">
        <v>1</v>
      </c>
      <c r="BC414" s="21">
        <v>0</v>
      </c>
      <c r="BD414" s="21">
        <v>0</v>
      </c>
      <c r="BE414" s="21">
        <v>0</v>
      </c>
      <c r="BF414" s="21">
        <v>0</v>
      </c>
      <c r="BG414" s="21">
        <v>1</v>
      </c>
      <c r="BH414" s="21">
        <v>0</v>
      </c>
      <c r="BI414" s="21">
        <v>0</v>
      </c>
      <c r="BJ414" s="21">
        <v>0</v>
      </c>
      <c r="BK414" s="21">
        <v>1</v>
      </c>
      <c r="BL414" s="21">
        <v>1</v>
      </c>
      <c r="BM414" s="21">
        <v>0</v>
      </c>
      <c r="BN414" s="21">
        <v>1</v>
      </c>
      <c r="BO414" s="21">
        <v>0</v>
      </c>
      <c r="BP414" s="21">
        <v>0</v>
      </c>
      <c r="BQ414" s="21">
        <v>1</v>
      </c>
      <c r="BR414" s="21">
        <v>0</v>
      </c>
      <c r="BS414" s="21">
        <v>0</v>
      </c>
    </row>
    <row r="415" spans="1:71">
      <c r="A415" s="1" t="s">
        <v>5207</v>
      </c>
      <c r="B415">
        <v>32</v>
      </c>
      <c r="C415">
        <v>203</v>
      </c>
      <c r="D415" s="21">
        <v>2019</v>
      </c>
      <c r="E415" s="23">
        <v>-1.39</v>
      </c>
      <c r="F415" s="14">
        <f t="shared" si="25"/>
        <v>3.3493975903614456E-2</v>
      </c>
      <c r="G415" s="23">
        <v>-41.5</v>
      </c>
      <c r="H415" s="27">
        <v>0</v>
      </c>
      <c r="I415" s="21">
        <v>1</v>
      </c>
      <c r="J415" s="21">
        <v>420</v>
      </c>
      <c r="K415" s="21">
        <v>1</v>
      </c>
      <c r="L415" s="21">
        <v>0</v>
      </c>
      <c r="M415" s="21">
        <v>0</v>
      </c>
      <c r="N415" s="21">
        <v>0</v>
      </c>
      <c r="O415" s="21">
        <v>0</v>
      </c>
      <c r="P415">
        <v>0</v>
      </c>
      <c r="Q415" s="21">
        <v>1</v>
      </c>
      <c r="R415" s="21">
        <v>0</v>
      </c>
      <c r="S415" s="21">
        <v>0</v>
      </c>
      <c r="T415" s="21">
        <v>1</v>
      </c>
      <c r="U415" s="21">
        <v>1995</v>
      </c>
      <c r="V415" s="21">
        <v>2014</v>
      </c>
      <c r="W415">
        <f t="shared" si="24"/>
        <v>2005</v>
      </c>
      <c r="X415" s="21">
        <v>1</v>
      </c>
      <c r="Y415" s="21">
        <v>0</v>
      </c>
      <c r="Z415" s="21">
        <v>0</v>
      </c>
      <c r="AA415" s="21">
        <v>0</v>
      </c>
      <c r="AB415" s="21">
        <v>0</v>
      </c>
      <c r="AC415" s="21">
        <v>1</v>
      </c>
      <c r="AD415" s="21">
        <v>0</v>
      </c>
      <c r="AE415" s="21">
        <v>0</v>
      </c>
      <c r="AF415" s="21">
        <v>1</v>
      </c>
      <c r="AG415" s="21">
        <v>0</v>
      </c>
      <c r="AH415" s="21">
        <v>0</v>
      </c>
      <c r="AI415" s="21">
        <v>0</v>
      </c>
      <c r="AJ415" s="21">
        <v>0</v>
      </c>
      <c r="AK415" s="21">
        <v>0</v>
      </c>
      <c r="AL415" s="21">
        <v>0</v>
      </c>
      <c r="AM415" s="21">
        <v>1</v>
      </c>
      <c r="AN415" s="21">
        <v>0</v>
      </c>
      <c r="AO415" s="21">
        <v>1</v>
      </c>
      <c r="AP415" s="21">
        <v>0</v>
      </c>
      <c r="AQ415" s="21">
        <v>0</v>
      </c>
      <c r="AR415" s="21">
        <v>1</v>
      </c>
      <c r="AS415" s="21">
        <v>1</v>
      </c>
      <c r="AT415" s="21">
        <v>1</v>
      </c>
      <c r="AU415" s="21">
        <v>1</v>
      </c>
      <c r="AV415" s="21">
        <v>0</v>
      </c>
      <c r="AW415" s="21">
        <v>1</v>
      </c>
      <c r="AX415" s="21">
        <v>0</v>
      </c>
      <c r="AY415" s="21">
        <v>1</v>
      </c>
      <c r="AZ415" s="21">
        <v>1</v>
      </c>
      <c r="BA415" s="21">
        <v>1</v>
      </c>
      <c r="BB415" s="21">
        <v>1</v>
      </c>
      <c r="BC415" s="21">
        <v>0</v>
      </c>
      <c r="BD415" s="21">
        <v>0</v>
      </c>
      <c r="BE415" s="21">
        <v>0</v>
      </c>
      <c r="BF415" s="21">
        <v>0</v>
      </c>
      <c r="BG415" s="21">
        <v>1</v>
      </c>
      <c r="BH415" s="21">
        <v>0</v>
      </c>
      <c r="BI415" s="21">
        <v>0</v>
      </c>
      <c r="BJ415" s="21">
        <v>0</v>
      </c>
      <c r="BK415" s="21">
        <v>1</v>
      </c>
      <c r="BL415" s="21">
        <v>1</v>
      </c>
      <c r="BM415" s="21">
        <v>0</v>
      </c>
      <c r="BN415" s="21">
        <v>1</v>
      </c>
      <c r="BO415" s="21">
        <v>0</v>
      </c>
      <c r="BP415" s="21">
        <v>0</v>
      </c>
      <c r="BQ415" s="21">
        <v>1</v>
      </c>
      <c r="BR415" s="21">
        <v>0</v>
      </c>
      <c r="BS415" s="21">
        <v>0</v>
      </c>
    </row>
    <row r="416" spans="1:71">
      <c r="A416" s="1" t="s">
        <v>5207</v>
      </c>
      <c r="B416">
        <v>32</v>
      </c>
      <c r="C416">
        <v>204</v>
      </c>
      <c r="D416" s="21">
        <v>2019</v>
      </c>
      <c r="E416" s="23">
        <v>-1.4</v>
      </c>
      <c r="F416" s="14">
        <f t="shared" si="25"/>
        <v>3.1616982836495028E-2</v>
      </c>
      <c r="G416" s="23">
        <v>-44.28</v>
      </c>
      <c r="H416" s="27">
        <v>0</v>
      </c>
      <c r="I416" s="21">
        <v>1</v>
      </c>
      <c r="J416" s="21">
        <v>420</v>
      </c>
      <c r="K416" s="21">
        <v>1</v>
      </c>
      <c r="L416" s="21">
        <v>0</v>
      </c>
      <c r="M416" s="21">
        <v>0</v>
      </c>
      <c r="N416" s="21">
        <v>0</v>
      </c>
      <c r="O416" s="21">
        <v>0</v>
      </c>
      <c r="P416">
        <v>0</v>
      </c>
      <c r="Q416" s="21">
        <v>1</v>
      </c>
      <c r="R416" s="21">
        <v>0</v>
      </c>
      <c r="S416" s="21">
        <v>0</v>
      </c>
      <c r="T416" s="21">
        <v>1</v>
      </c>
      <c r="U416" s="21">
        <v>1995</v>
      </c>
      <c r="V416" s="21">
        <v>2014</v>
      </c>
      <c r="W416">
        <f t="shared" si="24"/>
        <v>2005</v>
      </c>
      <c r="X416" s="21">
        <v>1</v>
      </c>
      <c r="Y416" s="21">
        <v>0</v>
      </c>
      <c r="Z416" s="21">
        <v>0</v>
      </c>
      <c r="AA416" s="21">
        <v>0</v>
      </c>
      <c r="AB416" s="21">
        <v>0</v>
      </c>
      <c r="AC416" s="21">
        <v>1</v>
      </c>
      <c r="AD416" s="21">
        <v>0</v>
      </c>
      <c r="AE416" s="21">
        <v>0</v>
      </c>
      <c r="AF416" s="21">
        <v>1</v>
      </c>
      <c r="AG416" s="21">
        <v>0</v>
      </c>
      <c r="AH416" s="21">
        <v>0</v>
      </c>
      <c r="AI416" s="21">
        <v>0</v>
      </c>
      <c r="AJ416" s="21">
        <v>0</v>
      </c>
      <c r="AK416" s="21">
        <v>0</v>
      </c>
      <c r="AL416" s="21">
        <v>0</v>
      </c>
      <c r="AM416" s="21">
        <v>1</v>
      </c>
      <c r="AN416" s="21">
        <v>0</v>
      </c>
      <c r="AO416" s="21">
        <v>1</v>
      </c>
      <c r="AP416" s="21">
        <v>0</v>
      </c>
      <c r="AQ416" s="21">
        <v>0</v>
      </c>
      <c r="AR416" s="21">
        <v>1</v>
      </c>
      <c r="AS416" s="21">
        <v>1</v>
      </c>
      <c r="AT416" s="21">
        <v>1</v>
      </c>
      <c r="AU416" s="21">
        <v>1</v>
      </c>
      <c r="AV416" s="21">
        <v>0</v>
      </c>
      <c r="AW416" s="21">
        <v>1</v>
      </c>
      <c r="AX416" s="21">
        <v>0</v>
      </c>
      <c r="AY416" s="21">
        <v>1</v>
      </c>
      <c r="AZ416" s="21">
        <v>1</v>
      </c>
      <c r="BA416" s="21">
        <v>1</v>
      </c>
      <c r="BB416" s="21">
        <v>1</v>
      </c>
      <c r="BC416" s="21">
        <v>0</v>
      </c>
      <c r="BD416" s="21">
        <v>0</v>
      </c>
      <c r="BE416" s="21">
        <v>0</v>
      </c>
      <c r="BF416" s="21">
        <v>0</v>
      </c>
      <c r="BG416" s="21">
        <v>1</v>
      </c>
      <c r="BH416" s="21">
        <v>0</v>
      </c>
      <c r="BI416" s="21">
        <v>0</v>
      </c>
      <c r="BJ416" s="21">
        <v>0</v>
      </c>
      <c r="BK416" s="21">
        <v>1</v>
      </c>
      <c r="BL416" s="21">
        <v>1</v>
      </c>
      <c r="BM416" s="21">
        <v>0</v>
      </c>
      <c r="BN416" s="21">
        <v>1</v>
      </c>
      <c r="BO416" s="21">
        <v>0</v>
      </c>
      <c r="BP416" s="21">
        <v>0</v>
      </c>
      <c r="BQ416" s="21">
        <v>1</v>
      </c>
      <c r="BR416" s="21">
        <v>0</v>
      </c>
      <c r="BS416" s="21">
        <v>0</v>
      </c>
    </row>
    <row r="417" spans="1:71">
      <c r="A417" s="1" t="s">
        <v>5207</v>
      </c>
      <c r="B417">
        <v>32</v>
      </c>
      <c r="C417">
        <v>205</v>
      </c>
      <c r="D417" s="21">
        <v>2019</v>
      </c>
      <c r="E417" s="23">
        <v>-1.04</v>
      </c>
      <c r="F417" s="14">
        <f t="shared" si="25"/>
        <v>5.5764075067024133E-2</v>
      </c>
      <c r="G417" s="23">
        <v>-18.649999999999999</v>
      </c>
      <c r="H417" s="27">
        <v>0</v>
      </c>
      <c r="I417" s="21">
        <v>1</v>
      </c>
      <c r="J417" s="21">
        <v>420</v>
      </c>
      <c r="K417" s="21">
        <v>1</v>
      </c>
      <c r="L417" s="21">
        <v>0</v>
      </c>
      <c r="M417" s="21">
        <v>0</v>
      </c>
      <c r="N417" s="21">
        <v>0</v>
      </c>
      <c r="O417" s="21">
        <v>0</v>
      </c>
      <c r="P417">
        <v>0</v>
      </c>
      <c r="Q417" s="21">
        <v>1</v>
      </c>
      <c r="R417" s="21">
        <v>0</v>
      </c>
      <c r="S417" s="21">
        <v>0</v>
      </c>
      <c r="T417" s="21">
        <v>1</v>
      </c>
      <c r="U417" s="21">
        <v>1995</v>
      </c>
      <c r="V417" s="21">
        <v>2014</v>
      </c>
      <c r="W417">
        <f t="shared" si="24"/>
        <v>2005</v>
      </c>
      <c r="X417" s="21">
        <v>1</v>
      </c>
      <c r="Y417" s="21">
        <v>0</v>
      </c>
      <c r="Z417" s="21">
        <v>0</v>
      </c>
      <c r="AA417" s="21">
        <v>0</v>
      </c>
      <c r="AB417" s="21">
        <v>0</v>
      </c>
      <c r="AC417" s="21">
        <v>1</v>
      </c>
      <c r="AD417" s="21">
        <v>0</v>
      </c>
      <c r="AE417" s="21">
        <v>0</v>
      </c>
      <c r="AF417" s="21">
        <v>1</v>
      </c>
      <c r="AG417" s="21">
        <v>0</v>
      </c>
      <c r="AH417" s="21">
        <v>0</v>
      </c>
      <c r="AI417" s="21">
        <v>0</v>
      </c>
      <c r="AJ417" s="21">
        <v>0</v>
      </c>
      <c r="AK417" s="21">
        <v>0</v>
      </c>
      <c r="AL417" s="21">
        <v>0</v>
      </c>
      <c r="AM417" s="21">
        <v>1</v>
      </c>
      <c r="AN417" s="21">
        <v>0</v>
      </c>
      <c r="AO417" s="21">
        <v>1</v>
      </c>
      <c r="AP417" s="21">
        <v>0</v>
      </c>
      <c r="AQ417" s="21">
        <v>0</v>
      </c>
      <c r="AR417" s="21">
        <v>1</v>
      </c>
      <c r="AS417" s="21">
        <v>1</v>
      </c>
      <c r="AT417" s="21">
        <v>1</v>
      </c>
      <c r="AU417" s="21">
        <v>1</v>
      </c>
      <c r="AV417" s="21">
        <v>0</v>
      </c>
      <c r="AW417" s="21">
        <v>1</v>
      </c>
      <c r="AX417" s="21">
        <v>0</v>
      </c>
      <c r="AY417" s="21">
        <v>1</v>
      </c>
      <c r="AZ417" s="21">
        <v>1</v>
      </c>
      <c r="BA417" s="21">
        <v>1</v>
      </c>
      <c r="BB417" s="21">
        <v>1</v>
      </c>
      <c r="BC417" s="21">
        <v>0</v>
      </c>
      <c r="BD417" s="21">
        <v>0</v>
      </c>
      <c r="BE417" s="21">
        <v>0</v>
      </c>
      <c r="BF417" s="21">
        <v>0</v>
      </c>
      <c r="BG417" s="21">
        <v>1</v>
      </c>
      <c r="BH417" s="21">
        <v>0</v>
      </c>
      <c r="BI417" s="21">
        <v>0</v>
      </c>
      <c r="BJ417" s="21">
        <v>0</v>
      </c>
      <c r="BK417" s="21">
        <v>1</v>
      </c>
      <c r="BL417" s="21">
        <v>1</v>
      </c>
      <c r="BM417" s="21">
        <v>0</v>
      </c>
      <c r="BN417" s="21">
        <v>1</v>
      </c>
      <c r="BO417" s="21">
        <v>0</v>
      </c>
      <c r="BP417" s="21">
        <v>0</v>
      </c>
      <c r="BQ417" s="21">
        <v>1</v>
      </c>
      <c r="BR417" s="21">
        <v>0</v>
      </c>
      <c r="BS417" s="21">
        <v>0</v>
      </c>
    </row>
    <row r="418" spans="1:71">
      <c r="A418" s="1" t="s">
        <v>5207</v>
      </c>
      <c r="B418">
        <v>32</v>
      </c>
      <c r="C418">
        <v>206</v>
      </c>
      <c r="D418" s="21">
        <v>2019</v>
      </c>
      <c r="E418" s="23">
        <v>-0.94</v>
      </c>
      <c r="F418" s="14">
        <f t="shared" si="25"/>
        <v>4.4318717586044318E-2</v>
      </c>
      <c r="G418" s="23">
        <v>-21.21</v>
      </c>
      <c r="H418" s="27">
        <v>0</v>
      </c>
      <c r="I418" s="21">
        <v>1</v>
      </c>
      <c r="J418" s="21">
        <v>420</v>
      </c>
      <c r="K418" s="21">
        <v>1</v>
      </c>
      <c r="L418" s="21">
        <v>0</v>
      </c>
      <c r="M418" s="21">
        <v>0</v>
      </c>
      <c r="N418" s="21">
        <v>0</v>
      </c>
      <c r="O418" s="21">
        <v>0</v>
      </c>
      <c r="P418">
        <v>0</v>
      </c>
      <c r="Q418" s="21">
        <v>1</v>
      </c>
      <c r="R418" s="21">
        <v>0</v>
      </c>
      <c r="S418" s="21">
        <v>0</v>
      </c>
      <c r="T418" s="21">
        <v>1</v>
      </c>
      <c r="U418" s="21">
        <v>1995</v>
      </c>
      <c r="V418" s="21">
        <v>2014</v>
      </c>
      <c r="W418">
        <f t="shared" si="24"/>
        <v>2005</v>
      </c>
      <c r="X418" s="21">
        <v>1</v>
      </c>
      <c r="Y418" s="21">
        <v>0</v>
      </c>
      <c r="Z418" s="21">
        <v>0</v>
      </c>
      <c r="AA418" s="21">
        <v>0</v>
      </c>
      <c r="AB418" s="21">
        <v>0</v>
      </c>
      <c r="AC418" s="21">
        <v>1</v>
      </c>
      <c r="AD418" s="21">
        <v>0</v>
      </c>
      <c r="AE418" s="21">
        <v>0</v>
      </c>
      <c r="AF418" s="21">
        <v>1</v>
      </c>
      <c r="AG418" s="21">
        <v>0</v>
      </c>
      <c r="AH418" s="21">
        <v>0</v>
      </c>
      <c r="AI418" s="21">
        <v>0</v>
      </c>
      <c r="AJ418" s="21">
        <v>0</v>
      </c>
      <c r="AK418" s="21">
        <v>0</v>
      </c>
      <c r="AL418" s="21">
        <v>0</v>
      </c>
      <c r="AM418" s="21">
        <v>1</v>
      </c>
      <c r="AN418" s="21">
        <v>0</v>
      </c>
      <c r="AO418" s="21">
        <v>1</v>
      </c>
      <c r="AP418" s="21">
        <v>0</v>
      </c>
      <c r="AQ418" s="21">
        <v>0</v>
      </c>
      <c r="AR418" s="21">
        <v>1</v>
      </c>
      <c r="AS418" s="21">
        <v>1</v>
      </c>
      <c r="AT418" s="21">
        <v>1</v>
      </c>
      <c r="AU418" s="21">
        <v>1</v>
      </c>
      <c r="AV418" s="21">
        <v>0</v>
      </c>
      <c r="AW418" s="21">
        <v>1</v>
      </c>
      <c r="AX418" s="21">
        <v>0</v>
      </c>
      <c r="AY418" s="21">
        <v>1</v>
      </c>
      <c r="AZ418" s="21">
        <v>1</v>
      </c>
      <c r="BA418" s="21">
        <v>1</v>
      </c>
      <c r="BB418" s="21">
        <v>1</v>
      </c>
      <c r="BC418" s="21">
        <v>0</v>
      </c>
      <c r="BD418" s="21">
        <v>0</v>
      </c>
      <c r="BE418" s="21">
        <v>0</v>
      </c>
      <c r="BF418" s="21">
        <v>0</v>
      </c>
      <c r="BG418" s="21">
        <v>1</v>
      </c>
      <c r="BH418" s="21">
        <v>0</v>
      </c>
      <c r="BI418" s="21">
        <v>0</v>
      </c>
      <c r="BJ418" s="21">
        <v>0</v>
      </c>
      <c r="BK418" s="21">
        <v>1</v>
      </c>
      <c r="BL418" s="21">
        <v>1</v>
      </c>
      <c r="BM418" s="21">
        <v>0</v>
      </c>
      <c r="BN418" s="21">
        <v>1</v>
      </c>
      <c r="BO418" s="21">
        <v>0</v>
      </c>
      <c r="BP418" s="21">
        <v>0</v>
      </c>
      <c r="BQ418" s="21">
        <v>1</v>
      </c>
      <c r="BR418" s="21">
        <v>0</v>
      </c>
      <c r="BS418" s="21">
        <v>0</v>
      </c>
    </row>
    <row r="419" spans="1:71">
      <c r="A419" s="1" t="s">
        <v>5207</v>
      </c>
      <c r="B419">
        <v>32</v>
      </c>
      <c r="C419">
        <v>207</v>
      </c>
      <c r="D419" s="21">
        <v>2019</v>
      </c>
      <c r="E419" s="23">
        <v>-0.99</v>
      </c>
      <c r="F419" s="14">
        <f t="shared" si="25"/>
        <v>4.5329670329670328E-2</v>
      </c>
      <c r="G419" s="23">
        <v>-21.84</v>
      </c>
      <c r="H419" s="27">
        <v>0</v>
      </c>
      <c r="I419" s="21">
        <v>1</v>
      </c>
      <c r="J419" s="21">
        <v>420</v>
      </c>
      <c r="K419" s="21">
        <v>1</v>
      </c>
      <c r="L419" s="21">
        <v>0</v>
      </c>
      <c r="M419" s="21">
        <v>0</v>
      </c>
      <c r="N419" s="21">
        <v>0</v>
      </c>
      <c r="O419" s="21">
        <v>0</v>
      </c>
      <c r="P419">
        <v>0</v>
      </c>
      <c r="Q419" s="21">
        <v>1</v>
      </c>
      <c r="R419" s="21">
        <v>0</v>
      </c>
      <c r="S419" s="21">
        <v>0</v>
      </c>
      <c r="T419" s="21">
        <v>1</v>
      </c>
      <c r="U419" s="21">
        <v>1995</v>
      </c>
      <c r="V419" s="21">
        <v>2014</v>
      </c>
      <c r="W419">
        <f t="shared" si="24"/>
        <v>2005</v>
      </c>
      <c r="X419" s="21">
        <v>1</v>
      </c>
      <c r="Y419" s="21">
        <v>0</v>
      </c>
      <c r="Z419" s="21">
        <v>0</v>
      </c>
      <c r="AA419" s="21">
        <v>0</v>
      </c>
      <c r="AB419" s="21">
        <v>0</v>
      </c>
      <c r="AC419" s="21">
        <v>1</v>
      </c>
      <c r="AD419" s="21">
        <v>0</v>
      </c>
      <c r="AE419" s="21">
        <v>0</v>
      </c>
      <c r="AF419" s="21">
        <v>1</v>
      </c>
      <c r="AG419" s="21">
        <v>0</v>
      </c>
      <c r="AH419" s="21">
        <v>0</v>
      </c>
      <c r="AI419" s="21">
        <v>0</v>
      </c>
      <c r="AJ419" s="21">
        <v>0</v>
      </c>
      <c r="AK419" s="21">
        <v>0</v>
      </c>
      <c r="AL419" s="21">
        <v>0</v>
      </c>
      <c r="AM419" s="21">
        <v>1</v>
      </c>
      <c r="AN419" s="21">
        <v>0</v>
      </c>
      <c r="AO419" s="21">
        <v>1</v>
      </c>
      <c r="AP419" s="21">
        <v>0</v>
      </c>
      <c r="AQ419" s="21">
        <v>0</v>
      </c>
      <c r="AR419" s="21">
        <v>1</v>
      </c>
      <c r="AS419" s="21">
        <v>1</v>
      </c>
      <c r="AT419" s="21">
        <v>1</v>
      </c>
      <c r="AU419" s="21">
        <v>1</v>
      </c>
      <c r="AV419" s="21">
        <v>0</v>
      </c>
      <c r="AW419" s="21">
        <v>1</v>
      </c>
      <c r="AX419" s="21">
        <v>0</v>
      </c>
      <c r="AY419" s="21">
        <v>1</v>
      </c>
      <c r="AZ419" s="21">
        <v>1</v>
      </c>
      <c r="BA419" s="21">
        <v>1</v>
      </c>
      <c r="BB419" s="21">
        <v>1</v>
      </c>
      <c r="BC419" s="21">
        <v>0</v>
      </c>
      <c r="BD419" s="21">
        <v>0</v>
      </c>
      <c r="BE419" s="21">
        <v>0</v>
      </c>
      <c r="BF419" s="21">
        <v>0</v>
      </c>
      <c r="BG419" s="21">
        <v>1</v>
      </c>
      <c r="BH419" s="21">
        <v>0</v>
      </c>
      <c r="BI419" s="21">
        <v>0</v>
      </c>
      <c r="BJ419" s="21">
        <v>0</v>
      </c>
      <c r="BK419" s="21">
        <v>1</v>
      </c>
      <c r="BL419" s="21">
        <v>1</v>
      </c>
      <c r="BM419" s="21">
        <v>0</v>
      </c>
      <c r="BN419" s="21">
        <v>1</v>
      </c>
      <c r="BO419" s="21">
        <v>0</v>
      </c>
      <c r="BP419" s="21">
        <v>0</v>
      </c>
      <c r="BQ419" s="21">
        <v>1</v>
      </c>
      <c r="BR419" s="21">
        <v>0</v>
      </c>
      <c r="BS419" s="21">
        <v>0</v>
      </c>
    </row>
    <row r="420" spans="1:71">
      <c r="A420" s="1" t="s">
        <v>4908</v>
      </c>
      <c r="B420">
        <v>53</v>
      </c>
      <c r="C420">
        <v>358</v>
      </c>
      <c r="D420" s="21">
        <v>2019</v>
      </c>
      <c r="E420" s="23">
        <v>-0.92300000000000004</v>
      </c>
      <c r="F420">
        <v>3.9199999999999999E-2</v>
      </c>
      <c r="G420">
        <f t="shared" ref="G420:G446" si="26">E420/F420</f>
        <v>-23.545918367346939</v>
      </c>
      <c r="H420" s="27">
        <v>0</v>
      </c>
      <c r="I420" s="21">
        <v>1</v>
      </c>
      <c r="J420" s="21">
        <v>19926</v>
      </c>
      <c r="K420" s="21">
        <v>1</v>
      </c>
      <c r="L420" s="21">
        <v>0</v>
      </c>
      <c r="M420" s="21">
        <v>0</v>
      </c>
      <c r="N420" s="21">
        <v>0</v>
      </c>
      <c r="O420" s="21">
        <v>0</v>
      </c>
      <c r="P420">
        <v>0</v>
      </c>
      <c r="Q420" s="21">
        <v>0</v>
      </c>
      <c r="R420" s="21">
        <v>0</v>
      </c>
      <c r="S420" s="21">
        <v>0</v>
      </c>
      <c r="T420" s="21">
        <v>1</v>
      </c>
      <c r="U420" s="21">
        <v>2005</v>
      </c>
      <c r="V420" s="21">
        <v>2014</v>
      </c>
      <c r="W420">
        <f t="shared" si="24"/>
        <v>2010</v>
      </c>
      <c r="X420" s="21">
        <v>1</v>
      </c>
      <c r="Y420" s="21">
        <v>0</v>
      </c>
      <c r="Z420" s="21">
        <v>1</v>
      </c>
      <c r="AA420" s="21">
        <v>0</v>
      </c>
      <c r="AB420" s="21">
        <v>0</v>
      </c>
      <c r="AC420" s="21">
        <v>0</v>
      </c>
      <c r="AD420" s="21">
        <v>0</v>
      </c>
      <c r="AE420" s="21">
        <v>0</v>
      </c>
      <c r="AF420" s="21">
        <v>1</v>
      </c>
      <c r="AG420" s="21">
        <v>1</v>
      </c>
      <c r="AH420" s="21">
        <v>1</v>
      </c>
      <c r="AI420" s="21">
        <v>0</v>
      </c>
      <c r="AJ420" s="21">
        <v>1</v>
      </c>
      <c r="AK420" s="21">
        <v>1</v>
      </c>
      <c r="AL420" s="21">
        <v>1</v>
      </c>
      <c r="AM420" s="21">
        <v>1</v>
      </c>
      <c r="AN420" s="21">
        <v>1</v>
      </c>
      <c r="AO420" s="21">
        <v>1</v>
      </c>
      <c r="AP420" s="21">
        <v>1</v>
      </c>
      <c r="AQ420" s="21">
        <v>0</v>
      </c>
      <c r="AR420" s="21">
        <v>1</v>
      </c>
      <c r="AS420" s="21">
        <v>1</v>
      </c>
      <c r="AT420" s="21">
        <v>1</v>
      </c>
      <c r="AU420" s="21">
        <v>1</v>
      </c>
      <c r="AV420" s="21">
        <v>1</v>
      </c>
      <c r="AW420" s="21">
        <v>1</v>
      </c>
      <c r="AX420" s="21">
        <v>1</v>
      </c>
      <c r="AY420" s="21">
        <v>1</v>
      </c>
      <c r="AZ420" s="21">
        <v>1</v>
      </c>
      <c r="BA420" s="21">
        <v>1</v>
      </c>
      <c r="BB420" s="21">
        <v>1</v>
      </c>
      <c r="BC420" s="21">
        <v>1</v>
      </c>
      <c r="BD420" s="21">
        <v>1</v>
      </c>
      <c r="BE420" s="21">
        <v>1</v>
      </c>
      <c r="BF420" s="21">
        <v>0</v>
      </c>
      <c r="BG420" s="21">
        <v>0</v>
      </c>
      <c r="BH420" s="21">
        <v>0</v>
      </c>
      <c r="BI420" s="21">
        <v>0</v>
      </c>
      <c r="BJ420" s="21">
        <v>0</v>
      </c>
      <c r="BK420" s="21">
        <v>0</v>
      </c>
      <c r="BL420" s="21">
        <v>0</v>
      </c>
      <c r="BM420" s="21">
        <v>0</v>
      </c>
      <c r="BN420" s="21">
        <v>0</v>
      </c>
      <c r="BO420" s="21">
        <v>0</v>
      </c>
      <c r="BP420" s="21">
        <v>0</v>
      </c>
      <c r="BQ420" s="21">
        <v>0</v>
      </c>
      <c r="BR420" s="21">
        <v>0</v>
      </c>
      <c r="BS420" s="21">
        <v>0</v>
      </c>
    </row>
    <row r="421" spans="1:71">
      <c r="A421" s="1" t="s">
        <v>4908</v>
      </c>
      <c r="B421">
        <v>53</v>
      </c>
      <c r="C421">
        <v>359</v>
      </c>
      <c r="D421" s="21">
        <v>2019</v>
      </c>
      <c r="E421" s="23">
        <v>-0.96899999999999997</v>
      </c>
      <c r="F421">
        <v>3.6900000000000002E-2</v>
      </c>
      <c r="G421">
        <f t="shared" si="26"/>
        <v>-26.260162601626014</v>
      </c>
      <c r="H421" s="27">
        <v>0</v>
      </c>
      <c r="I421" s="21">
        <v>1</v>
      </c>
      <c r="J421" s="21">
        <v>19926</v>
      </c>
      <c r="K421" s="21">
        <v>1</v>
      </c>
      <c r="L421" s="21">
        <v>0</v>
      </c>
      <c r="M421" s="21">
        <v>0</v>
      </c>
      <c r="N421" s="21">
        <v>0</v>
      </c>
      <c r="O421" s="21">
        <v>0</v>
      </c>
      <c r="P421">
        <v>0</v>
      </c>
      <c r="Q421" s="21">
        <v>0</v>
      </c>
      <c r="R421" s="21">
        <v>0</v>
      </c>
      <c r="S421" s="21">
        <v>0</v>
      </c>
      <c r="T421" s="21">
        <v>1</v>
      </c>
      <c r="U421" s="21">
        <v>2005</v>
      </c>
      <c r="V421" s="21">
        <v>2014</v>
      </c>
      <c r="W421">
        <f t="shared" si="24"/>
        <v>2010</v>
      </c>
      <c r="X421" s="21">
        <v>1</v>
      </c>
      <c r="Y421" s="21">
        <v>0</v>
      </c>
      <c r="Z421" s="21">
        <v>1</v>
      </c>
      <c r="AA421" s="21">
        <v>0</v>
      </c>
      <c r="AB421" s="21">
        <v>0</v>
      </c>
      <c r="AC421" s="21">
        <v>0</v>
      </c>
      <c r="AD421" s="21">
        <v>0</v>
      </c>
      <c r="AE421" s="21">
        <v>0</v>
      </c>
      <c r="AF421" s="21">
        <v>1</v>
      </c>
      <c r="AG421" s="21">
        <v>1</v>
      </c>
      <c r="AH421" s="21">
        <v>1</v>
      </c>
      <c r="AI421" s="21">
        <v>0</v>
      </c>
      <c r="AJ421" s="21">
        <v>1</v>
      </c>
      <c r="AK421" s="21">
        <v>1</v>
      </c>
      <c r="AL421" s="21">
        <v>1</v>
      </c>
      <c r="AM421" s="21">
        <v>1</v>
      </c>
      <c r="AN421" s="21">
        <v>1</v>
      </c>
      <c r="AO421" s="21">
        <v>1</v>
      </c>
      <c r="AP421" s="21">
        <v>1</v>
      </c>
      <c r="AQ421" s="21">
        <v>0</v>
      </c>
      <c r="AR421" s="21">
        <v>1</v>
      </c>
      <c r="AS421" s="21">
        <v>1</v>
      </c>
      <c r="AT421" s="21">
        <v>1</v>
      </c>
      <c r="AU421" s="21">
        <v>1</v>
      </c>
      <c r="AV421" s="21">
        <v>1</v>
      </c>
      <c r="AW421" s="21">
        <v>1</v>
      </c>
      <c r="AX421" s="21">
        <v>1</v>
      </c>
      <c r="AY421" s="21">
        <v>1</v>
      </c>
      <c r="AZ421" s="21">
        <v>1</v>
      </c>
      <c r="BA421" s="21">
        <v>1</v>
      </c>
      <c r="BB421" s="21">
        <v>1</v>
      </c>
      <c r="BC421" s="21">
        <v>1</v>
      </c>
      <c r="BD421" s="21">
        <v>1</v>
      </c>
      <c r="BE421" s="21">
        <v>1</v>
      </c>
      <c r="BF421" s="21">
        <v>0</v>
      </c>
      <c r="BG421" s="21">
        <v>0</v>
      </c>
      <c r="BH421" s="21">
        <v>0</v>
      </c>
      <c r="BI421" s="21">
        <v>0</v>
      </c>
      <c r="BJ421" s="21">
        <v>0</v>
      </c>
      <c r="BK421" s="21">
        <v>0</v>
      </c>
      <c r="BL421" s="21">
        <v>0</v>
      </c>
      <c r="BM421" s="21">
        <v>0</v>
      </c>
      <c r="BN421" s="21">
        <v>0</v>
      </c>
      <c r="BO421" s="21">
        <v>0</v>
      </c>
      <c r="BP421" s="21">
        <v>0</v>
      </c>
      <c r="BQ421" s="21">
        <v>0</v>
      </c>
      <c r="BR421" s="21">
        <v>0</v>
      </c>
      <c r="BS421" s="21">
        <v>0</v>
      </c>
    </row>
    <row r="422" spans="1:71">
      <c r="A422" s="18" t="s">
        <v>4908</v>
      </c>
      <c r="B422">
        <v>53</v>
      </c>
      <c r="C422">
        <v>360</v>
      </c>
      <c r="D422" s="21">
        <v>2019</v>
      </c>
      <c r="E422" s="23">
        <v>-0.54600000000000004</v>
      </c>
      <c r="F422">
        <v>1.8200000000000001E-2</v>
      </c>
      <c r="G422">
        <f t="shared" si="26"/>
        <v>-30</v>
      </c>
      <c r="H422" s="27">
        <v>0</v>
      </c>
      <c r="I422" s="21">
        <v>1</v>
      </c>
      <c r="J422" s="21">
        <v>19926</v>
      </c>
      <c r="K422" s="21">
        <v>1</v>
      </c>
      <c r="L422" s="21">
        <v>0</v>
      </c>
      <c r="M422" s="21">
        <v>0</v>
      </c>
      <c r="N422" s="21">
        <v>0</v>
      </c>
      <c r="O422" s="21">
        <v>0</v>
      </c>
      <c r="P422">
        <v>0</v>
      </c>
      <c r="Q422" s="21">
        <v>0</v>
      </c>
      <c r="R422" s="21">
        <v>0</v>
      </c>
      <c r="S422" s="21">
        <v>0</v>
      </c>
      <c r="T422" s="21">
        <v>1</v>
      </c>
      <c r="U422" s="21">
        <v>2005</v>
      </c>
      <c r="V422" s="21">
        <v>2014</v>
      </c>
      <c r="W422">
        <f t="shared" si="24"/>
        <v>2010</v>
      </c>
      <c r="X422" s="21">
        <v>1</v>
      </c>
      <c r="Y422" s="21">
        <v>0</v>
      </c>
      <c r="Z422" s="21">
        <v>1</v>
      </c>
      <c r="AA422" s="21">
        <v>0</v>
      </c>
      <c r="AB422" s="21">
        <v>0</v>
      </c>
      <c r="AC422" s="21">
        <v>0</v>
      </c>
      <c r="AD422" s="21">
        <v>0</v>
      </c>
      <c r="AE422" s="21">
        <v>0</v>
      </c>
      <c r="AF422" s="21">
        <v>1</v>
      </c>
      <c r="AG422" s="21">
        <v>1</v>
      </c>
      <c r="AH422" s="21">
        <v>1</v>
      </c>
      <c r="AI422" s="21">
        <v>0</v>
      </c>
      <c r="AJ422" s="21">
        <v>1</v>
      </c>
      <c r="AK422" s="21">
        <v>1</v>
      </c>
      <c r="AL422" s="21">
        <v>1</v>
      </c>
      <c r="AM422" s="21">
        <v>1</v>
      </c>
      <c r="AN422" s="21">
        <v>1</v>
      </c>
      <c r="AO422" s="21">
        <v>1</v>
      </c>
      <c r="AP422" s="21">
        <v>1</v>
      </c>
      <c r="AQ422" s="21">
        <v>0</v>
      </c>
      <c r="AR422" s="21">
        <v>1</v>
      </c>
      <c r="AS422" s="21">
        <v>1</v>
      </c>
      <c r="AT422" s="21">
        <v>1</v>
      </c>
      <c r="AU422" s="21">
        <v>1</v>
      </c>
      <c r="AV422" s="21">
        <v>1</v>
      </c>
      <c r="AW422" s="21">
        <v>1</v>
      </c>
      <c r="AX422" s="21">
        <v>1</v>
      </c>
      <c r="AY422" s="21">
        <v>1</v>
      </c>
      <c r="AZ422" s="21">
        <v>1</v>
      </c>
      <c r="BA422" s="21">
        <v>1</v>
      </c>
      <c r="BB422" s="21">
        <v>1</v>
      </c>
      <c r="BC422" s="21">
        <v>1</v>
      </c>
      <c r="BD422" s="21">
        <v>1</v>
      </c>
      <c r="BE422" s="21">
        <v>1</v>
      </c>
      <c r="BF422" s="21">
        <v>0</v>
      </c>
      <c r="BG422" s="21">
        <v>0</v>
      </c>
      <c r="BH422" s="21">
        <v>0</v>
      </c>
      <c r="BI422" s="21">
        <v>0</v>
      </c>
      <c r="BJ422" s="21">
        <v>0</v>
      </c>
      <c r="BK422" s="21">
        <v>1</v>
      </c>
      <c r="BL422" s="21">
        <v>0</v>
      </c>
      <c r="BM422" s="21">
        <v>0</v>
      </c>
      <c r="BN422" s="21">
        <v>0</v>
      </c>
      <c r="BO422" s="21">
        <v>0</v>
      </c>
      <c r="BP422" s="21">
        <v>0</v>
      </c>
      <c r="BQ422" s="21">
        <v>0</v>
      </c>
      <c r="BR422" s="21">
        <v>0</v>
      </c>
      <c r="BS422" s="21">
        <v>0</v>
      </c>
    </row>
    <row r="423" spans="1:71">
      <c r="A423" s="49" t="s">
        <v>4908</v>
      </c>
      <c r="B423">
        <v>53</v>
      </c>
      <c r="C423">
        <v>361</v>
      </c>
      <c r="D423">
        <v>2019</v>
      </c>
      <c r="E423">
        <v>-1.141</v>
      </c>
      <c r="F423">
        <v>2.87E-2</v>
      </c>
      <c r="G423">
        <f t="shared" si="26"/>
        <v>-39.756097560975611</v>
      </c>
      <c r="H423" s="27">
        <v>0</v>
      </c>
      <c r="I423">
        <v>1</v>
      </c>
      <c r="J423">
        <v>19926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 s="21">
        <v>0</v>
      </c>
      <c r="S423">
        <v>0</v>
      </c>
      <c r="T423">
        <v>1</v>
      </c>
      <c r="U423">
        <v>2005</v>
      </c>
      <c r="V423">
        <v>2014</v>
      </c>
      <c r="W423">
        <f t="shared" si="24"/>
        <v>2010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 s="21">
        <v>0</v>
      </c>
      <c r="AE423">
        <v>0</v>
      </c>
      <c r="AF423">
        <v>1</v>
      </c>
      <c r="AG423">
        <v>1</v>
      </c>
      <c r="AH423">
        <v>1</v>
      </c>
      <c r="AI423">
        <v>0</v>
      </c>
      <c r="AJ423">
        <v>1</v>
      </c>
      <c r="AK423">
        <v>1</v>
      </c>
      <c r="AL423">
        <v>1</v>
      </c>
      <c r="AM423">
        <v>1</v>
      </c>
      <c r="AN423" s="21">
        <v>1</v>
      </c>
      <c r="AO423" s="21">
        <v>1</v>
      </c>
      <c r="AP423" s="21">
        <v>1</v>
      </c>
      <c r="AQ423">
        <v>0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 s="21">
        <v>1</v>
      </c>
      <c r="BA423" s="21">
        <v>1</v>
      </c>
      <c r="BB423" s="21">
        <v>1</v>
      </c>
      <c r="BC423">
        <v>1</v>
      </c>
      <c r="BD423">
        <v>1</v>
      </c>
      <c r="BE423">
        <v>1</v>
      </c>
      <c r="BF423">
        <v>0</v>
      </c>
      <c r="BG423" s="21">
        <v>0</v>
      </c>
      <c r="BH423" s="21">
        <v>0</v>
      </c>
      <c r="BI423" s="21">
        <v>0</v>
      </c>
      <c r="BJ423" s="21">
        <v>0</v>
      </c>
      <c r="BK423" s="21">
        <v>1</v>
      </c>
      <c r="BL423" s="21">
        <v>0</v>
      </c>
      <c r="BM423" s="21">
        <v>0</v>
      </c>
      <c r="BN423" s="21">
        <v>0</v>
      </c>
      <c r="BO423" s="21">
        <v>0</v>
      </c>
      <c r="BP423" s="21">
        <v>0</v>
      </c>
      <c r="BQ423" s="21">
        <v>0</v>
      </c>
      <c r="BR423" s="21">
        <v>0</v>
      </c>
      <c r="BS423" s="21">
        <v>0</v>
      </c>
    </row>
    <row r="424" spans="1:71">
      <c r="A424" s="49" t="s">
        <v>4908</v>
      </c>
      <c r="B424">
        <v>53</v>
      </c>
      <c r="C424">
        <v>362</v>
      </c>
      <c r="D424">
        <v>2019</v>
      </c>
      <c r="E424">
        <v>-1.413</v>
      </c>
      <c r="F424">
        <v>3.0300000000000001E-2</v>
      </c>
      <c r="G424">
        <f t="shared" si="26"/>
        <v>-46.633663366336634</v>
      </c>
      <c r="H424" s="27">
        <v>0</v>
      </c>
      <c r="I424">
        <v>1</v>
      </c>
      <c r="J424">
        <v>19926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 s="21">
        <v>0</v>
      </c>
      <c r="S424">
        <v>0</v>
      </c>
      <c r="T424">
        <v>1</v>
      </c>
      <c r="U424">
        <v>2005</v>
      </c>
      <c r="V424">
        <v>2014</v>
      </c>
      <c r="W424">
        <f t="shared" si="24"/>
        <v>2010</v>
      </c>
      <c r="X424">
        <v>1</v>
      </c>
      <c r="Y424">
        <v>0</v>
      </c>
      <c r="Z424">
        <v>1</v>
      </c>
      <c r="AA424">
        <v>0</v>
      </c>
      <c r="AB424">
        <v>0</v>
      </c>
      <c r="AC424">
        <v>0</v>
      </c>
      <c r="AD424" s="21">
        <v>0</v>
      </c>
      <c r="AE424">
        <v>0</v>
      </c>
      <c r="AF424">
        <v>1</v>
      </c>
      <c r="AG424">
        <v>1</v>
      </c>
      <c r="AH424">
        <v>1</v>
      </c>
      <c r="AI424">
        <v>0</v>
      </c>
      <c r="AJ424">
        <v>1</v>
      </c>
      <c r="AK424">
        <v>1</v>
      </c>
      <c r="AL424">
        <v>1</v>
      </c>
      <c r="AM424">
        <v>1</v>
      </c>
      <c r="AN424" s="21">
        <v>1</v>
      </c>
      <c r="AO424" s="21">
        <v>1</v>
      </c>
      <c r="AP424" s="21">
        <v>1</v>
      </c>
      <c r="AQ424">
        <v>0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 s="21">
        <v>1</v>
      </c>
      <c r="BA424" s="21">
        <v>1</v>
      </c>
      <c r="BB424" s="21">
        <v>1</v>
      </c>
      <c r="BC424">
        <v>1</v>
      </c>
      <c r="BD424">
        <v>1</v>
      </c>
      <c r="BE424">
        <v>1</v>
      </c>
      <c r="BF424">
        <v>0</v>
      </c>
      <c r="BG424" s="21">
        <v>0</v>
      </c>
      <c r="BH424" s="21">
        <v>0</v>
      </c>
      <c r="BI424" s="21">
        <v>0</v>
      </c>
      <c r="BJ424" s="21">
        <v>0</v>
      </c>
      <c r="BK424" s="21">
        <v>1</v>
      </c>
      <c r="BL424" s="21">
        <v>0</v>
      </c>
      <c r="BM424" s="21">
        <v>0</v>
      </c>
      <c r="BN424" s="21">
        <v>0</v>
      </c>
      <c r="BO424" s="21">
        <v>0</v>
      </c>
      <c r="BP424" s="21">
        <v>0</v>
      </c>
      <c r="BQ424" s="21">
        <v>0</v>
      </c>
      <c r="BR424" s="21">
        <v>0</v>
      </c>
      <c r="BS424" s="21">
        <v>0</v>
      </c>
    </row>
    <row r="425" spans="1:71">
      <c r="A425" s="49" t="s">
        <v>4908</v>
      </c>
      <c r="B425">
        <v>53</v>
      </c>
      <c r="C425">
        <v>363</v>
      </c>
      <c r="D425">
        <v>2019</v>
      </c>
      <c r="E425">
        <v>-1.421</v>
      </c>
      <c r="F425">
        <v>2.4E-2</v>
      </c>
      <c r="G425">
        <f t="shared" si="26"/>
        <v>-59.208333333333336</v>
      </c>
      <c r="H425" s="27">
        <v>0</v>
      </c>
      <c r="I425">
        <v>1</v>
      </c>
      <c r="J425">
        <v>19926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 s="21">
        <v>0</v>
      </c>
      <c r="S425">
        <v>0</v>
      </c>
      <c r="T425">
        <v>1</v>
      </c>
      <c r="U425">
        <v>2005</v>
      </c>
      <c r="V425">
        <v>2014</v>
      </c>
      <c r="W425">
        <f t="shared" si="24"/>
        <v>2010</v>
      </c>
      <c r="X425">
        <v>1</v>
      </c>
      <c r="Y425">
        <v>0</v>
      </c>
      <c r="Z425">
        <v>1</v>
      </c>
      <c r="AA425">
        <v>0</v>
      </c>
      <c r="AB425">
        <v>0</v>
      </c>
      <c r="AC425">
        <v>0</v>
      </c>
      <c r="AD425" s="21">
        <v>0</v>
      </c>
      <c r="AE425">
        <v>0</v>
      </c>
      <c r="AF425">
        <v>1</v>
      </c>
      <c r="AG425">
        <v>1</v>
      </c>
      <c r="AH425">
        <v>1</v>
      </c>
      <c r="AI425">
        <v>0</v>
      </c>
      <c r="AJ425">
        <v>1</v>
      </c>
      <c r="AK425">
        <v>1</v>
      </c>
      <c r="AL425">
        <v>1</v>
      </c>
      <c r="AM425">
        <v>1</v>
      </c>
      <c r="AN425" s="21">
        <v>1</v>
      </c>
      <c r="AO425" s="21">
        <v>1</v>
      </c>
      <c r="AP425" s="21">
        <v>1</v>
      </c>
      <c r="AQ425">
        <v>0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 s="21">
        <v>1</v>
      </c>
      <c r="BA425" s="21">
        <v>1</v>
      </c>
      <c r="BB425" s="21">
        <v>1</v>
      </c>
      <c r="BC425">
        <v>1</v>
      </c>
      <c r="BD425">
        <v>1</v>
      </c>
      <c r="BE425">
        <v>1</v>
      </c>
      <c r="BF425">
        <v>0</v>
      </c>
      <c r="BG425" s="21">
        <v>0</v>
      </c>
      <c r="BH425" s="21">
        <v>0</v>
      </c>
      <c r="BI425" s="21">
        <v>0</v>
      </c>
      <c r="BJ425" s="21">
        <v>0</v>
      </c>
      <c r="BK425" s="21">
        <v>1</v>
      </c>
      <c r="BL425" s="21">
        <v>0</v>
      </c>
      <c r="BM425" s="21">
        <v>0</v>
      </c>
      <c r="BN425" s="21">
        <v>0</v>
      </c>
      <c r="BO425" s="21">
        <v>0</v>
      </c>
      <c r="BP425" s="21">
        <v>0</v>
      </c>
      <c r="BQ425" s="21">
        <v>0</v>
      </c>
      <c r="BR425" s="21">
        <v>0</v>
      </c>
      <c r="BS425" s="21">
        <v>0</v>
      </c>
    </row>
    <row r="426" spans="1:71">
      <c r="A426" s="1" t="s">
        <v>4908</v>
      </c>
      <c r="B426">
        <v>53</v>
      </c>
      <c r="C426">
        <v>364</v>
      </c>
      <c r="D426" s="21">
        <v>2019</v>
      </c>
      <c r="E426" s="23">
        <v>-1.113</v>
      </c>
      <c r="F426">
        <v>0.11700000000000001</v>
      </c>
      <c r="G426">
        <f t="shared" si="26"/>
        <v>-9.5128205128205128</v>
      </c>
      <c r="H426" s="27">
        <v>0</v>
      </c>
      <c r="I426" s="21">
        <v>1</v>
      </c>
      <c r="J426" s="21">
        <v>19926</v>
      </c>
      <c r="K426" s="21">
        <v>0</v>
      </c>
      <c r="L426" s="21">
        <v>1</v>
      </c>
      <c r="M426" s="21">
        <v>0</v>
      </c>
      <c r="N426" s="21">
        <v>0</v>
      </c>
      <c r="O426" s="21">
        <v>0</v>
      </c>
      <c r="P426">
        <v>0</v>
      </c>
      <c r="Q426" s="21">
        <v>0</v>
      </c>
      <c r="R426" s="21">
        <v>0</v>
      </c>
      <c r="S426" s="21">
        <v>0</v>
      </c>
      <c r="T426" s="21">
        <v>1</v>
      </c>
      <c r="U426" s="21">
        <v>2005</v>
      </c>
      <c r="V426" s="21">
        <v>2014</v>
      </c>
      <c r="W426">
        <f t="shared" si="24"/>
        <v>2010</v>
      </c>
      <c r="X426" s="21">
        <v>1</v>
      </c>
      <c r="Y426" s="21">
        <v>0</v>
      </c>
      <c r="Z426" s="21">
        <v>1</v>
      </c>
      <c r="AA426" s="21">
        <v>0</v>
      </c>
      <c r="AB426" s="21">
        <v>0</v>
      </c>
      <c r="AC426" s="21">
        <v>0</v>
      </c>
      <c r="AD426" s="21">
        <v>0</v>
      </c>
      <c r="AE426" s="21">
        <v>0</v>
      </c>
      <c r="AF426" s="21">
        <v>1</v>
      </c>
      <c r="AG426" s="21">
        <v>1</v>
      </c>
      <c r="AH426" s="21">
        <v>1</v>
      </c>
      <c r="AI426" s="21">
        <v>0</v>
      </c>
      <c r="AJ426" s="21">
        <v>1</v>
      </c>
      <c r="AK426" s="21">
        <v>1</v>
      </c>
      <c r="AL426" s="21">
        <v>1</v>
      </c>
      <c r="AM426" s="21">
        <v>1</v>
      </c>
      <c r="AN426" s="21">
        <v>1</v>
      </c>
      <c r="AO426" s="21">
        <v>1</v>
      </c>
      <c r="AP426" s="21">
        <v>1</v>
      </c>
      <c r="AQ426" s="21">
        <v>0</v>
      </c>
      <c r="AR426" s="21">
        <v>1</v>
      </c>
      <c r="AS426" s="21">
        <v>1</v>
      </c>
      <c r="AT426" s="21">
        <v>1</v>
      </c>
      <c r="AU426" s="21">
        <v>1</v>
      </c>
      <c r="AV426" s="21">
        <v>1</v>
      </c>
      <c r="AW426" s="21">
        <v>1</v>
      </c>
      <c r="AX426" s="21">
        <v>1</v>
      </c>
      <c r="AY426" s="21">
        <v>1</v>
      </c>
      <c r="AZ426" s="21">
        <v>1</v>
      </c>
      <c r="BA426" s="21">
        <v>1</v>
      </c>
      <c r="BB426" s="21">
        <v>1</v>
      </c>
      <c r="BC426" s="21">
        <v>1</v>
      </c>
      <c r="BD426" s="21">
        <v>1</v>
      </c>
      <c r="BE426" s="21">
        <v>1</v>
      </c>
      <c r="BF426" s="21">
        <v>0</v>
      </c>
      <c r="BG426" s="21">
        <v>0</v>
      </c>
      <c r="BH426" s="21">
        <v>0</v>
      </c>
      <c r="BI426" s="21">
        <v>0</v>
      </c>
      <c r="BJ426" s="21">
        <v>0</v>
      </c>
      <c r="BK426" s="21">
        <v>0</v>
      </c>
      <c r="BL426" s="21">
        <v>0</v>
      </c>
      <c r="BM426" s="21">
        <v>0</v>
      </c>
      <c r="BN426" s="21">
        <v>0</v>
      </c>
      <c r="BO426" s="21">
        <v>0</v>
      </c>
      <c r="BP426" s="21">
        <v>0</v>
      </c>
      <c r="BQ426" s="21">
        <v>0</v>
      </c>
      <c r="BR426" s="21">
        <v>0</v>
      </c>
      <c r="BS426" s="21">
        <v>0</v>
      </c>
    </row>
    <row r="427" spans="1:71">
      <c r="A427" s="1" t="s">
        <v>4908</v>
      </c>
      <c r="B427">
        <v>53</v>
      </c>
      <c r="C427">
        <v>365</v>
      </c>
      <c r="D427" s="21">
        <v>2019</v>
      </c>
      <c r="E427" s="23">
        <v>-0.81499999999999995</v>
      </c>
      <c r="F427">
        <v>0.1022</v>
      </c>
      <c r="G427">
        <f t="shared" si="26"/>
        <v>-7.9745596868884538</v>
      </c>
      <c r="H427" s="27">
        <v>0</v>
      </c>
      <c r="I427" s="21">
        <v>1</v>
      </c>
      <c r="J427" s="21">
        <v>19926</v>
      </c>
      <c r="K427" s="21">
        <v>0</v>
      </c>
      <c r="L427" s="21">
        <v>1</v>
      </c>
      <c r="M427" s="21">
        <v>0</v>
      </c>
      <c r="N427" s="21">
        <v>0</v>
      </c>
      <c r="O427" s="21">
        <v>0</v>
      </c>
      <c r="P427">
        <v>0</v>
      </c>
      <c r="Q427" s="21">
        <v>0</v>
      </c>
      <c r="R427" s="21">
        <v>0</v>
      </c>
      <c r="S427" s="21">
        <v>0</v>
      </c>
      <c r="T427" s="21">
        <v>1</v>
      </c>
      <c r="U427" s="21">
        <v>2005</v>
      </c>
      <c r="V427" s="21">
        <v>2014</v>
      </c>
      <c r="W427">
        <f t="shared" si="24"/>
        <v>2010</v>
      </c>
      <c r="X427" s="21">
        <v>1</v>
      </c>
      <c r="Y427" s="21">
        <v>0</v>
      </c>
      <c r="Z427" s="21">
        <v>1</v>
      </c>
      <c r="AA427" s="21">
        <v>0</v>
      </c>
      <c r="AB427" s="21">
        <v>0</v>
      </c>
      <c r="AC427" s="21">
        <v>0</v>
      </c>
      <c r="AD427" s="21">
        <v>0</v>
      </c>
      <c r="AE427" s="21">
        <v>0</v>
      </c>
      <c r="AF427" s="21">
        <v>1</v>
      </c>
      <c r="AG427" s="21">
        <v>1</v>
      </c>
      <c r="AH427" s="21">
        <v>1</v>
      </c>
      <c r="AI427" s="21">
        <v>0</v>
      </c>
      <c r="AJ427" s="21">
        <v>1</v>
      </c>
      <c r="AK427" s="21">
        <v>1</v>
      </c>
      <c r="AL427" s="21">
        <v>1</v>
      </c>
      <c r="AM427" s="21">
        <v>1</v>
      </c>
      <c r="AN427" s="21">
        <v>1</v>
      </c>
      <c r="AO427" s="21">
        <v>1</v>
      </c>
      <c r="AP427" s="21">
        <v>1</v>
      </c>
      <c r="AQ427" s="21">
        <v>0</v>
      </c>
      <c r="AR427" s="21">
        <v>1</v>
      </c>
      <c r="AS427" s="21">
        <v>1</v>
      </c>
      <c r="AT427" s="21">
        <v>1</v>
      </c>
      <c r="AU427" s="21">
        <v>1</v>
      </c>
      <c r="AV427" s="21">
        <v>1</v>
      </c>
      <c r="AW427" s="21">
        <v>1</v>
      </c>
      <c r="AX427" s="21">
        <v>1</v>
      </c>
      <c r="AY427" s="21">
        <v>1</v>
      </c>
      <c r="AZ427" s="21">
        <v>1</v>
      </c>
      <c r="BA427" s="21">
        <v>1</v>
      </c>
      <c r="BB427" s="21">
        <v>1</v>
      </c>
      <c r="BC427" s="21">
        <v>1</v>
      </c>
      <c r="BD427" s="21">
        <v>1</v>
      </c>
      <c r="BE427" s="21">
        <v>1</v>
      </c>
      <c r="BF427" s="21">
        <v>0</v>
      </c>
      <c r="BG427" s="21">
        <v>0</v>
      </c>
      <c r="BH427" s="21">
        <v>0</v>
      </c>
      <c r="BI427" s="21">
        <v>0</v>
      </c>
      <c r="BJ427" s="21">
        <v>0</v>
      </c>
      <c r="BK427" s="21">
        <v>1</v>
      </c>
      <c r="BL427" s="21">
        <v>0</v>
      </c>
      <c r="BM427" s="21">
        <v>0</v>
      </c>
      <c r="BN427" s="21">
        <v>0</v>
      </c>
      <c r="BO427" s="21">
        <v>0</v>
      </c>
      <c r="BP427" s="21">
        <v>0</v>
      </c>
      <c r="BQ427" s="21">
        <v>0</v>
      </c>
      <c r="BR427" s="21">
        <v>0</v>
      </c>
      <c r="BS427" s="21">
        <v>0</v>
      </c>
    </row>
    <row r="428" spans="1:71">
      <c r="A428" s="40" t="s">
        <v>4908</v>
      </c>
      <c r="B428">
        <v>53</v>
      </c>
      <c r="C428">
        <v>366</v>
      </c>
      <c r="D428">
        <v>2019</v>
      </c>
      <c r="E428">
        <v>-0.81010000000000004</v>
      </c>
      <c r="F428">
        <v>0.108</v>
      </c>
      <c r="G428">
        <f t="shared" si="26"/>
        <v>-7.5009259259259267</v>
      </c>
      <c r="H428" s="27">
        <v>0</v>
      </c>
      <c r="I428">
        <v>1</v>
      </c>
      <c r="J428">
        <v>19926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 s="21">
        <v>0</v>
      </c>
      <c r="S428">
        <v>0</v>
      </c>
      <c r="T428">
        <v>1</v>
      </c>
      <c r="U428">
        <v>2005</v>
      </c>
      <c r="V428">
        <v>2014</v>
      </c>
      <c r="W428">
        <f t="shared" si="24"/>
        <v>2010</v>
      </c>
      <c r="X428">
        <v>1</v>
      </c>
      <c r="Y428">
        <v>0</v>
      </c>
      <c r="Z428">
        <v>1</v>
      </c>
      <c r="AA428">
        <v>0</v>
      </c>
      <c r="AB428">
        <v>0</v>
      </c>
      <c r="AC428">
        <v>0</v>
      </c>
      <c r="AD428" s="21">
        <v>0</v>
      </c>
      <c r="AE428">
        <v>0</v>
      </c>
      <c r="AF428">
        <v>1</v>
      </c>
      <c r="AG428">
        <v>1</v>
      </c>
      <c r="AH428">
        <v>1</v>
      </c>
      <c r="AI428">
        <v>0</v>
      </c>
      <c r="AJ428">
        <v>1</v>
      </c>
      <c r="AK428">
        <v>1</v>
      </c>
      <c r="AL428">
        <v>1</v>
      </c>
      <c r="AM428">
        <v>1</v>
      </c>
      <c r="AN428" s="21">
        <v>1</v>
      </c>
      <c r="AO428" s="21">
        <v>1</v>
      </c>
      <c r="AP428" s="21">
        <v>1</v>
      </c>
      <c r="AQ428">
        <v>0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 s="21">
        <v>1</v>
      </c>
      <c r="BA428" s="21">
        <v>1</v>
      </c>
      <c r="BB428" s="21">
        <v>1</v>
      </c>
      <c r="BC428">
        <v>1</v>
      </c>
      <c r="BD428">
        <v>1</v>
      </c>
      <c r="BE428">
        <v>1</v>
      </c>
      <c r="BF428">
        <v>0</v>
      </c>
      <c r="BG428" s="21">
        <v>0</v>
      </c>
      <c r="BH428" s="21">
        <v>0</v>
      </c>
      <c r="BI428" s="21">
        <v>0</v>
      </c>
      <c r="BJ428" s="21">
        <v>0</v>
      </c>
      <c r="BK428" s="21">
        <v>1</v>
      </c>
      <c r="BL428" s="21">
        <v>0</v>
      </c>
      <c r="BM428" s="21">
        <v>0</v>
      </c>
      <c r="BN428" s="21">
        <v>0</v>
      </c>
      <c r="BO428" s="21">
        <v>0</v>
      </c>
      <c r="BP428" s="21">
        <v>0</v>
      </c>
      <c r="BQ428" s="21">
        <v>0</v>
      </c>
      <c r="BR428" s="21">
        <v>0</v>
      </c>
      <c r="BS428" s="21">
        <v>0</v>
      </c>
    </row>
    <row r="429" spans="1:71">
      <c r="A429" s="40" t="s">
        <v>4908</v>
      </c>
      <c r="B429">
        <v>53</v>
      </c>
      <c r="C429">
        <v>367</v>
      </c>
      <c r="D429">
        <v>2019</v>
      </c>
      <c r="E429">
        <v>-1.123</v>
      </c>
      <c r="F429">
        <v>0.1201</v>
      </c>
      <c r="G429">
        <f t="shared" si="26"/>
        <v>-9.3505412156536227</v>
      </c>
      <c r="H429" s="27">
        <v>0</v>
      </c>
      <c r="I429">
        <v>1</v>
      </c>
      <c r="J429">
        <v>19926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 s="21">
        <v>0</v>
      </c>
      <c r="S429">
        <v>0</v>
      </c>
      <c r="T429">
        <v>1</v>
      </c>
      <c r="U429">
        <v>2005</v>
      </c>
      <c r="V429">
        <v>2014</v>
      </c>
      <c r="W429">
        <f t="shared" si="24"/>
        <v>2010</v>
      </c>
      <c r="X429">
        <v>1</v>
      </c>
      <c r="Y429">
        <v>0</v>
      </c>
      <c r="Z429">
        <v>1</v>
      </c>
      <c r="AA429">
        <v>0</v>
      </c>
      <c r="AB429">
        <v>0</v>
      </c>
      <c r="AC429">
        <v>0</v>
      </c>
      <c r="AD429" s="21">
        <v>0</v>
      </c>
      <c r="AE429">
        <v>0</v>
      </c>
      <c r="AF429">
        <v>1</v>
      </c>
      <c r="AG429">
        <v>1</v>
      </c>
      <c r="AH429">
        <v>1</v>
      </c>
      <c r="AI429">
        <v>0</v>
      </c>
      <c r="AJ429">
        <v>1</v>
      </c>
      <c r="AK429">
        <v>1</v>
      </c>
      <c r="AL429">
        <v>1</v>
      </c>
      <c r="AM429">
        <v>1</v>
      </c>
      <c r="AN429" s="21">
        <v>1</v>
      </c>
      <c r="AO429" s="21">
        <v>1</v>
      </c>
      <c r="AP429" s="21">
        <v>1</v>
      </c>
      <c r="AQ429">
        <v>0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 s="21">
        <v>1</v>
      </c>
      <c r="BA429" s="21">
        <v>1</v>
      </c>
      <c r="BB429" s="21">
        <v>1</v>
      </c>
      <c r="BC429">
        <v>1</v>
      </c>
      <c r="BD429">
        <v>1</v>
      </c>
      <c r="BE429">
        <v>1</v>
      </c>
      <c r="BF429">
        <v>0</v>
      </c>
      <c r="BG429" s="21">
        <v>0</v>
      </c>
      <c r="BH429" s="21">
        <v>0</v>
      </c>
      <c r="BI429" s="21">
        <v>0</v>
      </c>
      <c r="BJ429" s="21">
        <v>0</v>
      </c>
      <c r="BK429" s="21">
        <v>1</v>
      </c>
      <c r="BL429" s="21">
        <v>0</v>
      </c>
      <c r="BM429" s="21">
        <v>0</v>
      </c>
      <c r="BN429" s="21">
        <v>0</v>
      </c>
      <c r="BO429" s="21">
        <v>0</v>
      </c>
      <c r="BP429" s="21">
        <v>0</v>
      </c>
      <c r="BQ429" s="21">
        <v>0</v>
      </c>
      <c r="BR429" s="21">
        <v>0</v>
      </c>
      <c r="BS429" s="21">
        <v>0</v>
      </c>
    </row>
    <row r="430" spans="1:71">
      <c r="A430" s="40" t="s">
        <v>4908</v>
      </c>
      <c r="B430">
        <v>53</v>
      </c>
      <c r="C430">
        <v>368</v>
      </c>
      <c r="D430">
        <v>2019</v>
      </c>
      <c r="E430">
        <v>-1.1240000000000001</v>
      </c>
      <c r="F430">
        <v>0.11600000000000001</v>
      </c>
      <c r="G430">
        <f t="shared" si="26"/>
        <v>-9.6896551724137936</v>
      </c>
      <c r="H430" s="27">
        <v>0</v>
      </c>
      <c r="I430">
        <v>1</v>
      </c>
      <c r="J430">
        <v>19926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 s="21">
        <v>0</v>
      </c>
      <c r="S430">
        <v>0</v>
      </c>
      <c r="T430">
        <v>1</v>
      </c>
      <c r="U430">
        <v>2005</v>
      </c>
      <c r="V430">
        <v>2014</v>
      </c>
      <c r="W430">
        <f t="shared" si="24"/>
        <v>2010</v>
      </c>
      <c r="X430">
        <v>1</v>
      </c>
      <c r="Y430">
        <v>0</v>
      </c>
      <c r="Z430">
        <v>1</v>
      </c>
      <c r="AA430">
        <v>0</v>
      </c>
      <c r="AB430">
        <v>0</v>
      </c>
      <c r="AC430">
        <v>0</v>
      </c>
      <c r="AD430" s="21">
        <v>0</v>
      </c>
      <c r="AE430">
        <v>0</v>
      </c>
      <c r="AF430">
        <v>1</v>
      </c>
      <c r="AG430">
        <v>1</v>
      </c>
      <c r="AH430">
        <v>1</v>
      </c>
      <c r="AI430">
        <v>0</v>
      </c>
      <c r="AJ430">
        <v>1</v>
      </c>
      <c r="AK430">
        <v>1</v>
      </c>
      <c r="AL430">
        <v>1</v>
      </c>
      <c r="AM430">
        <v>1</v>
      </c>
      <c r="AN430" s="21">
        <v>1</v>
      </c>
      <c r="AO430" s="21">
        <v>1</v>
      </c>
      <c r="AP430" s="21">
        <v>1</v>
      </c>
      <c r="AQ430">
        <v>0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 s="21">
        <v>1</v>
      </c>
      <c r="BA430" s="21">
        <v>1</v>
      </c>
      <c r="BB430" s="21">
        <v>1</v>
      </c>
      <c r="BC430">
        <v>1</v>
      </c>
      <c r="BD430">
        <v>1</v>
      </c>
      <c r="BE430">
        <v>1</v>
      </c>
      <c r="BF430">
        <v>0</v>
      </c>
      <c r="BG430" s="21">
        <v>0</v>
      </c>
      <c r="BH430" s="21">
        <v>0</v>
      </c>
      <c r="BI430" s="21">
        <v>0</v>
      </c>
      <c r="BJ430" s="21">
        <v>0</v>
      </c>
      <c r="BK430" s="21">
        <v>1</v>
      </c>
      <c r="BL430" s="21">
        <v>0</v>
      </c>
      <c r="BM430" s="21">
        <v>0</v>
      </c>
      <c r="BN430" s="21">
        <v>0</v>
      </c>
      <c r="BO430" s="21">
        <v>0</v>
      </c>
      <c r="BP430" s="21">
        <v>0</v>
      </c>
      <c r="BQ430" s="21">
        <v>0</v>
      </c>
      <c r="BR430" s="21">
        <v>0</v>
      </c>
      <c r="BS430" s="21">
        <v>0</v>
      </c>
    </row>
    <row r="431" spans="1:71">
      <c r="A431" s="1" t="s">
        <v>4912</v>
      </c>
      <c r="B431">
        <v>72</v>
      </c>
      <c r="C431">
        <v>460</v>
      </c>
      <c r="D431">
        <v>2019</v>
      </c>
      <c r="E431">
        <v>-1.5569999999999999</v>
      </c>
      <c r="F431">
        <v>0.04</v>
      </c>
      <c r="G431">
        <f t="shared" si="26"/>
        <v>-38.924999999999997</v>
      </c>
      <c r="H431" s="27">
        <v>0</v>
      </c>
      <c r="I431">
        <v>1</v>
      </c>
      <c r="J431">
        <v>57276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1995</v>
      </c>
      <c r="V431">
        <v>2012</v>
      </c>
      <c r="W431">
        <f t="shared" si="24"/>
        <v>2004</v>
      </c>
      <c r="X431">
        <v>1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1</v>
      </c>
      <c r="AH431">
        <v>1</v>
      </c>
      <c r="AI431">
        <v>1</v>
      </c>
      <c r="AJ431">
        <v>0</v>
      </c>
      <c r="AK431">
        <v>1</v>
      </c>
      <c r="AL431">
        <v>1</v>
      </c>
      <c r="AM431">
        <v>1</v>
      </c>
      <c r="AN431" s="21">
        <v>1</v>
      </c>
      <c r="AO431" s="21">
        <v>1</v>
      </c>
      <c r="AP431" s="21">
        <v>1</v>
      </c>
      <c r="AQ431">
        <v>0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 s="21">
        <v>1</v>
      </c>
      <c r="BA431" s="21">
        <v>1</v>
      </c>
      <c r="BB431" s="21">
        <v>1</v>
      </c>
      <c r="BC431">
        <v>1</v>
      </c>
      <c r="BD431">
        <v>1</v>
      </c>
      <c r="BE431">
        <v>1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1</v>
      </c>
      <c r="BM431">
        <v>0</v>
      </c>
      <c r="BN431">
        <v>0</v>
      </c>
      <c r="BO431">
        <v>0</v>
      </c>
      <c r="BP431">
        <v>0</v>
      </c>
      <c r="BQ431">
        <v>0</v>
      </c>
      <c r="BR431" s="21">
        <v>0</v>
      </c>
      <c r="BS431" s="21">
        <v>0</v>
      </c>
    </row>
    <row r="432" spans="1:71">
      <c r="A432" s="1" t="s">
        <v>4912</v>
      </c>
      <c r="B432">
        <v>72</v>
      </c>
      <c r="C432">
        <v>461</v>
      </c>
      <c r="D432">
        <v>2019</v>
      </c>
      <c r="E432">
        <v>-1.5549999999999999</v>
      </c>
      <c r="F432">
        <v>0.04</v>
      </c>
      <c r="G432">
        <f t="shared" si="26"/>
        <v>-38.875</v>
      </c>
      <c r="H432" s="27">
        <v>0</v>
      </c>
      <c r="I432">
        <v>1</v>
      </c>
      <c r="J432">
        <v>57609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1995</v>
      </c>
      <c r="V432">
        <v>2012</v>
      </c>
      <c r="W432">
        <f t="shared" si="24"/>
        <v>2004</v>
      </c>
      <c r="X432">
        <v>1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1</v>
      </c>
      <c r="AH432">
        <v>1</v>
      </c>
      <c r="AI432">
        <v>1</v>
      </c>
      <c r="AJ432">
        <v>0</v>
      </c>
      <c r="AK432">
        <v>1</v>
      </c>
      <c r="AL432">
        <v>1</v>
      </c>
      <c r="AM432">
        <v>1</v>
      </c>
      <c r="AN432" s="21">
        <v>1</v>
      </c>
      <c r="AO432" s="21">
        <v>1</v>
      </c>
      <c r="AP432" s="21">
        <v>1</v>
      </c>
      <c r="AQ432">
        <v>0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 s="21">
        <v>1</v>
      </c>
      <c r="BA432" s="21">
        <v>1</v>
      </c>
      <c r="BB432" s="21">
        <v>1</v>
      </c>
      <c r="BC432">
        <v>1</v>
      </c>
      <c r="BD432">
        <v>1</v>
      </c>
      <c r="BE432">
        <v>1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1</v>
      </c>
      <c r="BM432">
        <v>0</v>
      </c>
      <c r="BN432">
        <v>0</v>
      </c>
      <c r="BO432">
        <v>0</v>
      </c>
      <c r="BP432">
        <v>0</v>
      </c>
      <c r="BQ432">
        <v>0</v>
      </c>
      <c r="BR432" s="21">
        <v>0</v>
      </c>
      <c r="BS432" s="21">
        <v>0</v>
      </c>
    </row>
    <row r="433" spans="1:71">
      <c r="A433" s="1" t="s">
        <v>4912</v>
      </c>
      <c r="B433">
        <v>72</v>
      </c>
      <c r="C433">
        <v>462</v>
      </c>
      <c r="D433">
        <v>2019</v>
      </c>
      <c r="E433">
        <v>-1.556</v>
      </c>
      <c r="F433">
        <v>0.04</v>
      </c>
      <c r="G433">
        <f t="shared" si="26"/>
        <v>-38.9</v>
      </c>
      <c r="H433" s="27">
        <v>0</v>
      </c>
      <c r="I433">
        <v>1</v>
      </c>
      <c r="J433">
        <v>57609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1995</v>
      </c>
      <c r="V433">
        <v>2012</v>
      </c>
      <c r="W433">
        <f t="shared" si="24"/>
        <v>2004</v>
      </c>
      <c r="X433">
        <v>1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1</v>
      </c>
      <c r="AH433">
        <v>1</v>
      </c>
      <c r="AI433">
        <v>1</v>
      </c>
      <c r="AJ433">
        <v>0</v>
      </c>
      <c r="AK433">
        <v>1</v>
      </c>
      <c r="AL433">
        <v>1</v>
      </c>
      <c r="AM433">
        <v>1</v>
      </c>
      <c r="AN433" s="21">
        <v>1</v>
      </c>
      <c r="AO433" s="21">
        <v>1</v>
      </c>
      <c r="AP433" s="21">
        <v>1</v>
      </c>
      <c r="AQ433">
        <v>0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 s="21">
        <v>1</v>
      </c>
      <c r="BA433" s="21">
        <v>1</v>
      </c>
      <c r="BB433" s="21">
        <v>1</v>
      </c>
      <c r="BC433">
        <v>1</v>
      </c>
      <c r="BD433">
        <v>1</v>
      </c>
      <c r="BE433">
        <v>1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1</v>
      </c>
      <c r="BM433">
        <v>0</v>
      </c>
      <c r="BN433">
        <v>0</v>
      </c>
      <c r="BO433">
        <v>0</v>
      </c>
      <c r="BP433">
        <v>0</v>
      </c>
      <c r="BQ433">
        <v>0</v>
      </c>
      <c r="BR433" s="21">
        <v>0</v>
      </c>
      <c r="BS433" s="21">
        <v>0</v>
      </c>
    </row>
    <row r="434" spans="1:71">
      <c r="A434" s="1" t="s">
        <v>4912</v>
      </c>
      <c r="B434">
        <v>72</v>
      </c>
      <c r="C434">
        <v>463</v>
      </c>
      <c r="D434">
        <v>2019</v>
      </c>
      <c r="E434">
        <v>-1.5569999999999999</v>
      </c>
      <c r="F434">
        <v>0.04</v>
      </c>
      <c r="G434">
        <f t="shared" si="26"/>
        <v>-38.924999999999997</v>
      </c>
      <c r="H434" s="27">
        <v>0</v>
      </c>
      <c r="I434">
        <v>1</v>
      </c>
      <c r="J434">
        <v>57276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1995</v>
      </c>
      <c r="V434">
        <v>2012</v>
      </c>
      <c r="W434">
        <f t="shared" si="24"/>
        <v>2004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1</v>
      </c>
      <c r="AH434">
        <v>1</v>
      </c>
      <c r="AI434">
        <v>1</v>
      </c>
      <c r="AJ434">
        <v>0</v>
      </c>
      <c r="AK434">
        <v>1</v>
      </c>
      <c r="AL434">
        <v>1</v>
      </c>
      <c r="AM434">
        <v>1</v>
      </c>
      <c r="AN434" s="21">
        <v>1</v>
      </c>
      <c r="AO434" s="21">
        <v>1</v>
      </c>
      <c r="AP434" s="21">
        <v>1</v>
      </c>
      <c r="AQ434">
        <v>0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 s="21">
        <v>1</v>
      </c>
      <c r="BA434" s="21">
        <v>1</v>
      </c>
      <c r="BB434" s="21">
        <v>1</v>
      </c>
      <c r="BC434">
        <v>1</v>
      </c>
      <c r="BD434">
        <v>1</v>
      </c>
      <c r="BE434">
        <v>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1</v>
      </c>
      <c r="BM434">
        <v>0</v>
      </c>
      <c r="BN434">
        <v>0</v>
      </c>
      <c r="BO434">
        <v>0</v>
      </c>
      <c r="BP434">
        <v>0</v>
      </c>
      <c r="BQ434">
        <v>0</v>
      </c>
      <c r="BR434" s="21">
        <v>0</v>
      </c>
      <c r="BS434" s="21">
        <v>0</v>
      </c>
    </row>
    <row r="435" spans="1:71">
      <c r="A435" s="1" t="s">
        <v>4912</v>
      </c>
      <c r="B435">
        <v>72</v>
      </c>
      <c r="C435">
        <v>464</v>
      </c>
      <c r="D435">
        <v>2019</v>
      </c>
      <c r="E435">
        <v>-1.607</v>
      </c>
      <c r="F435">
        <v>0.04</v>
      </c>
      <c r="G435">
        <f t="shared" si="26"/>
        <v>-40.174999999999997</v>
      </c>
      <c r="H435" s="27">
        <v>0</v>
      </c>
      <c r="I435">
        <v>1</v>
      </c>
      <c r="J435">
        <v>57276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1</v>
      </c>
      <c r="U435">
        <v>1995</v>
      </c>
      <c r="V435">
        <v>2012</v>
      </c>
      <c r="W435">
        <f t="shared" si="24"/>
        <v>2004</v>
      </c>
      <c r="X435">
        <v>1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1</v>
      </c>
      <c r="AH435">
        <v>1</v>
      </c>
      <c r="AI435">
        <v>1</v>
      </c>
      <c r="AJ435">
        <v>0</v>
      </c>
      <c r="AK435">
        <v>1</v>
      </c>
      <c r="AL435">
        <v>1</v>
      </c>
      <c r="AM435">
        <v>1</v>
      </c>
      <c r="AN435" s="21">
        <v>1</v>
      </c>
      <c r="AO435" s="21">
        <v>1</v>
      </c>
      <c r="AP435" s="21">
        <v>1</v>
      </c>
      <c r="AQ435">
        <v>0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 s="21">
        <v>1</v>
      </c>
      <c r="BA435" s="21">
        <v>1</v>
      </c>
      <c r="BB435" s="21">
        <v>1</v>
      </c>
      <c r="BC435">
        <v>1</v>
      </c>
      <c r="BD435">
        <v>1</v>
      </c>
      <c r="BE435">
        <v>1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1</v>
      </c>
      <c r="BM435">
        <v>0</v>
      </c>
      <c r="BN435">
        <v>0</v>
      </c>
      <c r="BO435">
        <v>0</v>
      </c>
      <c r="BP435">
        <v>0</v>
      </c>
      <c r="BQ435">
        <v>0</v>
      </c>
      <c r="BR435" s="21">
        <v>0</v>
      </c>
      <c r="BS435" s="21">
        <v>0</v>
      </c>
    </row>
    <row r="436" spans="1:71">
      <c r="A436" s="1" t="s">
        <v>4912</v>
      </c>
      <c r="B436">
        <v>72</v>
      </c>
      <c r="C436">
        <v>465</v>
      </c>
      <c r="D436">
        <v>2019</v>
      </c>
      <c r="E436">
        <v>-1.587</v>
      </c>
      <c r="F436">
        <v>3.9E-2</v>
      </c>
      <c r="G436">
        <f t="shared" si="26"/>
        <v>-40.692307692307693</v>
      </c>
      <c r="H436" s="27">
        <v>0</v>
      </c>
      <c r="I436">
        <v>1</v>
      </c>
      <c r="J436">
        <v>57609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1</v>
      </c>
      <c r="U436">
        <v>1995</v>
      </c>
      <c r="V436">
        <v>2012</v>
      </c>
      <c r="W436">
        <f t="shared" si="24"/>
        <v>2004</v>
      </c>
      <c r="X436">
        <v>1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1</v>
      </c>
      <c r="AH436">
        <v>1</v>
      </c>
      <c r="AI436">
        <v>1</v>
      </c>
      <c r="AJ436">
        <v>0</v>
      </c>
      <c r="AK436">
        <v>1</v>
      </c>
      <c r="AL436">
        <v>1</v>
      </c>
      <c r="AM436">
        <v>1</v>
      </c>
      <c r="AN436" s="21">
        <v>1</v>
      </c>
      <c r="AO436" s="21">
        <v>1</v>
      </c>
      <c r="AP436" s="21">
        <v>1</v>
      </c>
      <c r="AQ436">
        <v>0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 s="21">
        <v>1</v>
      </c>
      <c r="BA436" s="21">
        <v>1</v>
      </c>
      <c r="BB436" s="21">
        <v>1</v>
      </c>
      <c r="BC436">
        <v>1</v>
      </c>
      <c r="BD436">
        <v>1</v>
      </c>
      <c r="BE436">
        <v>1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</v>
      </c>
      <c r="BM436">
        <v>0</v>
      </c>
      <c r="BN436">
        <v>0</v>
      </c>
      <c r="BO436">
        <v>0</v>
      </c>
      <c r="BP436">
        <v>0</v>
      </c>
      <c r="BQ436">
        <v>0</v>
      </c>
      <c r="BR436" s="21">
        <v>0</v>
      </c>
      <c r="BS436" s="21">
        <v>0</v>
      </c>
    </row>
    <row r="437" spans="1:71">
      <c r="A437" s="1" t="s">
        <v>4912</v>
      </c>
      <c r="B437">
        <v>72</v>
      </c>
      <c r="C437">
        <v>466</v>
      </c>
      <c r="D437">
        <v>2019</v>
      </c>
      <c r="E437">
        <v>-1.583</v>
      </c>
      <c r="F437">
        <v>3.7999999999999999E-2</v>
      </c>
      <c r="G437">
        <f t="shared" si="26"/>
        <v>-41.657894736842103</v>
      </c>
      <c r="H437" s="27">
        <v>0</v>
      </c>
      <c r="I437">
        <v>1</v>
      </c>
      <c r="J437">
        <v>57609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1</v>
      </c>
      <c r="U437">
        <v>1995</v>
      </c>
      <c r="V437">
        <v>2012</v>
      </c>
      <c r="W437">
        <f t="shared" si="24"/>
        <v>2004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1</v>
      </c>
      <c r="AH437">
        <v>1</v>
      </c>
      <c r="AI437">
        <v>1</v>
      </c>
      <c r="AJ437">
        <v>0</v>
      </c>
      <c r="AK437">
        <v>1</v>
      </c>
      <c r="AL437">
        <v>1</v>
      </c>
      <c r="AM437">
        <v>1</v>
      </c>
      <c r="AN437" s="21">
        <v>1</v>
      </c>
      <c r="AO437" s="21">
        <v>1</v>
      </c>
      <c r="AP437" s="21">
        <v>1</v>
      </c>
      <c r="AQ437">
        <v>0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 s="21">
        <v>1</v>
      </c>
      <c r="BA437" s="21">
        <v>1</v>
      </c>
      <c r="BB437" s="21">
        <v>1</v>
      </c>
      <c r="BC437">
        <v>1</v>
      </c>
      <c r="BD437">
        <v>1</v>
      </c>
      <c r="BE437">
        <v>1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1</v>
      </c>
      <c r="BM437">
        <v>0</v>
      </c>
      <c r="BN437">
        <v>0</v>
      </c>
      <c r="BO437">
        <v>0</v>
      </c>
      <c r="BP437">
        <v>0</v>
      </c>
      <c r="BQ437">
        <v>0</v>
      </c>
      <c r="BR437" s="21">
        <v>0</v>
      </c>
      <c r="BS437" s="21">
        <v>0</v>
      </c>
    </row>
    <row r="438" spans="1:71">
      <c r="A438" s="1" t="s">
        <v>4912</v>
      </c>
      <c r="B438">
        <v>72</v>
      </c>
      <c r="C438">
        <v>467</v>
      </c>
      <c r="D438">
        <v>2019</v>
      </c>
      <c r="E438">
        <v>-1.601</v>
      </c>
      <c r="F438">
        <v>3.9E-2</v>
      </c>
      <c r="G438">
        <f t="shared" si="26"/>
        <v>-41.051282051282051</v>
      </c>
      <c r="H438" s="27">
        <v>0</v>
      </c>
      <c r="I438">
        <v>1</v>
      </c>
      <c r="J438">
        <v>57276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1</v>
      </c>
      <c r="U438">
        <v>1995</v>
      </c>
      <c r="V438">
        <v>2012</v>
      </c>
      <c r="W438">
        <f t="shared" si="24"/>
        <v>2004</v>
      </c>
      <c r="X438">
        <v>1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1</v>
      </c>
      <c r="AH438">
        <v>1</v>
      </c>
      <c r="AI438">
        <v>1</v>
      </c>
      <c r="AJ438">
        <v>0</v>
      </c>
      <c r="AK438">
        <v>1</v>
      </c>
      <c r="AL438">
        <v>1</v>
      </c>
      <c r="AM438">
        <v>1</v>
      </c>
      <c r="AN438" s="21">
        <v>1</v>
      </c>
      <c r="AO438" s="21">
        <v>1</v>
      </c>
      <c r="AP438" s="21">
        <v>1</v>
      </c>
      <c r="AQ438">
        <v>0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 s="21">
        <v>1</v>
      </c>
      <c r="BA438" s="21">
        <v>1</v>
      </c>
      <c r="BB438" s="21">
        <v>1</v>
      </c>
      <c r="BC438">
        <v>1</v>
      </c>
      <c r="BD438">
        <v>1</v>
      </c>
      <c r="BE438">
        <v>1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1</v>
      </c>
      <c r="BM438">
        <v>0</v>
      </c>
      <c r="BN438">
        <v>0</v>
      </c>
      <c r="BO438">
        <v>0</v>
      </c>
      <c r="BP438">
        <v>0</v>
      </c>
      <c r="BQ438">
        <v>0</v>
      </c>
      <c r="BR438" s="21">
        <v>0</v>
      </c>
      <c r="BS438" s="21">
        <v>0</v>
      </c>
    </row>
    <row r="439" spans="1:71">
      <c r="A439" s="1" t="s">
        <v>4912</v>
      </c>
      <c r="B439">
        <v>72</v>
      </c>
      <c r="C439">
        <v>468</v>
      </c>
      <c r="D439">
        <v>2019</v>
      </c>
      <c r="E439">
        <v>-1.5269999999999999</v>
      </c>
      <c r="F439">
        <v>4.7E-2</v>
      </c>
      <c r="G439">
        <f t="shared" si="26"/>
        <v>-32.48936170212766</v>
      </c>
      <c r="H439" s="27">
        <v>0</v>
      </c>
      <c r="I439">
        <v>1</v>
      </c>
      <c r="J439">
        <v>18437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1995</v>
      </c>
      <c r="V439">
        <v>2001</v>
      </c>
      <c r="W439">
        <f t="shared" si="24"/>
        <v>1998</v>
      </c>
      <c r="X439">
        <v>1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1</v>
      </c>
      <c r="AH439">
        <v>1</v>
      </c>
      <c r="AI439">
        <v>1</v>
      </c>
      <c r="AJ439">
        <v>0</v>
      </c>
      <c r="AK439">
        <v>1</v>
      </c>
      <c r="AL439">
        <v>1</v>
      </c>
      <c r="AM439">
        <v>1</v>
      </c>
      <c r="AN439" s="21">
        <v>1</v>
      </c>
      <c r="AO439" s="21">
        <v>1</v>
      </c>
      <c r="AP439" s="21">
        <v>1</v>
      </c>
      <c r="AQ439">
        <v>0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 s="21">
        <v>1</v>
      </c>
      <c r="BA439" s="21">
        <v>1</v>
      </c>
      <c r="BB439" s="21">
        <v>1</v>
      </c>
      <c r="BC439">
        <v>1</v>
      </c>
      <c r="BD439">
        <v>1</v>
      </c>
      <c r="BE439">
        <v>1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1</v>
      </c>
      <c r="BM439">
        <v>0</v>
      </c>
      <c r="BN439">
        <v>0</v>
      </c>
      <c r="BO439">
        <v>0</v>
      </c>
      <c r="BP439">
        <v>0</v>
      </c>
      <c r="BQ439">
        <v>0</v>
      </c>
      <c r="BR439" s="21">
        <v>0</v>
      </c>
      <c r="BS439" s="21">
        <v>0</v>
      </c>
    </row>
    <row r="440" spans="1:71">
      <c r="A440" s="1" t="s">
        <v>4912</v>
      </c>
      <c r="B440">
        <v>72</v>
      </c>
      <c r="C440">
        <v>469</v>
      </c>
      <c r="D440">
        <v>2019</v>
      </c>
      <c r="E440">
        <v>-1.532</v>
      </c>
      <c r="F440">
        <v>4.7E-2</v>
      </c>
      <c r="G440">
        <f t="shared" si="26"/>
        <v>-32.595744680851062</v>
      </c>
      <c r="H440" s="27">
        <v>0</v>
      </c>
      <c r="I440">
        <v>1</v>
      </c>
      <c r="J440">
        <v>18437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1995</v>
      </c>
      <c r="V440">
        <v>2001</v>
      </c>
      <c r="W440">
        <f t="shared" si="24"/>
        <v>1998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1</v>
      </c>
      <c r="AH440">
        <v>1</v>
      </c>
      <c r="AI440">
        <v>1</v>
      </c>
      <c r="AJ440">
        <v>0</v>
      </c>
      <c r="AK440">
        <v>1</v>
      </c>
      <c r="AL440">
        <v>1</v>
      </c>
      <c r="AM440">
        <v>1</v>
      </c>
      <c r="AN440" s="21">
        <v>1</v>
      </c>
      <c r="AO440" s="21">
        <v>1</v>
      </c>
      <c r="AP440" s="21">
        <v>1</v>
      </c>
      <c r="AQ440">
        <v>0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 s="21">
        <v>1</v>
      </c>
      <c r="BA440" s="21">
        <v>1</v>
      </c>
      <c r="BB440" s="21">
        <v>1</v>
      </c>
      <c r="BC440">
        <v>1</v>
      </c>
      <c r="BD440">
        <v>1</v>
      </c>
      <c r="BE440">
        <v>1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1</v>
      </c>
      <c r="BM440">
        <v>0</v>
      </c>
      <c r="BN440">
        <v>0</v>
      </c>
      <c r="BO440">
        <v>0</v>
      </c>
      <c r="BP440">
        <v>0</v>
      </c>
      <c r="BQ440">
        <v>0</v>
      </c>
      <c r="BR440" s="21">
        <v>0</v>
      </c>
      <c r="BS440" s="21">
        <v>0</v>
      </c>
    </row>
    <row r="441" spans="1:71">
      <c r="A441" s="1" t="s">
        <v>4912</v>
      </c>
      <c r="B441">
        <v>72</v>
      </c>
      <c r="C441">
        <v>470</v>
      </c>
      <c r="D441">
        <v>2019</v>
      </c>
      <c r="E441">
        <v>-1.508</v>
      </c>
      <c r="F441">
        <v>4.3999999999999997E-2</v>
      </c>
      <c r="G441">
        <f t="shared" si="26"/>
        <v>-34.272727272727273</v>
      </c>
      <c r="H441" s="27">
        <v>0</v>
      </c>
      <c r="I441">
        <v>1</v>
      </c>
      <c r="J441">
        <v>18437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1</v>
      </c>
      <c r="U441">
        <v>1995</v>
      </c>
      <c r="V441">
        <v>2001</v>
      </c>
      <c r="W441">
        <f t="shared" si="24"/>
        <v>1998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1</v>
      </c>
      <c r="AH441">
        <v>1</v>
      </c>
      <c r="AI441">
        <v>1</v>
      </c>
      <c r="AJ441">
        <v>0</v>
      </c>
      <c r="AK441">
        <v>1</v>
      </c>
      <c r="AL441">
        <v>1</v>
      </c>
      <c r="AM441">
        <v>1</v>
      </c>
      <c r="AN441" s="21">
        <v>1</v>
      </c>
      <c r="AO441" s="21">
        <v>1</v>
      </c>
      <c r="AP441" s="21">
        <v>1</v>
      </c>
      <c r="AQ441">
        <v>0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 s="21">
        <v>1</v>
      </c>
      <c r="BA441" s="21">
        <v>1</v>
      </c>
      <c r="BB441" s="21">
        <v>1</v>
      </c>
      <c r="BC441">
        <v>1</v>
      </c>
      <c r="BD441">
        <v>1</v>
      </c>
      <c r="BE441">
        <v>1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1</v>
      </c>
      <c r="BM441">
        <v>0</v>
      </c>
      <c r="BN441">
        <v>0</v>
      </c>
      <c r="BO441">
        <v>0</v>
      </c>
      <c r="BP441">
        <v>0</v>
      </c>
      <c r="BQ441">
        <v>0</v>
      </c>
      <c r="BR441" s="21">
        <v>0</v>
      </c>
      <c r="BS441" s="21">
        <v>0</v>
      </c>
    </row>
    <row r="442" spans="1:71">
      <c r="A442" s="1" t="s">
        <v>4912</v>
      </c>
      <c r="B442">
        <v>72</v>
      </c>
      <c r="C442">
        <v>471</v>
      </c>
      <c r="D442">
        <v>2019</v>
      </c>
      <c r="E442">
        <v>-1.5109999999999999</v>
      </c>
      <c r="F442">
        <v>4.3999999999999997E-2</v>
      </c>
      <c r="G442">
        <f t="shared" si="26"/>
        <v>-34.340909090909093</v>
      </c>
      <c r="H442" s="27">
        <v>0</v>
      </c>
      <c r="I442">
        <v>1</v>
      </c>
      <c r="J442">
        <v>18437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1</v>
      </c>
      <c r="U442">
        <v>1995</v>
      </c>
      <c r="V442">
        <v>2001</v>
      </c>
      <c r="W442">
        <f t="shared" si="24"/>
        <v>1998</v>
      </c>
      <c r="X442">
        <v>1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1</v>
      </c>
      <c r="AH442">
        <v>1</v>
      </c>
      <c r="AI442">
        <v>1</v>
      </c>
      <c r="AJ442">
        <v>0</v>
      </c>
      <c r="AK442">
        <v>1</v>
      </c>
      <c r="AL442">
        <v>1</v>
      </c>
      <c r="AM442">
        <v>1</v>
      </c>
      <c r="AN442" s="21">
        <v>1</v>
      </c>
      <c r="AO442" s="21">
        <v>1</v>
      </c>
      <c r="AP442" s="21">
        <v>1</v>
      </c>
      <c r="AQ442">
        <v>0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 s="21">
        <v>1</v>
      </c>
      <c r="BA442" s="21">
        <v>1</v>
      </c>
      <c r="BB442" s="21">
        <v>1</v>
      </c>
      <c r="BC442">
        <v>1</v>
      </c>
      <c r="BD442">
        <v>1</v>
      </c>
      <c r="BE442">
        <v>1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1</v>
      </c>
      <c r="BM442">
        <v>0</v>
      </c>
      <c r="BN442">
        <v>0</v>
      </c>
      <c r="BO442">
        <v>0</v>
      </c>
      <c r="BP442">
        <v>0</v>
      </c>
      <c r="BQ442">
        <v>0</v>
      </c>
      <c r="BR442" s="21">
        <v>0</v>
      </c>
      <c r="BS442" s="21">
        <v>0</v>
      </c>
    </row>
    <row r="443" spans="1:71">
      <c r="A443" s="1" t="s">
        <v>4912</v>
      </c>
      <c r="B443">
        <v>72</v>
      </c>
      <c r="C443">
        <v>472</v>
      </c>
      <c r="D443">
        <v>2019</v>
      </c>
      <c r="E443">
        <v>-1.57</v>
      </c>
      <c r="F443">
        <v>4.1000000000000002E-2</v>
      </c>
      <c r="G443">
        <f t="shared" si="26"/>
        <v>-38.292682926829265</v>
      </c>
      <c r="H443" s="27">
        <v>0</v>
      </c>
      <c r="I443">
        <v>1</v>
      </c>
      <c r="J443">
        <v>38839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2002</v>
      </c>
      <c r="V443">
        <v>2012</v>
      </c>
      <c r="W443">
        <f t="shared" si="24"/>
        <v>2007</v>
      </c>
      <c r="X443">
        <v>1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1</v>
      </c>
      <c r="AH443">
        <v>1</v>
      </c>
      <c r="AI443">
        <v>1</v>
      </c>
      <c r="AJ443">
        <v>0</v>
      </c>
      <c r="AK443">
        <v>1</v>
      </c>
      <c r="AL443">
        <v>1</v>
      </c>
      <c r="AM443">
        <v>1</v>
      </c>
      <c r="AN443" s="21">
        <v>1</v>
      </c>
      <c r="AO443" s="21">
        <v>1</v>
      </c>
      <c r="AP443" s="21">
        <v>1</v>
      </c>
      <c r="AQ443">
        <v>0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 s="21">
        <v>1</v>
      </c>
      <c r="BA443" s="21">
        <v>1</v>
      </c>
      <c r="BB443" s="21">
        <v>1</v>
      </c>
      <c r="BC443">
        <v>1</v>
      </c>
      <c r="BD443">
        <v>1</v>
      </c>
      <c r="BE443">
        <v>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1</v>
      </c>
      <c r="BM443">
        <v>0</v>
      </c>
      <c r="BN443">
        <v>0</v>
      </c>
      <c r="BO443">
        <v>0</v>
      </c>
      <c r="BP443">
        <v>0</v>
      </c>
      <c r="BQ443">
        <v>0</v>
      </c>
      <c r="BR443" s="21">
        <v>0</v>
      </c>
      <c r="BS443" s="21">
        <v>0</v>
      </c>
    </row>
    <row r="444" spans="1:71">
      <c r="A444" s="1" t="s">
        <v>4912</v>
      </c>
      <c r="B444">
        <v>72</v>
      </c>
      <c r="C444">
        <v>473</v>
      </c>
      <c r="D444">
        <v>2019</v>
      </c>
      <c r="E444">
        <v>-1.571</v>
      </c>
      <c r="F444">
        <v>0.04</v>
      </c>
      <c r="G444">
        <f t="shared" si="26"/>
        <v>-39.274999999999999</v>
      </c>
      <c r="H444" s="27">
        <v>0</v>
      </c>
      <c r="I444">
        <v>1</v>
      </c>
      <c r="J444">
        <v>38839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2002</v>
      </c>
      <c r="V444">
        <v>2012</v>
      </c>
      <c r="W444">
        <f t="shared" si="24"/>
        <v>2007</v>
      </c>
      <c r="X444">
        <v>1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1</v>
      </c>
      <c r="AH444">
        <v>1</v>
      </c>
      <c r="AI444">
        <v>1</v>
      </c>
      <c r="AJ444">
        <v>0</v>
      </c>
      <c r="AK444">
        <v>1</v>
      </c>
      <c r="AL444">
        <v>1</v>
      </c>
      <c r="AM444">
        <v>1</v>
      </c>
      <c r="AN444" s="21">
        <v>1</v>
      </c>
      <c r="AO444" s="21">
        <v>1</v>
      </c>
      <c r="AP444" s="21">
        <v>1</v>
      </c>
      <c r="AQ444">
        <v>0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 s="21">
        <v>1</v>
      </c>
      <c r="BA444" s="21">
        <v>1</v>
      </c>
      <c r="BB444" s="21">
        <v>1</v>
      </c>
      <c r="BC444">
        <v>1</v>
      </c>
      <c r="BD444">
        <v>1</v>
      </c>
      <c r="BE444">
        <v>1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1</v>
      </c>
      <c r="BM444">
        <v>0</v>
      </c>
      <c r="BN444">
        <v>0</v>
      </c>
      <c r="BO444">
        <v>0</v>
      </c>
      <c r="BP444">
        <v>0</v>
      </c>
      <c r="BQ444">
        <v>0</v>
      </c>
      <c r="BR444" s="21">
        <v>0</v>
      </c>
      <c r="BS444" s="21">
        <v>0</v>
      </c>
    </row>
    <row r="445" spans="1:71">
      <c r="A445" s="1" t="s">
        <v>4912</v>
      </c>
      <c r="B445">
        <v>72</v>
      </c>
      <c r="C445">
        <v>474</v>
      </c>
      <c r="D445">
        <v>2019</v>
      </c>
      <c r="E445">
        <v>-1.5880000000000001</v>
      </c>
      <c r="F445">
        <v>0.04</v>
      </c>
      <c r="G445">
        <f t="shared" si="26"/>
        <v>-39.700000000000003</v>
      </c>
      <c r="H445" s="27">
        <v>0</v>
      </c>
      <c r="I445">
        <v>1</v>
      </c>
      <c r="J445">
        <v>38839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1</v>
      </c>
      <c r="U445">
        <v>2002</v>
      </c>
      <c r="V445">
        <v>2012</v>
      </c>
      <c r="W445">
        <f t="shared" si="24"/>
        <v>2007</v>
      </c>
      <c r="X445">
        <v>1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1</v>
      </c>
      <c r="AH445">
        <v>1</v>
      </c>
      <c r="AI445">
        <v>1</v>
      </c>
      <c r="AJ445">
        <v>0</v>
      </c>
      <c r="AK445">
        <v>1</v>
      </c>
      <c r="AL445">
        <v>1</v>
      </c>
      <c r="AM445">
        <v>1</v>
      </c>
      <c r="AN445" s="21">
        <v>1</v>
      </c>
      <c r="AO445" s="21">
        <v>1</v>
      </c>
      <c r="AP445" s="21">
        <v>1</v>
      </c>
      <c r="AQ445">
        <v>0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 s="21">
        <v>1</v>
      </c>
      <c r="BA445" s="21">
        <v>1</v>
      </c>
      <c r="BB445" s="21">
        <v>1</v>
      </c>
      <c r="BC445">
        <v>1</v>
      </c>
      <c r="BD445">
        <v>1</v>
      </c>
      <c r="BE445">
        <v>1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1</v>
      </c>
      <c r="BM445">
        <v>0</v>
      </c>
      <c r="BN445">
        <v>0</v>
      </c>
      <c r="BO445">
        <v>0</v>
      </c>
      <c r="BP445">
        <v>0</v>
      </c>
      <c r="BQ445">
        <v>0</v>
      </c>
      <c r="BR445" s="21">
        <v>0</v>
      </c>
      <c r="BS445" s="21">
        <v>0</v>
      </c>
    </row>
    <row r="446" spans="1:71">
      <c r="A446" s="1" t="s">
        <v>4912</v>
      </c>
      <c r="B446">
        <v>72</v>
      </c>
      <c r="C446">
        <v>475</v>
      </c>
      <c r="D446">
        <v>2019</v>
      </c>
      <c r="E446">
        <v>-1.617</v>
      </c>
      <c r="F446">
        <v>4.1000000000000002E-2</v>
      </c>
      <c r="G446">
        <f t="shared" si="26"/>
        <v>-39.439024390243901</v>
      </c>
      <c r="H446" s="27">
        <v>0</v>
      </c>
      <c r="I446">
        <v>1</v>
      </c>
      <c r="J446">
        <v>38839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1</v>
      </c>
      <c r="U446">
        <v>2002</v>
      </c>
      <c r="V446">
        <v>2012</v>
      </c>
      <c r="W446">
        <f t="shared" si="24"/>
        <v>2007</v>
      </c>
      <c r="X446">
        <v>1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1</v>
      </c>
      <c r="AH446">
        <v>1</v>
      </c>
      <c r="AI446">
        <v>1</v>
      </c>
      <c r="AJ446">
        <v>0</v>
      </c>
      <c r="AK446">
        <v>1</v>
      </c>
      <c r="AL446">
        <v>1</v>
      </c>
      <c r="AM446">
        <v>1</v>
      </c>
      <c r="AN446" s="21">
        <v>1</v>
      </c>
      <c r="AO446" s="21">
        <v>1</v>
      </c>
      <c r="AP446" s="21">
        <v>1</v>
      </c>
      <c r="AQ446">
        <v>0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 s="21">
        <v>1</v>
      </c>
      <c r="BA446" s="21">
        <v>1</v>
      </c>
      <c r="BB446" s="21">
        <v>1</v>
      </c>
      <c r="BC446">
        <v>1</v>
      </c>
      <c r="BD446">
        <v>1</v>
      </c>
      <c r="BE446">
        <v>1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1</v>
      </c>
      <c r="BM446">
        <v>0</v>
      </c>
      <c r="BN446">
        <v>0</v>
      </c>
      <c r="BO446">
        <v>0</v>
      </c>
      <c r="BP446">
        <v>0</v>
      </c>
      <c r="BQ446">
        <v>0</v>
      </c>
      <c r="BR446" s="21">
        <v>0</v>
      </c>
      <c r="BS446" s="21">
        <v>0</v>
      </c>
    </row>
    <row r="447" spans="1:71">
      <c r="A447" s="1" t="s">
        <v>5107</v>
      </c>
      <c r="B447">
        <v>78</v>
      </c>
      <c r="C447">
        <v>504</v>
      </c>
      <c r="D447">
        <v>2019</v>
      </c>
      <c r="E447">
        <v>-0.43</v>
      </c>
      <c r="F447">
        <f t="shared" ref="F447:F459" si="27">E447/G447</f>
        <v>8.6345381526104409E-2</v>
      </c>
      <c r="G447">
        <v>-4.9800000000000004</v>
      </c>
      <c r="H447" s="27">
        <v>0</v>
      </c>
      <c r="I447">
        <v>1</v>
      </c>
      <c r="J447">
        <v>70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2011</v>
      </c>
      <c r="V447">
        <v>2017</v>
      </c>
      <c r="W447">
        <f t="shared" si="24"/>
        <v>2014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 s="21">
        <v>1</v>
      </c>
      <c r="AO447" s="21">
        <v>0</v>
      </c>
      <c r="AP447" s="21">
        <v>0</v>
      </c>
      <c r="AQ447">
        <v>1</v>
      </c>
      <c r="AR447">
        <v>0</v>
      </c>
      <c r="AS447">
        <v>0</v>
      </c>
      <c r="AT447">
        <v>1</v>
      </c>
      <c r="AU447">
        <v>1</v>
      </c>
      <c r="AV447">
        <v>0</v>
      </c>
      <c r="AW447">
        <v>1</v>
      </c>
      <c r="AX447">
        <v>0</v>
      </c>
      <c r="AY447">
        <v>1</v>
      </c>
      <c r="AZ447" s="21">
        <v>0</v>
      </c>
      <c r="BA447" s="21">
        <v>1</v>
      </c>
      <c r="BB447" s="21">
        <v>1</v>
      </c>
      <c r="BC447">
        <v>0</v>
      </c>
      <c r="BD447">
        <v>0</v>
      </c>
      <c r="BE447">
        <v>0</v>
      </c>
      <c r="BF447">
        <v>0</v>
      </c>
      <c r="BG447">
        <v>1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 s="21">
        <v>0</v>
      </c>
      <c r="BS447" s="21">
        <v>0</v>
      </c>
    </row>
    <row r="448" spans="1:71">
      <c r="A448" s="1" t="s">
        <v>5107</v>
      </c>
      <c r="B448">
        <v>78</v>
      </c>
      <c r="C448">
        <v>505</v>
      </c>
      <c r="D448">
        <v>2019</v>
      </c>
      <c r="E448">
        <v>-0.43</v>
      </c>
      <c r="F448">
        <f t="shared" si="27"/>
        <v>4.777777777777778E-2</v>
      </c>
      <c r="G448">
        <v>-9</v>
      </c>
      <c r="H448" s="27">
        <v>0</v>
      </c>
      <c r="I448">
        <v>1</v>
      </c>
      <c r="J448">
        <v>70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2011</v>
      </c>
      <c r="V448">
        <v>2017</v>
      </c>
      <c r="W448">
        <f t="shared" si="24"/>
        <v>2014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 s="21">
        <v>1</v>
      </c>
      <c r="AO448" s="21">
        <v>0</v>
      </c>
      <c r="AP448" s="21">
        <v>0</v>
      </c>
      <c r="AQ448">
        <v>1</v>
      </c>
      <c r="AR448">
        <v>0</v>
      </c>
      <c r="AS448">
        <v>0</v>
      </c>
      <c r="AT448">
        <v>1</v>
      </c>
      <c r="AU448">
        <v>1</v>
      </c>
      <c r="AV448">
        <v>0</v>
      </c>
      <c r="AW448">
        <v>1</v>
      </c>
      <c r="AX448">
        <v>0</v>
      </c>
      <c r="AY448">
        <v>1</v>
      </c>
      <c r="AZ448" s="21">
        <v>0</v>
      </c>
      <c r="BA448" s="21">
        <v>1</v>
      </c>
      <c r="BB448" s="21">
        <v>1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 s="21">
        <v>0</v>
      </c>
      <c r="BS448" s="21">
        <v>0</v>
      </c>
    </row>
    <row r="449" spans="1:71">
      <c r="A449" s="1" t="s">
        <v>5192</v>
      </c>
      <c r="B449">
        <v>91</v>
      </c>
      <c r="C449">
        <v>558</v>
      </c>
      <c r="D449">
        <v>2019</v>
      </c>
      <c r="E449">
        <v>-1.2529999999999999</v>
      </c>
      <c r="F449">
        <f t="shared" si="27"/>
        <v>0.38067750265836242</v>
      </c>
      <c r="G449">
        <f>-3.2915</f>
        <v>-3.2915000000000001</v>
      </c>
      <c r="H449" s="27">
        <v>1</v>
      </c>
      <c r="I449">
        <v>1</v>
      </c>
      <c r="J449">
        <v>163563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</v>
      </c>
      <c r="U449">
        <v>1982</v>
      </c>
      <c r="V449">
        <v>2014</v>
      </c>
      <c r="W449">
        <f t="shared" si="24"/>
        <v>1998</v>
      </c>
      <c r="X449">
        <v>1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 s="21">
        <v>1</v>
      </c>
      <c r="AO449" s="21">
        <v>1</v>
      </c>
      <c r="AP449" s="21">
        <v>1</v>
      </c>
      <c r="AQ449">
        <v>0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 s="21">
        <v>1</v>
      </c>
      <c r="BA449" s="21">
        <v>1</v>
      </c>
      <c r="BB449" s="21">
        <v>1</v>
      </c>
      <c r="BC449">
        <v>1</v>
      </c>
      <c r="BD449">
        <v>1</v>
      </c>
      <c r="BE449">
        <v>1</v>
      </c>
      <c r="BF449">
        <v>0</v>
      </c>
      <c r="BG449">
        <v>1</v>
      </c>
      <c r="BH449">
        <v>0</v>
      </c>
      <c r="BI449">
        <v>1</v>
      </c>
      <c r="BJ449">
        <v>0</v>
      </c>
      <c r="BK449">
        <v>0</v>
      </c>
      <c r="BL449">
        <v>0</v>
      </c>
      <c r="BM449">
        <v>0</v>
      </c>
      <c r="BN449">
        <v>1</v>
      </c>
      <c r="BO449">
        <v>1</v>
      </c>
      <c r="BP449">
        <v>0</v>
      </c>
      <c r="BQ449">
        <v>0</v>
      </c>
      <c r="BR449" s="21">
        <v>0</v>
      </c>
      <c r="BS449" s="21">
        <v>1</v>
      </c>
    </row>
    <row r="450" spans="1:71">
      <c r="A450" s="1" t="s">
        <v>5192</v>
      </c>
      <c r="B450">
        <v>91</v>
      </c>
      <c r="C450">
        <v>559</v>
      </c>
      <c r="D450">
        <v>2019</v>
      </c>
      <c r="E450">
        <v>-1.147</v>
      </c>
      <c r="F450">
        <f t="shared" si="27"/>
        <v>0.34847334042229988</v>
      </c>
      <c r="G450">
        <f>-3.2915</f>
        <v>-3.2915000000000001</v>
      </c>
      <c r="H450" s="27">
        <v>1</v>
      </c>
      <c r="I450">
        <v>1</v>
      </c>
      <c r="J450">
        <v>53800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1</v>
      </c>
      <c r="U450">
        <v>1982</v>
      </c>
      <c r="V450">
        <v>2014</v>
      </c>
      <c r="W450">
        <f t="shared" ref="W450:W513" si="28">ROUND(AVERAGE(U450:V450), 0)</f>
        <v>1998</v>
      </c>
      <c r="X450">
        <v>1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 s="21">
        <v>1</v>
      </c>
      <c r="AO450" s="21">
        <v>1</v>
      </c>
      <c r="AP450" s="21">
        <v>1</v>
      </c>
      <c r="AQ450">
        <v>0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 s="21">
        <v>1</v>
      </c>
      <c r="BA450" s="21">
        <v>1</v>
      </c>
      <c r="BB450" s="21">
        <v>1</v>
      </c>
      <c r="BC450">
        <v>1</v>
      </c>
      <c r="BD450">
        <v>1</v>
      </c>
      <c r="BE450">
        <v>1</v>
      </c>
      <c r="BF450">
        <v>0</v>
      </c>
      <c r="BG450">
        <v>1</v>
      </c>
      <c r="BH450">
        <v>0</v>
      </c>
      <c r="BI450">
        <v>1</v>
      </c>
      <c r="BJ450">
        <v>0</v>
      </c>
      <c r="BK450">
        <v>0</v>
      </c>
      <c r="BL450">
        <v>0</v>
      </c>
      <c r="BM450">
        <v>0</v>
      </c>
      <c r="BN450">
        <v>1</v>
      </c>
      <c r="BO450">
        <v>1</v>
      </c>
      <c r="BP450">
        <v>0</v>
      </c>
      <c r="BQ450">
        <v>0</v>
      </c>
      <c r="BR450" s="21">
        <v>0</v>
      </c>
      <c r="BS450" s="21">
        <v>1</v>
      </c>
    </row>
    <row r="451" spans="1:71">
      <c r="A451" s="1" t="s">
        <v>5192</v>
      </c>
      <c r="B451">
        <v>91</v>
      </c>
      <c r="C451">
        <v>560</v>
      </c>
      <c r="D451">
        <v>2019</v>
      </c>
      <c r="E451">
        <v>-1.2549999999999999</v>
      </c>
      <c r="F451">
        <f t="shared" si="27"/>
        <v>0.38128512836092965</v>
      </c>
      <c r="G451">
        <f>-3.2915</f>
        <v>-3.2915000000000001</v>
      </c>
      <c r="H451" s="27">
        <v>1</v>
      </c>
      <c r="I451">
        <v>1</v>
      </c>
      <c r="J451">
        <v>66758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1</v>
      </c>
      <c r="U451">
        <v>1982</v>
      </c>
      <c r="V451">
        <v>2014</v>
      </c>
      <c r="W451">
        <f t="shared" si="28"/>
        <v>1998</v>
      </c>
      <c r="X451">
        <v>1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 s="21">
        <v>1</v>
      </c>
      <c r="AO451" s="21">
        <v>1</v>
      </c>
      <c r="AP451" s="21">
        <v>1</v>
      </c>
      <c r="AQ451">
        <v>0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 s="21">
        <v>1</v>
      </c>
      <c r="BA451" s="21">
        <v>1</v>
      </c>
      <c r="BB451" s="21">
        <v>1</v>
      </c>
      <c r="BC451">
        <v>1</v>
      </c>
      <c r="BD451">
        <v>1</v>
      </c>
      <c r="BE451">
        <v>1</v>
      </c>
      <c r="BF451">
        <v>0</v>
      </c>
      <c r="BG451">
        <v>1</v>
      </c>
      <c r="BH451">
        <v>0</v>
      </c>
      <c r="BI451">
        <v>1</v>
      </c>
      <c r="BJ451">
        <v>0</v>
      </c>
      <c r="BK451">
        <v>0</v>
      </c>
      <c r="BL451">
        <v>0</v>
      </c>
      <c r="BM451">
        <v>0</v>
      </c>
      <c r="BN451">
        <v>1</v>
      </c>
      <c r="BO451">
        <v>1</v>
      </c>
      <c r="BP451">
        <v>0</v>
      </c>
      <c r="BQ451">
        <v>0</v>
      </c>
      <c r="BR451" s="21">
        <v>0</v>
      </c>
      <c r="BS451" s="21">
        <v>1</v>
      </c>
    </row>
    <row r="452" spans="1:71">
      <c r="A452" s="1" t="s">
        <v>5192</v>
      </c>
      <c r="B452">
        <v>91</v>
      </c>
      <c r="C452">
        <v>561</v>
      </c>
      <c r="D452">
        <v>2019</v>
      </c>
      <c r="E452">
        <v>-1.252</v>
      </c>
      <c r="F452">
        <f t="shared" si="27"/>
        <v>0.38037368980707881</v>
      </c>
      <c r="G452">
        <f>-3.2915</f>
        <v>-3.2915000000000001</v>
      </c>
      <c r="H452" s="27">
        <v>1</v>
      </c>
      <c r="I452">
        <v>1</v>
      </c>
      <c r="J452">
        <v>163653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1</v>
      </c>
      <c r="U452">
        <v>1982</v>
      </c>
      <c r="V452">
        <v>2014</v>
      </c>
      <c r="W452">
        <f t="shared" si="28"/>
        <v>1998</v>
      </c>
      <c r="X452">
        <v>1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 s="21">
        <v>1</v>
      </c>
      <c r="AO452" s="21">
        <v>1</v>
      </c>
      <c r="AP452" s="21">
        <v>1</v>
      </c>
      <c r="AQ452">
        <v>0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 s="21">
        <v>1</v>
      </c>
      <c r="BA452" s="21">
        <v>1</v>
      </c>
      <c r="BB452" s="21">
        <v>1</v>
      </c>
      <c r="BC452">
        <v>1</v>
      </c>
      <c r="BD452">
        <v>1</v>
      </c>
      <c r="BE452">
        <v>1</v>
      </c>
      <c r="BF452">
        <v>0</v>
      </c>
      <c r="BG452">
        <v>1</v>
      </c>
      <c r="BH452">
        <v>0</v>
      </c>
      <c r="BI452">
        <v>1</v>
      </c>
      <c r="BJ452">
        <v>0</v>
      </c>
      <c r="BK452">
        <v>0</v>
      </c>
      <c r="BL452">
        <v>0</v>
      </c>
      <c r="BM452">
        <v>0</v>
      </c>
      <c r="BN452">
        <v>1</v>
      </c>
      <c r="BO452">
        <v>1</v>
      </c>
      <c r="BP452">
        <v>0</v>
      </c>
      <c r="BQ452">
        <v>0</v>
      </c>
      <c r="BR452" s="21">
        <v>0</v>
      </c>
      <c r="BS452" s="21">
        <v>1</v>
      </c>
    </row>
    <row r="453" spans="1:71">
      <c r="A453" s="1" t="s">
        <v>5192</v>
      </c>
      <c r="B453">
        <v>91</v>
      </c>
      <c r="C453">
        <v>562</v>
      </c>
      <c r="D453">
        <v>2019</v>
      </c>
      <c r="E453">
        <v>-1.1830000000000001</v>
      </c>
      <c r="F453">
        <f t="shared" si="27"/>
        <v>0.3594106030685098</v>
      </c>
      <c r="G453">
        <f>-3.2915</f>
        <v>-3.2915000000000001</v>
      </c>
      <c r="H453" s="27">
        <v>1</v>
      </c>
      <c r="I453">
        <v>1</v>
      </c>
      <c r="J453">
        <v>94903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1</v>
      </c>
      <c r="U453">
        <v>1982</v>
      </c>
      <c r="V453">
        <v>2014</v>
      </c>
      <c r="W453">
        <f t="shared" si="28"/>
        <v>1998</v>
      </c>
      <c r="X453">
        <v>1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 s="21">
        <v>1</v>
      </c>
      <c r="AO453" s="21">
        <v>1</v>
      </c>
      <c r="AP453" s="21">
        <v>1</v>
      </c>
      <c r="AQ453">
        <v>0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 s="21">
        <v>1</v>
      </c>
      <c r="BA453" s="21">
        <v>1</v>
      </c>
      <c r="BB453" s="21">
        <v>1</v>
      </c>
      <c r="BC453">
        <v>1</v>
      </c>
      <c r="BD453">
        <v>1</v>
      </c>
      <c r="BE453">
        <v>1</v>
      </c>
      <c r="BF453">
        <v>0</v>
      </c>
      <c r="BG453">
        <v>1</v>
      </c>
      <c r="BH453">
        <v>0</v>
      </c>
      <c r="BI453">
        <v>1</v>
      </c>
      <c r="BJ453">
        <v>0</v>
      </c>
      <c r="BK453">
        <v>0</v>
      </c>
      <c r="BL453">
        <v>0</v>
      </c>
      <c r="BM453">
        <v>0</v>
      </c>
      <c r="BN453">
        <v>1</v>
      </c>
      <c r="BO453">
        <v>1</v>
      </c>
      <c r="BP453">
        <v>0</v>
      </c>
      <c r="BQ453">
        <v>0</v>
      </c>
      <c r="BR453" s="21">
        <v>0</v>
      </c>
      <c r="BS453" s="21">
        <v>1</v>
      </c>
    </row>
    <row r="454" spans="1:71">
      <c r="A454" s="18" t="s">
        <v>5233</v>
      </c>
      <c r="B454">
        <v>95</v>
      </c>
      <c r="C454">
        <v>574</v>
      </c>
      <c r="D454">
        <v>2019</v>
      </c>
      <c r="E454">
        <v>-0.22900000000000001</v>
      </c>
      <c r="F454">
        <f t="shared" si="27"/>
        <v>0.10223214285714285</v>
      </c>
      <c r="G454">
        <v>-2.2400000000000002</v>
      </c>
      <c r="H454" s="27">
        <v>1</v>
      </c>
      <c r="I454">
        <v>1</v>
      </c>
      <c r="J454">
        <f>9*89</f>
        <v>801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</v>
      </c>
      <c r="U454">
        <v>2008</v>
      </c>
      <c r="V454">
        <v>2016</v>
      </c>
      <c r="W454">
        <f t="shared" si="28"/>
        <v>2012</v>
      </c>
      <c r="X454">
        <v>1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1</v>
      </c>
      <c r="AI454">
        <v>1</v>
      </c>
      <c r="AJ454">
        <v>0</v>
      </c>
      <c r="AK454">
        <v>1</v>
      </c>
      <c r="AL454">
        <v>0</v>
      </c>
      <c r="AM454">
        <v>0</v>
      </c>
      <c r="AN454" s="21">
        <v>0</v>
      </c>
      <c r="AO454" s="21">
        <v>1</v>
      </c>
      <c r="AP454" s="21">
        <v>1</v>
      </c>
      <c r="AQ454">
        <v>0</v>
      </c>
      <c r="AR454">
        <v>1</v>
      </c>
      <c r="AS454">
        <v>0</v>
      </c>
      <c r="AT454">
        <v>1</v>
      </c>
      <c r="AU454">
        <v>1</v>
      </c>
      <c r="AV454">
        <v>0</v>
      </c>
      <c r="AW454">
        <v>1</v>
      </c>
      <c r="AX454">
        <v>0</v>
      </c>
      <c r="AY454">
        <v>1</v>
      </c>
      <c r="AZ454" s="21">
        <v>0</v>
      </c>
      <c r="BA454" s="21">
        <v>1</v>
      </c>
      <c r="BB454" s="21">
        <v>1</v>
      </c>
      <c r="BC454">
        <v>0</v>
      </c>
      <c r="BD454">
        <v>0</v>
      </c>
      <c r="BE454">
        <v>0</v>
      </c>
      <c r="BF454">
        <v>1</v>
      </c>
      <c r="BG454">
        <v>1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1</v>
      </c>
      <c r="BO454">
        <v>0</v>
      </c>
      <c r="BP454">
        <v>0</v>
      </c>
      <c r="BQ454">
        <v>0</v>
      </c>
      <c r="BR454" s="21">
        <v>0</v>
      </c>
      <c r="BS454" s="21">
        <v>0</v>
      </c>
    </row>
    <row r="455" spans="1:71">
      <c r="A455" s="1" t="s">
        <v>5233</v>
      </c>
      <c r="B455">
        <v>95</v>
      </c>
      <c r="C455">
        <v>575</v>
      </c>
      <c r="D455">
        <v>2019</v>
      </c>
      <c r="E455">
        <v>-0.189</v>
      </c>
      <c r="F455">
        <f t="shared" si="27"/>
        <v>6.7259786476868325E-2</v>
      </c>
      <c r="G455">
        <v>-2.81</v>
      </c>
      <c r="H455" s="27">
        <v>1</v>
      </c>
      <c r="I455">
        <v>1</v>
      </c>
      <c r="J455">
        <f>9*89</f>
        <v>801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</v>
      </c>
      <c r="U455">
        <v>2008</v>
      </c>
      <c r="V455">
        <v>2016</v>
      </c>
      <c r="W455">
        <f t="shared" si="28"/>
        <v>2012</v>
      </c>
      <c r="X455">
        <v>1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1</v>
      </c>
      <c r="AI455">
        <v>1</v>
      </c>
      <c r="AJ455">
        <v>0</v>
      </c>
      <c r="AK455">
        <v>1</v>
      </c>
      <c r="AL455">
        <v>0</v>
      </c>
      <c r="AM455">
        <v>0</v>
      </c>
      <c r="AN455" s="21">
        <v>0</v>
      </c>
      <c r="AO455" s="21">
        <v>1</v>
      </c>
      <c r="AP455" s="21">
        <v>1</v>
      </c>
      <c r="AQ455">
        <v>0</v>
      </c>
      <c r="AR455">
        <v>1</v>
      </c>
      <c r="AS455">
        <v>0</v>
      </c>
      <c r="AT455">
        <v>1</v>
      </c>
      <c r="AU455">
        <v>1</v>
      </c>
      <c r="AV455">
        <v>0</v>
      </c>
      <c r="AW455">
        <v>1</v>
      </c>
      <c r="AX455">
        <v>0</v>
      </c>
      <c r="AY455">
        <v>1</v>
      </c>
      <c r="AZ455" s="21">
        <v>0</v>
      </c>
      <c r="BA455" s="21">
        <v>1</v>
      </c>
      <c r="BB455" s="21">
        <v>1</v>
      </c>
      <c r="BC455">
        <v>0</v>
      </c>
      <c r="BD455">
        <v>0</v>
      </c>
      <c r="BE455">
        <v>0</v>
      </c>
      <c r="BF455">
        <v>1</v>
      </c>
      <c r="BG455">
        <v>1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1</v>
      </c>
      <c r="BO455">
        <v>0</v>
      </c>
      <c r="BP455">
        <v>0</v>
      </c>
      <c r="BQ455">
        <v>0</v>
      </c>
      <c r="BR455" s="21">
        <v>0</v>
      </c>
      <c r="BS455" s="21">
        <v>0</v>
      </c>
    </row>
    <row r="456" spans="1:71">
      <c r="A456" s="1" t="s">
        <v>4811</v>
      </c>
      <c r="B456">
        <v>116</v>
      </c>
      <c r="C456">
        <v>725</v>
      </c>
      <c r="D456">
        <v>2019</v>
      </c>
      <c r="E456">
        <v>-1.2</v>
      </c>
      <c r="F456">
        <f t="shared" si="27"/>
        <v>0.5357142857142857</v>
      </c>
      <c r="G456">
        <v>-2.2400000000000002</v>
      </c>
      <c r="H456" s="27">
        <v>1</v>
      </c>
      <c r="I456">
        <v>1</v>
      </c>
      <c r="J456">
        <v>31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1999</v>
      </c>
      <c r="V456">
        <v>1999</v>
      </c>
      <c r="W456">
        <f t="shared" si="28"/>
        <v>1999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 s="21">
        <v>0</v>
      </c>
      <c r="AO456" s="21">
        <v>1</v>
      </c>
      <c r="AP456" s="21">
        <v>0</v>
      </c>
      <c r="AQ456">
        <v>1</v>
      </c>
      <c r="AR456">
        <v>0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1</v>
      </c>
      <c r="AZ456" s="21">
        <v>0</v>
      </c>
      <c r="BA456" s="21">
        <v>1</v>
      </c>
      <c r="BB456" s="21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</row>
    <row r="457" spans="1:71">
      <c r="A457" s="1" t="s">
        <v>4811</v>
      </c>
      <c r="B457">
        <v>116</v>
      </c>
      <c r="C457">
        <v>726</v>
      </c>
      <c r="D457">
        <v>2019</v>
      </c>
      <c r="E457">
        <v>-1.212</v>
      </c>
      <c r="F457">
        <f t="shared" si="27"/>
        <v>0.54107142857142854</v>
      </c>
      <c r="G457">
        <v>-2.2400000000000002</v>
      </c>
      <c r="H457" s="27">
        <v>1</v>
      </c>
      <c r="I457">
        <v>1</v>
      </c>
      <c r="J457">
        <v>31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1999</v>
      </c>
      <c r="V457">
        <v>1999</v>
      </c>
      <c r="W457">
        <f t="shared" si="28"/>
        <v>1999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 s="21">
        <v>0</v>
      </c>
      <c r="AO457" s="21">
        <v>1</v>
      </c>
      <c r="AP457" s="21">
        <v>0</v>
      </c>
      <c r="AQ457">
        <v>0</v>
      </c>
      <c r="AR457">
        <v>1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</v>
      </c>
      <c r="AZ457" s="21">
        <v>0</v>
      </c>
      <c r="BA457" s="21">
        <v>1</v>
      </c>
      <c r="BB457" s="21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</row>
    <row r="458" spans="1:71">
      <c r="A458" s="1" t="s">
        <v>4811</v>
      </c>
      <c r="B458">
        <v>116</v>
      </c>
      <c r="C458">
        <v>727</v>
      </c>
      <c r="D458">
        <v>2019</v>
      </c>
      <c r="E458">
        <v>-0.68400000000000005</v>
      </c>
      <c r="F458">
        <f t="shared" si="27"/>
        <v>0.30535714285714283</v>
      </c>
      <c r="G458">
        <v>-2.2400000000000002</v>
      </c>
      <c r="H458" s="27">
        <v>1</v>
      </c>
      <c r="I458">
        <v>1</v>
      </c>
      <c r="J458">
        <v>31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2007</v>
      </c>
      <c r="V458">
        <v>2007</v>
      </c>
      <c r="W458">
        <f t="shared" si="28"/>
        <v>2007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 s="21">
        <v>0</v>
      </c>
      <c r="AO458" s="21">
        <v>1</v>
      </c>
      <c r="AP458" s="21">
        <v>0</v>
      </c>
      <c r="AQ458">
        <v>1</v>
      </c>
      <c r="AR458">
        <v>0</v>
      </c>
      <c r="AS458">
        <v>1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1</v>
      </c>
      <c r="AZ458" s="21">
        <v>0</v>
      </c>
      <c r="BA458" s="21">
        <v>1</v>
      </c>
      <c r="BB458" s="21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</row>
    <row r="459" spans="1:71">
      <c r="A459" s="1" t="s">
        <v>4811</v>
      </c>
      <c r="B459">
        <v>116</v>
      </c>
      <c r="C459">
        <v>728</v>
      </c>
      <c r="D459">
        <v>2019</v>
      </c>
      <c r="E459">
        <v>-0.69099999999999995</v>
      </c>
      <c r="F459">
        <f t="shared" si="27"/>
        <v>0.30848214285714282</v>
      </c>
      <c r="G459">
        <v>-2.2400000000000002</v>
      </c>
      <c r="H459" s="27">
        <v>1</v>
      </c>
      <c r="I459">
        <v>1</v>
      </c>
      <c r="J459">
        <v>31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2007</v>
      </c>
      <c r="V459">
        <v>2007</v>
      </c>
      <c r="W459">
        <f t="shared" si="28"/>
        <v>2007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</v>
      </c>
      <c r="AN459" s="21">
        <v>0</v>
      </c>
      <c r="AO459" s="21">
        <v>1</v>
      </c>
      <c r="AP459" s="21">
        <v>0</v>
      </c>
      <c r="AQ459">
        <v>0</v>
      </c>
      <c r="AR459">
        <v>1</v>
      </c>
      <c r="AS459">
        <v>1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1</v>
      </c>
      <c r="AZ459" s="21">
        <v>0</v>
      </c>
      <c r="BA459" s="21">
        <v>1</v>
      </c>
      <c r="BB459" s="21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</row>
    <row r="460" spans="1:71">
      <c r="A460" s="18" t="s">
        <v>5199</v>
      </c>
      <c r="B460">
        <v>117</v>
      </c>
      <c r="C460">
        <v>729</v>
      </c>
      <c r="D460">
        <v>2019</v>
      </c>
      <c r="E460">
        <v>-2.08</v>
      </c>
      <c r="F460">
        <v>0.73199999999999998</v>
      </c>
      <c r="G460">
        <f t="shared" ref="G460:G491" si="29">E460/F460</f>
        <v>-2.8415300546448088</v>
      </c>
      <c r="H460" s="27">
        <v>0</v>
      </c>
      <c r="I460">
        <v>1</v>
      </c>
      <c r="J460">
        <v>2280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1</v>
      </c>
      <c r="U460">
        <v>2001</v>
      </c>
      <c r="V460">
        <v>2010</v>
      </c>
      <c r="W460">
        <f t="shared" si="28"/>
        <v>2006</v>
      </c>
      <c r="X460">
        <v>0</v>
      </c>
      <c r="Y460">
        <v>1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1</v>
      </c>
      <c r="AH460">
        <v>0</v>
      </c>
      <c r="AI460">
        <v>0</v>
      </c>
      <c r="AJ460">
        <v>1</v>
      </c>
      <c r="AK460">
        <v>0</v>
      </c>
      <c r="AL460">
        <v>0</v>
      </c>
      <c r="AM460">
        <v>0</v>
      </c>
      <c r="AN460" s="21">
        <v>1</v>
      </c>
      <c r="AO460" s="21">
        <v>1</v>
      </c>
      <c r="AP460" s="21">
        <v>0</v>
      </c>
      <c r="AQ460">
        <v>0</v>
      </c>
      <c r="AR460">
        <v>1</v>
      </c>
      <c r="AS460">
        <v>1</v>
      </c>
      <c r="AT460">
        <v>0</v>
      </c>
      <c r="AU460">
        <v>0</v>
      </c>
      <c r="AV460">
        <v>1</v>
      </c>
      <c r="AW460">
        <v>0</v>
      </c>
      <c r="AX460">
        <v>0</v>
      </c>
      <c r="AY460">
        <v>0</v>
      </c>
      <c r="AZ460" s="21">
        <v>1</v>
      </c>
      <c r="BA460" s="21">
        <v>1</v>
      </c>
      <c r="BB460" s="21">
        <v>0</v>
      </c>
      <c r="BC460">
        <v>1</v>
      </c>
      <c r="BD460">
        <v>1</v>
      </c>
      <c r="BE460">
        <v>1</v>
      </c>
      <c r="BF460">
        <v>0</v>
      </c>
      <c r="BG460">
        <v>1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</row>
    <row r="461" spans="1:71">
      <c r="A461" s="1" t="s">
        <v>5199</v>
      </c>
      <c r="B461">
        <v>117</v>
      </c>
      <c r="C461">
        <v>730</v>
      </c>
      <c r="D461">
        <v>2019</v>
      </c>
      <c r="E461">
        <v>-2.262</v>
      </c>
      <c r="F461">
        <v>0.38300000000000001</v>
      </c>
      <c r="G461">
        <f t="shared" si="29"/>
        <v>-5.9060052219321149</v>
      </c>
      <c r="H461" s="27">
        <v>0</v>
      </c>
      <c r="I461">
        <v>1</v>
      </c>
      <c r="J461">
        <v>5300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1</v>
      </c>
      <c r="U461">
        <v>2001</v>
      </c>
      <c r="V461">
        <v>2010</v>
      </c>
      <c r="W461">
        <f t="shared" si="28"/>
        <v>2006</v>
      </c>
      <c r="X461">
        <v>0</v>
      </c>
      <c r="Y461">
        <v>1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1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 s="21">
        <v>1</v>
      </c>
      <c r="AO461" s="21">
        <v>1</v>
      </c>
      <c r="AP461" s="21">
        <v>0</v>
      </c>
      <c r="AQ461">
        <v>0</v>
      </c>
      <c r="AR461">
        <v>1</v>
      </c>
      <c r="AS461">
        <v>1</v>
      </c>
      <c r="AT461">
        <v>0</v>
      </c>
      <c r="AU461">
        <v>0</v>
      </c>
      <c r="AV461">
        <v>1</v>
      </c>
      <c r="AW461">
        <v>0</v>
      </c>
      <c r="AX461">
        <v>0</v>
      </c>
      <c r="AY461">
        <v>0</v>
      </c>
      <c r="AZ461" s="21">
        <v>1</v>
      </c>
      <c r="BA461" s="21">
        <v>1</v>
      </c>
      <c r="BB461" s="21">
        <v>0</v>
      </c>
      <c r="BC461">
        <v>1</v>
      </c>
      <c r="BD461">
        <v>1</v>
      </c>
      <c r="BE461">
        <v>1</v>
      </c>
      <c r="BF461">
        <v>0</v>
      </c>
      <c r="BG461">
        <v>1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</row>
    <row r="462" spans="1:71">
      <c r="A462" s="1" t="s">
        <v>5199</v>
      </c>
      <c r="B462">
        <v>117</v>
      </c>
      <c r="C462">
        <v>731</v>
      </c>
      <c r="D462">
        <v>2019</v>
      </c>
      <c r="E462">
        <v>-2.08</v>
      </c>
      <c r="F462">
        <v>0.24</v>
      </c>
      <c r="G462">
        <f t="shared" si="29"/>
        <v>-8.6666666666666679</v>
      </c>
      <c r="H462" s="27">
        <v>0</v>
      </c>
      <c r="I462">
        <v>1</v>
      </c>
      <c r="J462">
        <v>2280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1</v>
      </c>
      <c r="U462">
        <v>2001</v>
      </c>
      <c r="V462">
        <v>2010</v>
      </c>
      <c r="W462">
        <f t="shared" si="28"/>
        <v>2006</v>
      </c>
      <c r="X462">
        <v>0</v>
      </c>
      <c r="Y462">
        <v>1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1</v>
      </c>
      <c r="AH462">
        <v>0</v>
      </c>
      <c r="AI462">
        <v>0</v>
      </c>
      <c r="AJ462">
        <v>1</v>
      </c>
      <c r="AK462">
        <v>0</v>
      </c>
      <c r="AL462">
        <v>0</v>
      </c>
      <c r="AM462">
        <v>0</v>
      </c>
      <c r="AN462" s="21">
        <v>1</v>
      </c>
      <c r="AO462" s="21">
        <v>1</v>
      </c>
      <c r="AP462" s="21">
        <v>0</v>
      </c>
      <c r="AQ462">
        <v>0</v>
      </c>
      <c r="AR462">
        <v>1</v>
      </c>
      <c r="AS462">
        <v>1</v>
      </c>
      <c r="AT462">
        <v>0</v>
      </c>
      <c r="AU462">
        <v>0</v>
      </c>
      <c r="AV462">
        <v>1</v>
      </c>
      <c r="AW462">
        <v>0</v>
      </c>
      <c r="AX462">
        <v>0</v>
      </c>
      <c r="AY462">
        <v>0</v>
      </c>
      <c r="AZ462" s="21">
        <v>1</v>
      </c>
      <c r="BA462" s="21">
        <v>1</v>
      </c>
      <c r="BB462" s="21">
        <v>0</v>
      </c>
      <c r="BC462">
        <v>1</v>
      </c>
      <c r="BD462">
        <v>1</v>
      </c>
      <c r="BE462">
        <v>1</v>
      </c>
      <c r="BF462">
        <v>0</v>
      </c>
      <c r="BG462">
        <v>1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</row>
    <row r="463" spans="1:71">
      <c r="A463" s="1" t="s">
        <v>5199</v>
      </c>
      <c r="B463">
        <v>117</v>
      </c>
      <c r="C463">
        <v>732</v>
      </c>
      <c r="D463">
        <v>2019</v>
      </c>
      <c r="E463">
        <v>-2.069</v>
      </c>
      <c r="F463">
        <v>0.23799999999999999</v>
      </c>
      <c r="G463">
        <f t="shared" si="29"/>
        <v>-8.6932773109243691</v>
      </c>
      <c r="H463" s="27">
        <v>0</v>
      </c>
      <c r="I463">
        <v>1</v>
      </c>
      <c r="J463">
        <v>2280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1</v>
      </c>
      <c r="U463">
        <v>2001</v>
      </c>
      <c r="V463">
        <v>2010</v>
      </c>
      <c r="W463">
        <f t="shared" si="28"/>
        <v>2006</v>
      </c>
      <c r="X463">
        <v>0</v>
      </c>
      <c r="Y463">
        <v>1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1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 s="21">
        <v>1</v>
      </c>
      <c r="AO463" s="21">
        <v>1</v>
      </c>
      <c r="AP463" s="21">
        <v>0</v>
      </c>
      <c r="AQ463">
        <v>0</v>
      </c>
      <c r="AR463">
        <v>1</v>
      </c>
      <c r="AS463">
        <v>1</v>
      </c>
      <c r="AT463">
        <v>0</v>
      </c>
      <c r="AU463">
        <v>0</v>
      </c>
      <c r="AV463">
        <v>1</v>
      </c>
      <c r="AW463">
        <v>0</v>
      </c>
      <c r="AX463">
        <v>0</v>
      </c>
      <c r="AY463">
        <v>0</v>
      </c>
      <c r="AZ463" s="21">
        <v>1</v>
      </c>
      <c r="BA463" s="21">
        <v>1</v>
      </c>
      <c r="BB463" s="21">
        <v>0</v>
      </c>
      <c r="BC463">
        <v>1</v>
      </c>
      <c r="BD463">
        <v>1</v>
      </c>
      <c r="BE463">
        <v>1</v>
      </c>
      <c r="BF463">
        <v>0</v>
      </c>
      <c r="BG463">
        <v>1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</row>
    <row r="464" spans="1:71">
      <c r="A464" s="1" t="s">
        <v>5199</v>
      </c>
      <c r="B464">
        <v>117</v>
      </c>
      <c r="C464">
        <v>733</v>
      </c>
      <c r="D464">
        <v>2019</v>
      </c>
      <c r="E464">
        <v>-2.0720000000000001</v>
      </c>
      <c r="F464">
        <v>0.24099999999999999</v>
      </c>
      <c r="G464">
        <f t="shared" si="29"/>
        <v>-8.5975103734439848</v>
      </c>
      <c r="H464" s="27">
        <v>0</v>
      </c>
      <c r="I464">
        <v>1</v>
      </c>
      <c r="J464">
        <v>2280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</v>
      </c>
      <c r="U464">
        <v>2001</v>
      </c>
      <c r="V464">
        <v>2010</v>
      </c>
      <c r="W464">
        <f t="shared" si="28"/>
        <v>2006</v>
      </c>
      <c r="X464">
        <v>0</v>
      </c>
      <c r="Y464">
        <v>1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1</v>
      </c>
      <c r="AH464">
        <v>0</v>
      </c>
      <c r="AI464">
        <v>0</v>
      </c>
      <c r="AJ464">
        <v>1</v>
      </c>
      <c r="AK464">
        <v>0</v>
      </c>
      <c r="AL464">
        <v>0</v>
      </c>
      <c r="AM464">
        <v>0</v>
      </c>
      <c r="AN464" s="21">
        <v>1</v>
      </c>
      <c r="AO464" s="21">
        <v>1</v>
      </c>
      <c r="AP464" s="21">
        <v>0</v>
      </c>
      <c r="AQ464">
        <v>0</v>
      </c>
      <c r="AR464">
        <v>1</v>
      </c>
      <c r="AS464">
        <v>1</v>
      </c>
      <c r="AT464">
        <v>0</v>
      </c>
      <c r="AU464">
        <v>0</v>
      </c>
      <c r="AV464">
        <v>1</v>
      </c>
      <c r="AW464">
        <v>0</v>
      </c>
      <c r="AX464">
        <v>0</v>
      </c>
      <c r="AY464">
        <v>0</v>
      </c>
      <c r="AZ464" s="21">
        <v>1</v>
      </c>
      <c r="BA464" s="21">
        <v>1</v>
      </c>
      <c r="BB464" s="21">
        <v>0</v>
      </c>
      <c r="BC464">
        <v>1</v>
      </c>
      <c r="BD464">
        <v>1</v>
      </c>
      <c r="BE464">
        <v>1</v>
      </c>
      <c r="BF464">
        <v>0</v>
      </c>
      <c r="BG464">
        <v>1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</row>
    <row r="465" spans="1:71">
      <c r="A465" s="1" t="s">
        <v>5199</v>
      </c>
      <c r="B465">
        <v>117</v>
      </c>
      <c r="C465">
        <v>734</v>
      </c>
      <c r="D465">
        <v>2019</v>
      </c>
      <c r="E465">
        <v>-2.0739999999999998</v>
      </c>
      <c r="F465">
        <v>0.24099999999999999</v>
      </c>
      <c r="G465">
        <f t="shared" si="29"/>
        <v>-8.605809128630705</v>
      </c>
      <c r="H465" s="27">
        <v>0</v>
      </c>
      <c r="I465">
        <v>1</v>
      </c>
      <c r="J465">
        <v>2280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1</v>
      </c>
      <c r="U465">
        <v>2001</v>
      </c>
      <c r="V465">
        <v>2010</v>
      </c>
      <c r="W465">
        <f t="shared" si="28"/>
        <v>2006</v>
      </c>
      <c r="X465">
        <v>0</v>
      </c>
      <c r="Y465">
        <v>1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1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 s="21">
        <v>1</v>
      </c>
      <c r="AO465" s="21">
        <v>1</v>
      </c>
      <c r="AP465" s="21">
        <v>0</v>
      </c>
      <c r="AQ465">
        <v>0</v>
      </c>
      <c r="AR465">
        <v>1</v>
      </c>
      <c r="AS465">
        <v>1</v>
      </c>
      <c r="AT465">
        <v>0</v>
      </c>
      <c r="AU465">
        <v>0</v>
      </c>
      <c r="AV465">
        <v>1</v>
      </c>
      <c r="AW465">
        <v>0</v>
      </c>
      <c r="AX465">
        <v>0</v>
      </c>
      <c r="AY465">
        <v>0</v>
      </c>
      <c r="AZ465" s="21">
        <v>1</v>
      </c>
      <c r="BA465" s="21">
        <v>1</v>
      </c>
      <c r="BB465" s="21">
        <v>0</v>
      </c>
      <c r="BC465">
        <v>1</v>
      </c>
      <c r="BD465">
        <v>1</v>
      </c>
      <c r="BE465">
        <v>1</v>
      </c>
      <c r="BF465">
        <v>0</v>
      </c>
      <c r="BG465">
        <v>1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</row>
    <row r="466" spans="1:71">
      <c r="A466" s="1" t="s">
        <v>5199</v>
      </c>
      <c r="B466">
        <v>117</v>
      </c>
      <c r="C466">
        <v>735</v>
      </c>
      <c r="D466">
        <v>2019</v>
      </c>
      <c r="E466">
        <v>-2.2610000000000001</v>
      </c>
      <c r="F466">
        <v>0.38100000000000001</v>
      </c>
      <c r="G466">
        <f t="shared" si="29"/>
        <v>-5.9343832020997374</v>
      </c>
      <c r="H466" s="27">
        <v>0</v>
      </c>
      <c r="I466">
        <v>1</v>
      </c>
      <c r="J466">
        <v>5300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1</v>
      </c>
      <c r="U466">
        <v>2001</v>
      </c>
      <c r="V466">
        <v>2010</v>
      </c>
      <c r="W466">
        <f t="shared" si="28"/>
        <v>2006</v>
      </c>
      <c r="X466">
        <v>0</v>
      </c>
      <c r="Y466">
        <v>1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1</v>
      </c>
      <c r="AH466">
        <v>0</v>
      </c>
      <c r="AI466">
        <v>0</v>
      </c>
      <c r="AJ466">
        <v>1</v>
      </c>
      <c r="AK466">
        <v>0</v>
      </c>
      <c r="AL466">
        <v>0</v>
      </c>
      <c r="AM466">
        <v>0</v>
      </c>
      <c r="AN466" s="21">
        <v>1</v>
      </c>
      <c r="AO466" s="21">
        <v>1</v>
      </c>
      <c r="AP466" s="21">
        <v>0</v>
      </c>
      <c r="AQ466">
        <v>0</v>
      </c>
      <c r="AR466">
        <v>1</v>
      </c>
      <c r="AS466">
        <v>1</v>
      </c>
      <c r="AT466">
        <v>0</v>
      </c>
      <c r="AU466">
        <v>0</v>
      </c>
      <c r="AV466">
        <v>1</v>
      </c>
      <c r="AW466">
        <v>0</v>
      </c>
      <c r="AX466">
        <v>0</v>
      </c>
      <c r="AY466">
        <v>0</v>
      </c>
      <c r="AZ466" s="21">
        <v>1</v>
      </c>
      <c r="BA466" s="21">
        <v>1</v>
      </c>
      <c r="BB466" s="21">
        <v>0</v>
      </c>
      <c r="BC466">
        <v>1</v>
      </c>
      <c r="BD466">
        <v>1</v>
      </c>
      <c r="BE466">
        <v>1</v>
      </c>
      <c r="BF466">
        <v>0</v>
      </c>
      <c r="BG466">
        <v>1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</row>
    <row r="467" spans="1:71">
      <c r="A467" s="1" t="s">
        <v>5199</v>
      </c>
      <c r="B467">
        <v>117</v>
      </c>
      <c r="C467">
        <v>736</v>
      </c>
      <c r="D467">
        <v>2019</v>
      </c>
      <c r="E467">
        <v>-2.3159999999999998</v>
      </c>
      <c r="F467">
        <v>0.41</v>
      </c>
      <c r="G467">
        <f t="shared" si="29"/>
        <v>-5.6487804878048777</v>
      </c>
      <c r="H467" s="27">
        <v>0</v>
      </c>
      <c r="I467">
        <v>1</v>
      </c>
      <c r="J467">
        <v>5300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1</v>
      </c>
      <c r="U467">
        <v>2001</v>
      </c>
      <c r="V467">
        <v>2010</v>
      </c>
      <c r="W467">
        <f t="shared" si="28"/>
        <v>2006</v>
      </c>
      <c r="X467">
        <v>0</v>
      </c>
      <c r="Y467">
        <v>1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1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0</v>
      </c>
      <c r="AN467" s="21">
        <v>1</v>
      </c>
      <c r="AO467" s="21">
        <v>1</v>
      </c>
      <c r="AP467" s="21">
        <v>0</v>
      </c>
      <c r="AQ467">
        <v>0</v>
      </c>
      <c r="AR467">
        <v>1</v>
      </c>
      <c r="AS467">
        <v>1</v>
      </c>
      <c r="AT467">
        <v>0</v>
      </c>
      <c r="AU467">
        <v>0</v>
      </c>
      <c r="AV467">
        <v>1</v>
      </c>
      <c r="AW467">
        <v>0</v>
      </c>
      <c r="AX467">
        <v>0</v>
      </c>
      <c r="AY467">
        <v>0</v>
      </c>
      <c r="AZ467" s="21">
        <v>1</v>
      </c>
      <c r="BA467" s="21">
        <v>1</v>
      </c>
      <c r="BB467" s="21">
        <v>0</v>
      </c>
      <c r="BC467">
        <v>1</v>
      </c>
      <c r="BD467">
        <v>1</v>
      </c>
      <c r="BE467">
        <v>1</v>
      </c>
      <c r="BF467">
        <v>0</v>
      </c>
      <c r="BG467">
        <v>1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</row>
    <row r="468" spans="1:71">
      <c r="A468" s="1" t="s">
        <v>5199</v>
      </c>
      <c r="B468">
        <v>117</v>
      </c>
      <c r="C468">
        <v>737</v>
      </c>
      <c r="D468">
        <v>2019</v>
      </c>
      <c r="E468">
        <v>-2.363</v>
      </c>
      <c r="F468">
        <v>0.39900000000000002</v>
      </c>
      <c r="G468">
        <f t="shared" si="29"/>
        <v>-5.9223057644110275</v>
      </c>
      <c r="H468" s="27">
        <v>0</v>
      </c>
      <c r="I468">
        <v>1</v>
      </c>
      <c r="J468">
        <v>5300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1</v>
      </c>
      <c r="U468">
        <v>2001</v>
      </c>
      <c r="V468">
        <v>2010</v>
      </c>
      <c r="W468">
        <f t="shared" si="28"/>
        <v>2006</v>
      </c>
      <c r="X468">
        <v>0</v>
      </c>
      <c r="Y468">
        <v>1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1</v>
      </c>
      <c r="AH468">
        <v>0</v>
      </c>
      <c r="AI468">
        <v>0</v>
      </c>
      <c r="AJ468">
        <v>1</v>
      </c>
      <c r="AK468">
        <v>0</v>
      </c>
      <c r="AL468">
        <v>0</v>
      </c>
      <c r="AM468">
        <v>0</v>
      </c>
      <c r="AN468" s="21">
        <v>1</v>
      </c>
      <c r="AO468" s="21">
        <v>1</v>
      </c>
      <c r="AP468" s="21">
        <v>0</v>
      </c>
      <c r="AQ468">
        <v>0</v>
      </c>
      <c r="AR468">
        <v>1</v>
      </c>
      <c r="AS468">
        <v>1</v>
      </c>
      <c r="AT468">
        <v>0</v>
      </c>
      <c r="AU468">
        <v>0</v>
      </c>
      <c r="AV468">
        <v>1</v>
      </c>
      <c r="AW468">
        <v>0</v>
      </c>
      <c r="AX468">
        <v>0</v>
      </c>
      <c r="AY468">
        <v>0</v>
      </c>
      <c r="AZ468" s="21">
        <v>1</v>
      </c>
      <c r="BA468" s="21">
        <v>1</v>
      </c>
      <c r="BB468" s="21">
        <v>0</v>
      </c>
      <c r="BC468">
        <v>1</v>
      </c>
      <c r="BD468">
        <v>1</v>
      </c>
      <c r="BE468">
        <v>1</v>
      </c>
      <c r="BF468">
        <v>0</v>
      </c>
      <c r="BG468">
        <v>1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</row>
    <row r="469" spans="1:71">
      <c r="A469" s="1" t="s">
        <v>5199</v>
      </c>
      <c r="B469">
        <v>117</v>
      </c>
      <c r="C469">
        <v>738</v>
      </c>
      <c r="D469">
        <v>2019</v>
      </c>
      <c r="E469">
        <v>-2.3839999999999999</v>
      </c>
      <c r="F469">
        <v>0.41299999999999998</v>
      </c>
      <c r="G469">
        <f t="shared" si="29"/>
        <v>-5.7723970944309926</v>
      </c>
      <c r="H469" s="27">
        <v>0</v>
      </c>
      <c r="I469">
        <v>1</v>
      </c>
      <c r="J469">
        <v>5300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1</v>
      </c>
      <c r="U469">
        <v>2001</v>
      </c>
      <c r="V469">
        <v>2010</v>
      </c>
      <c r="W469">
        <f t="shared" si="28"/>
        <v>2006</v>
      </c>
      <c r="X469">
        <v>0</v>
      </c>
      <c r="Y469">
        <v>1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1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0</v>
      </c>
      <c r="AN469" s="21">
        <v>1</v>
      </c>
      <c r="AO469" s="21">
        <v>1</v>
      </c>
      <c r="AP469" s="21">
        <v>0</v>
      </c>
      <c r="AQ469">
        <v>0</v>
      </c>
      <c r="AR469">
        <v>1</v>
      </c>
      <c r="AS469">
        <v>1</v>
      </c>
      <c r="AT469">
        <v>0</v>
      </c>
      <c r="AU469">
        <v>0</v>
      </c>
      <c r="AV469">
        <v>1</v>
      </c>
      <c r="AW469">
        <v>0</v>
      </c>
      <c r="AX469">
        <v>0</v>
      </c>
      <c r="AY469">
        <v>0</v>
      </c>
      <c r="AZ469" s="21">
        <v>1</v>
      </c>
      <c r="BA469" s="21">
        <v>1</v>
      </c>
      <c r="BB469" s="21">
        <v>0</v>
      </c>
      <c r="BC469">
        <v>1</v>
      </c>
      <c r="BD469">
        <v>1</v>
      </c>
      <c r="BE469">
        <v>1</v>
      </c>
      <c r="BF469">
        <v>0</v>
      </c>
      <c r="BG469">
        <v>1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</row>
    <row r="470" spans="1:71">
      <c r="A470" s="1" t="s">
        <v>5199</v>
      </c>
      <c r="B470">
        <v>117</v>
      </c>
      <c r="C470">
        <v>739</v>
      </c>
      <c r="D470">
        <v>2019</v>
      </c>
      <c r="E470">
        <v>-2.08</v>
      </c>
      <c r="F470">
        <v>0.24</v>
      </c>
      <c r="G470">
        <f t="shared" si="29"/>
        <v>-8.6666666666666679</v>
      </c>
      <c r="H470" s="27">
        <v>0</v>
      </c>
      <c r="I470">
        <v>1</v>
      </c>
      <c r="J470">
        <v>2280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1</v>
      </c>
      <c r="U470">
        <v>2001</v>
      </c>
      <c r="V470">
        <v>2010</v>
      </c>
      <c r="W470">
        <f t="shared" si="28"/>
        <v>2006</v>
      </c>
      <c r="X470">
        <v>0</v>
      </c>
      <c r="Y470">
        <v>1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1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0</v>
      </c>
      <c r="AN470" s="21">
        <v>1</v>
      </c>
      <c r="AO470" s="21">
        <v>1</v>
      </c>
      <c r="AP470" s="21">
        <v>0</v>
      </c>
      <c r="AQ470">
        <v>0</v>
      </c>
      <c r="AR470">
        <v>1</v>
      </c>
      <c r="AS470">
        <v>1</v>
      </c>
      <c r="AT470">
        <v>0</v>
      </c>
      <c r="AU470">
        <v>0</v>
      </c>
      <c r="AV470">
        <v>1</v>
      </c>
      <c r="AW470">
        <v>0</v>
      </c>
      <c r="AX470">
        <v>0</v>
      </c>
      <c r="AY470">
        <v>0</v>
      </c>
      <c r="AZ470" s="21">
        <v>1</v>
      </c>
      <c r="BA470" s="21">
        <v>1</v>
      </c>
      <c r="BB470" s="21">
        <v>0</v>
      </c>
      <c r="BC470">
        <v>1</v>
      </c>
      <c r="BD470">
        <v>1</v>
      </c>
      <c r="BE470">
        <v>1</v>
      </c>
      <c r="BF470">
        <v>0</v>
      </c>
      <c r="BG470">
        <v>1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</row>
    <row r="471" spans="1:71">
      <c r="A471" s="1" t="s">
        <v>5199</v>
      </c>
      <c r="B471">
        <v>117</v>
      </c>
      <c r="C471">
        <v>740</v>
      </c>
      <c r="D471">
        <v>2019</v>
      </c>
      <c r="E471">
        <v>-2.077</v>
      </c>
      <c r="F471">
        <v>0.23899999999999999</v>
      </c>
      <c r="G471">
        <f t="shared" si="29"/>
        <v>-8.6903765690376567</v>
      </c>
      <c r="H471" s="27">
        <v>0</v>
      </c>
      <c r="I471">
        <v>1</v>
      </c>
      <c r="J471">
        <v>2280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1</v>
      </c>
      <c r="U471">
        <v>2001</v>
      </c>
      <c r="V471">
        <v>2010</v>
      </c>
      <c r="W471">
        <f t="shared" si="28"/>
        <v>2006</v>
      </c>
      <c r="X471">
        <v>0</v>
      </c>
      <c r="Y471">
        <v>1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1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 s="21">
        <v>1</v>
      </c>
      <c r="AO471" s="21">
        <v>1</v>
      </c>
      <c r="AP471" s="21">
        <v>0</v>
      </c>
      <c r="AQ471">
        <v>0</v>
      </c>
      <c r="AR471">
        <v>1</v>
      </c>
      <c r="AS471">
        <v>1</v>
      </c>
      <c r="AT471">
        <v>0</v>
      </c>
      <c r="AU471">
        <v>0</v>
      </c>
      <c r="AV471">
        <v>1</v>
      </c>
      <c r="AW471">
        <v>0</v>
      </c>
      <c r="AX471">
        <v>0</v>
      </c>
      <c r="AY471">
        <v>0</v>
      </c>
      <c r="AZ471" s="21">
        <v>1</v>
      </c>
      <c r="BA471" s="21">
        <v>1</v>
      </c>
      <c r="BB471" s="21">
        <v>0</v>
      </c>
      <c r="BC471">
        <v>1</v>
      </c>
      <c r="BD471">
        <v>1</v>
      </c>
      <c r="BE471">
        <v>1</v>
      </c>
      <c r="BF471">
        <v>0</v>
      </c>
      <c r="BG471">
        <v>1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</row>
    <row r="472" spans="1:71">
      <c r="A472" s="1" t="s">
        <v>5199</v>
      </c>
      <c r="B472">
        <v>117</v>
      </c>
      <c r="C472">
        <v>741</v>
      </c>
      <c r="D472">
        <v>2019</v>
      </c>
      <c r="E472">
        <v>-2.2610000000000001</v>
      </c>
      <c r="F472">
        <v>0.38300000000000001</v>
      </c>
      <c r="G472">
        <f t="shared" si="29"/>
        <v>-5.9033942558746739</v>
      </c>
      <c r="H472" s="27">
        <v>0</v>
      </c>
      <c r="I472">
        <v>1</v>
      </c>
      <c r="J472">
        <v>5300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1</v>
      </c>
      <c r="U472">
        <v>2001</v>
      </c>
      <c r="V472">
        <v>2010</v>
      </c>
      <c r="W472">
        <f t="shared" si="28"/>
        <v>2006</v>
      </c>
      <c r="X472">
        <v>0</v>
      </c>
      <c r="Y472">
        <v>1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1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 s="21">
        <v>1</v>
      </c>
      <c r="AO472" s="21">
        <v>1</v>
      </c>
      <c r="AP472" s="21">
        <v>0</v>
      </c>
      <c r="AQ472">
        <v>0</v>
      </c>
      <c r="AR472">
        <v>1</v>
      </c>
      <c r="AS472">
        <v>1</v>
      </c>
      <c r="AT472">
        <v>0</v>
      </c>
      <c r="AU472">
        <v>0</v>
      </c>
      <c r="AV472">
        <v>1</v>
      </c>
      <c r="AW472">
        <v>0</v>
      </c>
      <c r="AX472">
        <v>0</v>
      </c>
      <c r="AY472">
        <v>0</v>
      </c>
      <c r="AZ472" s="21">
        <v>1</v>
      </c>
      <c r="BA472" s="21">
        <v>1</v>
      </c>
      <c r="BB472" s="21">
        <v>0</v>
      </c>
      <c r="BC472">
        <v>1</v>
      </c>
      <c r="BD472">
        <v>1</v>
      </c>
      <c r="BE472">
        <v>1</v>
      </c>
      <c r="BF472">
        <v>0</v>
      </c>
      <c r="BG472">
        <v>1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</row>
    <row r="473" spans="1:71">
      <c r="A473" s="1" t="s">
        <v>5199</v>
      </c>
      <c r="B473">
        <v>117</v>
      </c>
      <c r="C473">
        <v>742</v>
      </c>
      <c r="D473">
        <v>2019</v>
      </c>
      <c r="E473">
        <v>-2.2610000000000001</v>
      </c>
      <c r="F473">
        <v>0.38300000000000001</v>
      </c>
      <c r="G473">
        <f t="shared" si="29"/>
        <v>-5.9033942558746739</v>
      </c>
      <c r="H473" s="27">
        <v>0</v>
      </c>
      <c r="I473">
        <v>1</v>
      </c>
      <c r="J473">
        <v>5300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1</v>
      </c>
      <c r="U473">
        <v>2001</v>
      </c>
      <c r="V473">
        <v>2010</v>
      </c>
      <c r="W473">
        <f t="shared" si="28"/>
        <v>2006</v>
      </c>
      <c r="X473">
        <v>0</v>
      </c>
      <c r="Y473">
        <v>1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1</v>
      </c>
      <c r="AH473">
        <v>0</v>
      </c>
      <c r="AI473">
        <v>0</v>
      </c>
      <c r="AJ473">
        <v>1</v>
      </c>
      <c r="AK473">
        <v>0</v>
      </c>
      <c r="AL473">
        <v>0</v>
      </c>
      <c r="AM473">
        <v>0</v>
      </c>
      <c r="AN473" s="21">
        <v>1</v>
      </c>
      <c r="AO473" s="21">
        <v>1</v>
      </c>
      <c r="AP473" s="21">
        <v>0</v>
      </c>
      <c r="AQ473">
        <v>0</v>
      </c>
      <c r="AR473">
        <v>1</v>
      </c>
      <c r="AS473">
        <v>1</v>
      </c>
      <c r="AT473">
        <v>0</v>
      </c>
      <c r="AU473">
        <v>0</v>
      </c>
      <c r="AV473">
        <v>1</v>
      </c>
      <c r="AW473">
        <v>0</v>
      </c>
      <c r="AX473">
        <v>0</v>
      </c>
      <c r="AY473">
        <v>0</v>
      </c>
      <c r="AZ473" s="21">
        <v>1</v>
      </c>
      <c r="BA473" s="21">
        <v>1</v>
      </c>
      <c r="BB473" s="21">
        <v>0</v>
      </c>
      <c r="BC473">
        <v>1</v>
      </c>
      <c r="BD473">
        <v>1</v>
      </c>
      <c r="BE473">
        <v>1</v>
      </c>
      <c r="BF473">
        <v>0</v>
      </c>
      <c r="BG473">
        <v>1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</row>
    <row r="474" spans="1:71">
      <c r="A474" s="1" t="s">
        <v>5199</v>
      </c>
      <c r="B474">
        <v>117</v>
      </c>
      <c r="C474">
        <v>743</v>
      </c>
      <c r="D474">
        <v>2019</v>
      </c>
      <c r="E474">
        <v>-2.0649999999999999</v>
      </c>
      <c r="F474">
        <v>0.23899999999999999</v>
      </c>
      <c r="G474">
        <f t="shared" si="29"/>
        <v>-8.6401673640167367</v>
      </c>
      <c r="H474" s="27">
        <v>0</v>
      </c>
      <c r="I474">
        <v>1</v>
      </c>
      <c r="J474">
        <v>2280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1</v>
      </c>
      <c r="U474">
        <v>2001</v>
      </c>
      <c r="V474">
        <v>2010</v>
      </c>
      <c r="W474">
        <f t="shared" si="28"/>
        <v>2006</v>
      </c>
      <c r="X474">
        <v>0</v>
      </c>
      <c r="Y474">
        <v>1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1</v>
      </c>
      <c r="AH474">
        <v>0</v>
      </c>
      <c r="AI474">
        <v>0</v>
      </c>
      <c r="AJ474">
        <v>1</v>
      </c>
      <c r="AK474">
        <v>0</v>
      </c>
      <c r="AL474">
        <v>0</v>
      </c>
      <c r="AM474">
        <v>0</v>
      </c>
      <c r="AN474" s="21">
        <v>1</v>
      </c>
      <c r="AO474" s="21">
        <v>1</v>
      </c>
      <c r="AP474" s="21">
        <v>0</v>
      </c>
      <c r="AQ474">
        <v>0</v>
      </c>
      <c r="AR474">
        <v>1</v>
      </c>
      <c r="AS474">
        <v>1</v>
      </c>
      <c r="AT474">
        <v>0</v>
      </c>
      <c r="AU474">
        <v>0</v>
      </c>
      <c r="AV474">
        <v>1</v>
      </c>
      <c r="AW474">
        <v>0</v>
      </c>
      <c r="AX474">
        <v>0</v>
      </c>
      <c r="AY474">
        <v>0</v>
      </c>
      <c r="AZ474" s="21">
        <v>1</v>
      </c>
      <c r="BA474" s="21">
        <v>1</v>
      </c>
      <c r="BB474" s="21">
        <v>0</v>
      </c>
      <c r="BC474">
        <v>1</v>
      </c>
      <c r="BD474">
        <v>1</v>
      </c>
      <c r="BE474">
        <v>1</v>
      </c>
      <c r="BF474">
        <v>0</v>
      </c>
      <c r="BG474">
        <v>1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</row>
    <row r="475" spans="1:71">
      <c r="A475" s="1" t="s">
        <v>5199</v>
      </c>
      <c r="B475">
        <v>117</v>
      </c>
      <c r="C475">
        <v>744</v>
      </c>
      <c r="D475">
        <v>2019</v>
      </c>
      <c r="E475">
        <v>-2.1</v>
      </c>
      <c r="F475">
        <v>0.23599999999999999</v>
      </c>
      <c r="G475">
        <f t="shared" si="29"/>
        <v>-8.898305084745763</v>
      </c>
      <c r="H475" s="27">
        <v>0</v>
      </c>
      <c r="I475">
        <v>1</v>
      </c>
      <c r="J475">
        <v>2280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1</v>
      </c>
      <c r="U475">
        <v>2001</v>
      </c>
      <c r="V475">
        <v>2010</v>
      </c>
      <c r="W475">
        <f t="shared" si="28"/>
        <v>2006</v>
      </c>
      <c r="X475">
        <v>0</v>
      </c>
      <c r="Y475">
        <v>1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1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0</v>
      </c>
      <c r="AN475" s="21">
        <v>1</v>
      </c>
      <c r="AO475" s="21">
        <v>1</v>
      </c>
      <c r="AP475" s="21">
        <v>0</v>
      </c>
      <c r="AQ475">
        <v>0</v>
      </c>
      <c r="AR475">
        <v>1</v>
      </c>
      <c r="AS475">
        <v>1</v>
      </c>
      <c r="AT475">
        <v>0</v>
      </c>
      <c r="AU475">
        <v>0</v>
      </c>
      <c r="AV475">
        <v>1</v>
      </c>
      <c r="AW475">
        <v>0</v>
      </c>
      <c r="AX475">
        <v>0</v>
      </c>
      <c r="AY475">
        <v>0</v>
      </c>
      <c r="AZ475" s="21">
        <v>1</v>
      </c>
      <c r="BA475" s="21">
        <v>1</v>
      </c>
      <c r="BB475" s="21">
        <v>0</v>
      </c>
      <c r="BC475">
        <v>1</v>
      </c>
      <c r="BD475">
        <v>1</v>
      </c>
      <c r="BE475">
        <v>1</v>
      </c>
      <c r="BF475">
        <v>0</v>
      </c>
      <c r="BG475">
        <v>1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</row>
    <row r="476" spans="1:71">
      <c r="A476" s="1" t="s">
        <v>5199</v>
      </c>
      <c r="B476">
        <v>117</v>
      </c>
      <c r="C476">
        <v>745</v>
      </c>
      <c r="D476">
        <v>2019</v>
      </c>
      <c r="E476">
        <v>-2.0830000000000002</v>
      </c>
      <c r="F476">
        <v>0.23899999999999999</v>
      </c>
      <c r="G476">
        <f t="shared" si="29"/>
        <v>-8.7154811715481184</v>
      </c>
      <c r="H476" s="27">
        <v>0</v>
      </c>
      <c r="I476">
        <v>1</v>
      </c>
      <c r="J476">
        <v>2280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1</v>
      </c>
      <c r="U476">
        <v>2001</v>
      </c>
      <c r="V476">
        <v>2010</v>
      </c>
      <c r="W476">
        <f t="shared" si="28"/>
        <v>2006</v>
      </c>
      <c r="X476">
        <v>0</v>
      </c>
      <c r="Y476">
        <v>1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1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 s="21">
        <v>1</v>
      </c>
      <c r="AO476" s="21">
        <v>1</v>
      </c>
      <c r="AP476" s="21">
        <v>0</v>
      </c>
      <c r="AQ476">
        <v>0</v>
      </c>
      <c r="AR476">
        <v>1</v>
      </c>
      <c r="AS476">
        <v>1</v>
      </c>
      <c r="AT476">
        <v>0</v>
      </c>
      <c r="AU476">
        <v>0</v>
      </c>
      <c r="AV476">
        <v>1</v>
      </c>
      <c r="AW476">
        <v>0</v>
      </c>
      <c r="AX476">
        <v>0</v>
      </c>
      <c r="AY476">
        <v>0</v>
      </c>
      <c r="AZ476" s="21">
        <v>1</v>
      </c>
      <c r="BA476" s="21">
        <v>1</v>
      </c>
      <c r="BB476" s="21">
        <v>0</v>
      </c>
      <c r="BC476">
        <v>1</v>
      </c>
      <c r="BD476">
        <v>1</v>
      </c>
      <c r="BE476">
        <v>1</v>
      </c>
      <c r="BF476">
        <v>0</v>
      </c>
      <c r="BG476">
        <v>1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</row>
    <row r="477" spans="1:71">
      <c r="A477" s="1" t="s">
        <v>5199</v>
      </c>
      <c r="B477">
        <v>117</v>
      </c>
      <c r="C477">
        <v>746</v>
      </c>
      <c r="D477">
        <v>2019</v>
      </c>
      <c r="E477">
        <v>-2.2599999999999998</v>
      </c>
      <c r="F477">
        <v>0.39</v>
      </c>
      <c r="G477">
        <f t="shared" si="29"/>
        <v>-5.7948717948717938</v>
      </c>
      <c r="H477" s="27">
        <v>0</v>
      </c>
      <c r="I477">
        <v>1</v>
      </c>
      <c r="J477">
        <v>5300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1</v>
      </c>
      <c r="U477">
        <v>2001</v>
      </c>
      <c r="V477">
        <v>2010</v>
      </c>
      <c r="W477">
        <f t="shared" si="28"/>
        <v>2006</v>
      </c>
      <c r="X477">
        <v>0</v>
      </c>
      <c r="Y477">
        <v>1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1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 s="21">
        <v>1</v>
      </c>
      <c r="AO477" s="21">
        <v>1</v>
      </c>
      <c r="AP477" s="21">
        <v>0</v>
      </c>
      <c r="AQ477">
        <v>0</v>
      </c>
      <c r="AR477">
        <v>1</v>
      </c>
      <c r="AS477">
        <v>1</v>
      </c>
      <c r="AT477">
        <v>0</v>
      </c>
      <c r="AU477">
        <v>0</v>
      </c>
      <c r="AV477">
        <v>1</v>
      </c>
      <c r="AW477">
        <v>0</v>
      </c>
      <c r="AX477">
        <v>0</v>
      </c>
      <c r="AY477">
        <v>0</v>
      </c>
      <c r="AZ477" s="21">
        <v>1</v>
      </c>
      <c r="BA477" s="21">
        <v>1</v>
      </c>
      <c r="BB477" s="21">
        <v>0</v>
      </c>
      <c r="BC477">
        <v>1</v>
      </c>
      <c r="BD477">
        <v>1</v>
      </c>
      <c r="BE477">
        <v>1</v>
      </c>
      <c r="BF477">
        <v>0</v>
      </c>
      <c r="BG477">
        <v>1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</row>
    <row r="478" spans="1:71">
      <c r="A478" s="1" t="s">
        <v>5199</v>
      </c>
      <c r="B478">
        <v>117</v>
      </c>
      <c r="C478">
        <v>747</v>
      </c>
      <c r="D478">
        <v>2019</v>
      </c>
      <c r="E478">
        <v>-2.3679999999999999</v>
      </c>
      <c r="F478">
        <v>0.39</v>
      </c>
      <c r="G478">
        <f t="shared" si="29"/>
        <v>-6.0717948717948715</v>
      </c>
      <c r="H478" s="27">
        <v>0</v>
      </c>
      <c r="I478">
        <v>1</v>
      </c>
      <c r="J478">
        <v>5300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1</v>
      </c>
      <c r="U478">
        <v>2001</v>
      </c>
      <c r="V478">
        <v>2010</v>
      </c>
      <c r="W478">
        <f t="shared" si="28"/>
        <v>2006</v>
      </c>
      <c r="X478">
        <v>0</v>
      </c>
      <c r="Y478">
        <v>1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1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0</v>
      </c>
      <c r="AN478" s="21">
        <v>1</v>
      </c>
      <c r="AO478" s="21">
        <v>1</v>
      </c>
      <c r="AP478" s="21">
        <v>0</v>
      </c>
      <c r="AQ478">
        <v>0</v>
      </c>
      <c r="AR478">
        <v>1</v>
      </c>
      <c r="AS478">
        <v>1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0</v>
      </c>
      <c r="AZ478" s="21">
        <v>1</v>
      </c>
      <c r="BA478" s="21">
        <v>1</v>
      </c>
      <c r="BB478" s="21">
        <v>0</v>
      </c>
      <c r="BC478">
        <v>1</v>
      </c>
      <c r="BD478">
        <v>1</v>
      </c>
      <c r="BE478">
        <v>1</v>
      </c>
      <c r="BF478">
        <v>0</v>
      </c>
      <c r="BG478">
        <v>1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</row>
    <row r="479" spans="1:71">
      <c r="A479" s="1" t="s">
        <v>5199</v>
      </c>
      <c r="B479">
        <v>117</v>
      </c>
      <c r="C479">
        <v>748</v>
      </c>
      <c r="D479">
        <v>2019</v>
      </c>
      <c r="E479">
        <v>-2.3460000000000001</v>
      </c>
      <c r="F479">
        <v>0.38600000000000001</v>
      </c>
      <c r="G479">
        <f t="shared" si="29"/>
        <v>-6.0777202072538863</v>
      </c>
      <c r="H479" s="27">
        <v>0</v>
      </c>
      <c r="I479">
        <v>1</v>
      </c>
      <c r="J479">
        <v>5300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1</v>
      </c>
      <c r="U479">
        <v>2001</v>
      </c>
      <c r="V479">
        <v>2010</v>
      </c>
      <c r="W479">
        <f t="shared" si="28"/>
        <v>2006</v>
      </c>
      <c r="X479">
        <v>0</v>
      </c>
      <c r="Y479">
        <v>1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1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 s="21">
        <v>1</v>
      </c>
      <c r="AO479" s="21">
        <v>1</v>
      </c>
      <c r="AP479" s="21">
        <v>0</v>
      </c>
      <c r="AQ479">
        <v>0</v>
      </c>
      <c r="AR479">
        <v>1</v>
      </c>
      <c r="AS479">
        <v>1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0</v>
      </c>
      <c r="AZ479" s="21">
        <v>1</v>
      </c>
      <c r="BA479" s="21">
        <v>1</v>
      </c>
      <c r="BB479" s="21">
        <v>0</v>
      </c>
      <c r="BC479">
        <v>1</v>
      </c>
      <c r="BD479">
        <v>1</v>
      </c>
      <c r="BE479">
        <v>1</v>
      </c>
      <c r="BF479">
        <v>0</v>
      </c>
      <c r="BG479">
        <v>1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</row>
    <row r="480" spans="1:71">
      <c r="A480" s="1" t="s">
        <v>4819</v>
      </c>
      <c r="B480">
        <v>16</v>
      </c>
      <c r="C480">
        <v>90</v>
      </c>
      <c r="D480">
        <v>2018</v>
      </c>
      <c r="E480" s="14">
        <v>-2.57</v>
      </c>
      <c r="F480" s="14">
        <v>0.12</v>
      </c>
      <c r="G480" s="14">
        <f t="shared" si="29"/>
        <v>-21.416666666666668</v>
      </c>
      <c r="H480" s="27">
        <v>0</v>
      </c>
      <c r="I480">
        <v>1</v>
      </c>
      <c r="J480">
        <v>1071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1995</v>
      </c>
      <c r="V480">
        <v>2014</v>
      </c>
      <c r="W480">
        <f t="shared" si="28"/>
        <v>2005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0</v>
      </c>
      <c r="AR480">
        <v>1</v>
      </c>
      <c r="AS480">
        <v>1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</v>
      </c>
      <c r="AZ480">
        <v>0</v>
      </c>
      <c r="BA480">
        <v>1</v>
      </c>
      <c r="BB480">
        <v>0</v>
      </c>
      <c r="BC480">
        <v>0</v>
      </c>
      <c r="BD480">
        <v>0</v>
      </c>
      <c r="BE480">
        <v>0</v>
      </c>
      <c r="BF480">
        <v>1</v>
      </c>
      <c r="BG480">
        <v>1</v>
      </c>
      <c r="BH480">
        <v>0</v>
      </c>
      <c r="BI480">
        <v>0</v>
      </c>
      <c r="BJ480">
        <v>0</v>
      </c>
      <c r="BK480">
        <v>0</v>
      </c>
      <c r="BL480">
        <v>1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</row>
    <row r="481" spans="1:71">
      <c r="A481" s="1" t="s">
        <v>4819</v>
      </c>
      <c r="B481">
        <v>16</v>
      </c>
      <c r="C481">
        <v>91</v>
      </c>
      <c r="D481">
        <v>2018</v>
      </c>
      <c r="E481" s="14">
        <v>-2.29</v>
      </c>
      <c r="F481" s="14">
        <v>0.1</v>
      </c>
      <c r="G481" s="14">
        <f t="shared" si="29"/>
        <v>-22.9</v>
      </c>
      <c r="H481" s="27">
        <v>0</v>
      </c>
      <c r="I481">
        <v>1</v>
      </c>
      <c r="J481">
        <v>1071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1995</v>
      </c>
      <c r="V481">
        <v>2014</v>
      </c>
      <c r="W481">
        <f t="shared" si="28"/>
        <v>2005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0</v>
      </c>
      <c r="AR481">
        <v>1</v>
      </c>
      <c r="AS481">
        <v>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</v>
      </c>
      <c r="AZ481">
        <v>0</v>
      </c>
      <c r="BA481">
        <v>1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1</v>
      </c>
      <c r="BH481">
        <v>0</v>
      </c>
      <c r="BI481">
        <v>0</v>
      </c>
      <c r="BJ481">
        <v>0</v>
      </c>
      <c r="BK481">
        <v>0</v>
      </c>
      <c r="BL481">
        <v>1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</row>
    <row r="482" spans="1:71">
      <c r="A482" s="1" t="s">
        <v>5066</v>
      </c>
      <c r="B482">
        <v>44</v>
      </c>
      <c r="C482">
        <v>288</v>
      </c>
      <c r="D482" s="21">
        <v>2018</v>
      </c>
      <c r="E482" s="23">
        <v>-1.36</v>
      </c>
      <c r="F482">
        <v>0.01</v>
      </c>
      <c r="G482" s="14">
        <f t="shared" si="29"/>
        <v>-136</v>
      </c>
      <c r="H482" s="27">
        <v>0</v>
      </c>
      <c r="I482" s="21">
        <v>1</v>
      </c>
      <c r="J482" s="21">
        <v>196398</v>
      </c>
      <c r="K482" s="21">
        <v>1</v>
      </c>
      <c r="L482" s="21">
        <v>0</v>
      </c>
      <c r="M482" s="21">
        <v>0</v>
      </c>
      <c r="N482" s="21">
        <v>0</v>
      </c>
      <c r="O482" s="21">
        <v>0</v>
      </c>
      <c r="P482">
        <v>0</v>
      </c>
      <c r="Q482" s="21">
        <v>0</v>
      </c>
      <c r="R482" s="21">
        <v>0</v>
      </c>
      <c r="S482" s="21">
        <v>0</v>
      </c>
      <c r="T482" s="21">
        <v>1</v>
      </c>
      <c r="U482" s="21">
        <v>1995</v>
      </c>
      <c r="V482" s="21">
        <v>2015</v>
      </c>
      <c r="W482">
        <f t="shared" si="28"/>
        <v>2005</v>
      </c>
      <c r="X482" s="21">
        <v>1</v>
      </c>
      <c r="Y482" s="21">
        <v>0</v>
      </c>
      <c r="Z482" s="21">
        <v>1</v>
      </c>
      <c r="AA482" s="21">
        <v>0</v>
      </c>
      <c r="AB482" s="21">
        <v>0</v>
      </c>
      <c r="AC482" s="21">
        <v>0</v>
      </c>
      <c r="AD482" s="21">
        <v>0</v>
      </c>
      <c r="AE482" s="21">
        <v>0</v>
      </c>
      <c r="AF482" s="21">
        <v>1</v>
      </c>
      <c r="AG482" s="21">
        <v>1</v>
      </c>
      <c r="AH482" s="21">
        <v>1</v>
      </c>
      <c r="AI482" s="21">
        <v>1</v>
      </c>
      <c r="AJ482" s="21">
        <v>1</v>
      </c>
      <c r="AK482" s="21">
        <v>1</v>
      </c>
      <c r="AL482" s="21">
        <v>1</v>
      </c>
      <c r="AM482" s="21">
        <v>1</v>
      </c>
      <c r="AN482" s="21">
        <v>1</v>
      </c>
      <c r="AO482" s="21">
        <v>1</v>
      </c>
      <c r="AP482" s="21">
        <v>1</v>
      </c>
      <c r="AQ482" s="21">
        <v>0</v>
      </c>
      <c r="AR482" s="21">
        <v>1</v>
      </c>
      <c r="AS482" s="21">
        <v>1</v>
      </c>
      <c r="AT482" s="21">
        <v>1</v>
      </c>
      <c r="AU482" s="21">
        <v>1</v>
      </c>
      <c r="AV482" s="21">
        <v>1</v>
      </c>
      <c r="AW482" s="21">
        <v>1</v>
      </c>
      <c r="AX482" s="21">
        <v>1</v>
      </c>
      <c r="AY482" s="21">
        <v>1</v>
      </c>
      <c r="AZ482" s="21">
        <v>1</v>
      </c>
      <c r="BA482" s="21">
        <v>1</v>
      </c>
      <c r="BB482" s="21">
        <v>1</v>
      </c>
      <c r="BC482" s="21">
        <v>1</v>
      </c>
      <c r="BD482" s="21">
        <v>1</v>
      </c>
      <c r="BE482" s="21">
        <v>1</v>
      </c>
      <c r="BF482" s="21">
        <v>0</v>
      </c>
      <c r="BG482" s="21">
        <v>0</v>
      </c>
      <c r="BH482" s="21">
        <v>0</v>
      </c>
      <c r="BI482" s="21">
        <v>1</v>
      </c>
      <c r="BJ482" s="21">
        <v>0</v>
      </c>
      <c r="BK482" s="21">
        <v>0</v>
      </c>
      <c r="BL482" s="21">
        <v>0</v>
      </c>
      <c r="BM482" s="21">
        <v>0</v>
      </c>
      <c r="BN482" s="21">
        <v>0</v>
      </c>
      <c r="BO482" s="21">
        <v>0</v>
      </c>
      <c r="BP482" s="21">
        <v>0</v>
      </c>
      <c r="BQ482" s="21">
        <v>0</v>
      </c>
      <c r="BR482" s="21">
        <v>1</v>
      </c>
      <c r="BS482" s="21">
        <v>0</v>
      </c>
    </row>
    <row r="483" spans="1:71">
      <c r="A483" s="1" t="s">
        <v>5066</v>
      </c>
      <c r="B483">
        <v>44</v>
      </c>
      <c r="C483">
        <v>289</v>
      </c>
      <c r="D483" s="21">
        <v>2018</v>
      </c>
      <c r="E483" s="23">
        <v>-1.45</v>
      </c>
      <c r="F483">
        <v>0.02</v>
      </c>
      <c r="G483" s="14">
        <f t="shared" si="29"/>
        <v>-72.5</v>
      </c>
      <c r="H483" s="27">
        <v>0</v>
      </c>
      <c r="I483" s="21">
        <v>1</v>
      </c>
      <c r="J483" s="21">
        <v>196398</v>
      </c>
      <c r="K483" s="21">
        <v>1</v>
      </c>
      <c r="L483" s="21">
        <v>0</v>
      </c>
      <c r="M483" s="21">
        <v>0</v>
      </c>
      <c r="N483" s="21">
        <v>0</v>
      </c>
      <c r="O483" s="21">
        <v>0</v>
      </c>
      <c r="P483">
        <v>0</v>
      </c>
      <c r="Q483" s="21">
        <v>0</v>
      </c>
      <c r="R483" s="21">
        <v>0</v>
      </c>
      <c r="S483" s="21">
        <v>1</v>
      </c>
      <c r="T483" s="21">
        <v>1</v>
      </c>
      <c r="U483" s="21">
        <v>1995</v>
      </c>
      <c r="V483" s="21">
        <v>2015</v>
      </c>
      <c r="W483">
        <f t="shared" si="28"/>
        <v>2005</v>
      </c>
      <c r="X483" s="21">
        <v>1</v>
      </c>
      <c r="Y483" s="21">
        <v>0</v>
      </c>
      <c r="Z483" s="21">
        <v>1</v>
      </c>
      <c r="AA483" s="21">
        <v>0</v>
      </c>
      <c r="AB483" s="21">
        <v>0</v>
      </c>
      <c r="AC483" s="21">
        <v>0</v>
      </c>
      <c r="AD483" s="21">
        <v>0</v>
      </c>
      <c r="AE483" s="21">
        <v>0</v>
      </c>
      <c r="AF483" s="21">
        <v>1</v>
      </c>
      <c r="AG483" s="21">
        <v>1</v>
      </c>
      <c r="AH483" s="21">
        <v>1</v>
      </c>
      <c r="AI483" s="21">
        <v>1</v>
      </c>
      <c r="AJ483" s="21">
        <v>1</v>
      </c>
      <c r="AK483" s="21">
        <v>1</v>
      </c>
      <c r="AL483" s="21">
        <v>1</v>
      </c>
      <c r="AM483" s="21">
        <v>1</v>
      </c>
      <c r="AN483" s="21">
        <v>1</v>
      </c>
      <c r="AO483" s="21">
        <v>1</v>
      </c>
      <c r="AP483" s="21">
        <v>1</v>
      </c>
      <c r="AQ483" s="21">
        <v>0</v>
      </c>
      <c r="AR483" s="21">
        <v>1</v>
      </c>
      <c r="AS483" s="21">
        <v>1</v>
      </c>
      <c r="AT483" s="21">
        <v>1</v>
      </c>
      <c r="AU483" s="21">
        <v>1</v>
      </c>
      <c r="AV483" s="21">
        <v>1</v>
      </c>
      <c r="AW483" s="21">
        <v>1</v>
      </c>
      <c r="AX483" s="21">
        <v>1</v>
      </c>
      <c r="AY483" s="21">
        <v>1</v>
      </c>
      <c r="AZ483" s="21">
        <v>1</v>
      </c>
      <c r="BA483" s="21">
        <v>1</v>
      </c>
      <c r="BB483" s="21">
        <v>1</v>
      </c>
      <c r="BC483" s="21">
        <v>1</v>
      </c>
      <c r="BD483" s="21">
        <v>1</v>
      </c>
      <c r="BE483" s="21">
        <v>1</v>
      </c>
      <c r="BF483" s="21">
        <v>0</v>
      </c>
      <c r="BG483" s="21">
        <v>0</v>
      </c>
      <c r="BH483" s="21">
        <v>0</v>
      </c>
      <c r="BI483" s="21">
        <v>1</v>
      </c>
      <c r="BJ483" s="21">
        <v>0</v>
      </c>
      <c r="BK483" s="21">
        <v>0</v>
      </c>
      <c r="BL483" s="21">
        <v>0</v>
      </c>
      <c r="BM483" s="21">
        <v>0</v>
      </c>
      <c r="BN483" s="21">
        <v>0</v>
      </c>
      <c r="BO483" s="21">
        <v>0</v>
      </c>
      <c r="BP483" s="21">
        <v>0</v>
      </c>
      <c r="BQ483" s="21">
        <v>0</v>
      </c>
      <c r="BR483" s="21">
        <v>1</v>
      </c>
      <c r="BS483" s="21">
        <v>0</v>
      </c>
    </row>
    <row r="484" spans="1:71">
      <c r="A484" s="1" t="s">
        <v>5066</v>
      </c>
      <c r="B484">
        <v>44</v>
      </c>
      <c r="C484">
        <v>290</v>
      </c>
      <c r="D484" s="21">
        <v>2018</v>
      </c>
      <c r="E484" s="23">
        <v>-1.1100000000000001</v>
      </c>
      <c r="F484">
        <v>0.02</v>
      </c>
      <c r="G484" s="14">
        <f t="shared" si="29"/>
        <v>-55.500000000000007</v>
      </c>
      <c r="H484" s="27">
        <v>0</v>
      </c>
      <c r="I484" s="21">
        <v>1</v>
      </c>
      <c r="J484" s="21">
        <v>196398</v>
      </c>
      <c r="K484" s="21">
        <v>0</v>
      </c>
      <c r="L484" s="21">
        <v>0</v>
      </c>
      <c r="M484" s="21">
        <v>1</v>
      </c>
      <c r="N484" s="21">
        <v>0</v>
      </c>
      <c r="O484" s="21">
        <v>0</v>
      </c>
      <c r="P484">
        <v>0</v>
      </c>
      <c r="Q484" s="21">
        <v>0</v>
      </c>
      <c r="R484" s="21">
        <v>0</v>
      </c>
      <c r="S484" s="21">
        <v>0</v>
      </c>
      <c r="T484" s="21">
        <v>1</v>
      </c>
      <c r="U484" s="21">
        <v>1995</v>
      </c>
      <c r="V484" s="21">
        <v>2015</v>
      </c>
      <c r="W484">
        <f t="shared" si="28"/>
        <v>2005</v>
      </c>
      <c r="X484" s="21">
        <v>1</v>
      </c>
      <c r="Y484" s="21">
        <v>0</v>
      </c>
      <c r="Z484" s="21">
        <v>1</v>
      </c>
      <c r="AA484" s="21">
        <v>0</v>
      </c>
      <c r="AB484" s="21">
        <v>0</v>
      </c>
      <c r="AC484" s="21">
        <v>0</v>
      </c>
      <c r="AD484" s="21">
        <v>0</v>
      </c>
      <c r="AE484" s="21">
        <v>0</v>
      </c>
      <c r="AF484" s="21">
        <v>1</v>
      </c>
      <c r="AG484" s="21">
        <v>1</v>
      </c>
      <c r="AH484" s="21">
        <v>1</v>
      </c>
      <c r="AI484" s="21">
        <v>1</v>
      </c>
      <c r="AJ484" s="21">
        <v>1</v>
      </c>
      <c r="AK484" s="21">
        <v>1</v>
      </c>
      <c r="AL484" s="21">
        <v>1</v>
      </c>
      <c r="AM484" s="21">
        <v>1</v>
      </c>
      <c r="AN484" s="21">
        <v>1</v>
      </c>
      <c r="AO484" s="21">
        <v>1</v>
      </c>
      <c r="AP484" s="21">
        <v>1</v>
      </c>
      <c r="AQ484" s="21">
        <v>0</v>
      </c>
      <c r="AR484" s="21">
        <v>1</v>
      </c>
      <c r="AS484" s="21">
        <v>1</v>
      </c>
      <c r="AT484" s="21">
        <v>1</v>
      </c>
      <c r="AU484" s="21">
        <v>1</v>
      </c>
      <c r="AV484" s="21">
        <v>1</v>
      </c>
      <c r="AW484" s="21">
        <v>1</v>
      </c>
      <c r="AX484" s="21">
        <v>1</v>
      </c>
      <c r="AY484" s="21">
        <v>1</v>
      </c>
      <c r="AZ484" s="21">
        <v>1</v>
      </c>
      <c r="BA484" s="21">
        <v>1</v>
      </c>
      <c r="BB484" s="21">
        <v>1</v>
      </c>
      <c r="BC484" s="21">
        <v>1</v>
      </c>
      <c r="BD484" s="21">
        <v>1</v>
      </c>
      <c r="BE484" s="21">
        <v>1</v>
      </c>
      <c r="BF484" s="21">
        <v>0</v>
      </c>
      <c r="BG484" s="21">
        <v>0</v>
      </c>
      <c r="BH484" s="21">
        <v>0</v>
      </c>
      <c r="BI484" s="21">
        <v>1</v>
      </c>
      <c r="BJ484" s="21">
        <v>0</v>
      </c>
      <c r="BK484" s="21">
        <v>0</v>
      </c>
      <c r="BL484" s="21">
        <v>0</v>
      </c>
      <c r="BM484" s="21">
        <v>0</v>
      </c>
      <c r="BN484" s="21">
        <v>0</v>
      </c>
      <c r="BO484" s="21">
        <v>0</v>
      </c>
      <c r="BP484" s="21">
        <v>0</v>
      </c>
      <c r="BQ484" s="21">
        <v>0</v>
      </c>
      <c r="BR484" s="21">
        <v>1</v>
      </c>
      <c r="BS484" s="21">
        <v>0</v>
      </c>
    </row>
    <row r="485" spans="1:71">
      <c r="A485" s="1" t="s">
        <v>5066</v>
      </c>
      <c r="B485">
        <v>44</v>
      </c>
      <c r="C485">
        <v>291</v>
      </c>
      <c r="D485" s="21">
        <v>2018</v>
      </c>
      <c r="E485" s="23">
        <v>-1.69</v>
      </c>
      <c r="F485">
        <v>0.01</v>
      </c>
      <c r="G485" s="14">
        <f t="shared" si="29"/>
        <v>-169</v>
      </c>
      <c r="H485" s="27">
        <v>0</v>
      </c>
      <c r="I485" s="21">
        <v>1</v>
      </c>
      <c r="J485" s="21">
        <v>196398</v>
      </c>
      <c r="K485" s="21">
        <v>1</v>
      </c>
      <c r="L485" s="21">
        <v>0</v>
      </c>
      <c r="M485" s="21">
        <v>0</v>
      </c>
      <c r="N485" s="21">
        <v>0</v>
      </c>
      <c r="O485" s="21">
        <v>0</v>
      </c>
      <c r="P485">
        <v>0</v>
      </c>
      <c r="Q485" s="21">
        <v>0</v>
      </c>
      <c r="R485" s="21">
        <v>0</v>
      </c>
      <c r="S485" s="21">
        <v>1</v>
      </c>
      <c r="T485" s="21">
        <v>1</v>
      </c>
      <c r="U485" s="21">
        <v>1995</v>
      </c>
      <c r="V485" s="21">
        <v>2015</v>
      </c>
      <c r="W485">
        <f t="shared" si="28"/>
        <v>2005</v>
      </c>
      <c r="X485" s="21">
        <v>1</v>
      </c>
      <c r="Y485" s="21">
        <v>0</v>
      </c>
      <c r="Z485" s="21">
        <v>1</v>
      </c>
      <c r="AA485" s="21">
        <v>0</v>
      </c>
      <c r="AB485" s="21">
        <v>0</v>
      </c>
      <c r="AC485" s="21">
        <v>0</v>
      </c>
      <c r="AD485" s="21">
        <v>0</v>
      </c>
      <c r="AE485" s="21">
        <v>0</v>
      </c>
      <c r="AF485" s="21">
        <v>1</v>
      </c>
      <c r="AG485" s="21">
        <v>1</v>
      </c>
      <c r="AH485" s="21">
        <v>1</v>
      </c>
      <c r="AI485" s="21">
        <v>1</v>
      </c>
      <c r="AJ485" s="21">
        <v>1</v>
      </c>
      <c r="AK485" s="21">
        <v>1</v>
      </c>
      <c r="AL485" s="21">
        <v>1</v>
      </c>
      <c r="AM485" s="21">
        <v>1</v>
      </c>
      <c r="AN485" s="21">
        <v>1</v>
      </c>
      <c r="AO485" s="21">
        <v>1</v>
      </c>
      <c r="AP485" s="21">
        <v>1</v>
      </c>
      <c r="AQ485" s="21">
        <v>0</v>
      </c>
      <c r="AR485" s="21">
        <v>1</v>
      </c>
      <c r="AS485" s="21">
        <v>1</v>
      </c>
      <c r="AT485" s="21">
        <v>1</v>
      </c>
      <c r="AU485" s="21">
        <v>1</v>
      </c>
      <c r="AV485" s="21">
        <v>1</v>
      </c>
      <c r="AW485" s="21">
        <v>1</v>
      </c>
      <c r="AX485" s="21">
        <v>1</v>
      </c>
      <c r="AY485" s="21">
        <v>1</v>
      </c>
      <c r="AZ485" s="21">
        <v>1</v>
      </c>
      <c r="BA485" s="21">
        <v>1</v>
      </c>
      <c r="BB485" s="21">
        <v>1</v>
      </c>
      <c r="BC485" s="21">
        <v>1</v>
      </c>
      <c r="BD485" s="21">
        <v>1</v>
      </c>
      <c r="BE485" s="21">
        <v>1</v>
      </c>
      <c r="BF485" s="21">
        <v>0</v>
      </c>
      <c r="BG485" s="21">
        <v>0</v>
      </c>
      <c r="BH485" s="21">
        <v>0</v>
      </c>
      <c r="BI485" s="21">
        <v>1</v>
      </c>
      <c r="BJ485" s="21">
        <v>0</v>
      </c>
      <c r="BK485" s="21">
        <v>0</v>
      </c>
      <c r="BL485" s="21">
        <v>0</v>
      </c>
      <c r="BM485" s="21">
        <v>0</v>
      </c>
      <c r="BN485" s="21">
        <v>0</v>
      </c>
      <c r="BO485" s="21">
        <v>0</v>
      </c>
      <c r="BP485" s="21">
        <v>0</v>
      </c>
      <c r="BQ485" s="21">
        <v>0</v>
      </c>
      <c r="BR485" s="21">
        <v>1</v>
      </c>
      <c r="BS485" s="21">
        <v>0</v>
      </c>
    </row>
    <row r="486" spans="1:71">
      <c r="A486" s="1" t="s">
        <v>5066</v>
      </c>
      <c r="B486">
        <v>44</v>
      </c>
      <c r="C486">
        <v>292</v>
      </c>
      <c r="D486" s="21">
        <v>2018</v>
      </c>
      <c r="E486" s="23">
        <v>-1.51</v>
      </c>
      <c r="F486">
        <v>0.01</v>
      </c>
      <c r="G486" s="14">
        <f t="shared" si="29"/>
        <v>-151</v>
      </c>
      <c r="H486" s="27">
        <v>0</v>
      </c>
      <c r="I486" s="21">
        <v>1</v>
      </c>
      <c r="J486" s="21">
        <v>86122</v>
      </c>
      <c r="K486" s="21">
        <v>1</v>
      </c>
      <c r="L486" s="21">
        <v>0</v>
      </c>
      <c r="M486" s="21">
        <v>0</v>
      </c>
      <c r="N486" s="21">
        <v>0</v>
      </c>
      <c r="O486" s="21">
        <v>0</v>
      </c>
      <c r="P486">
        <v>0</v>
      </c>
      <c r="Q486" s="21">
        <v>0</v>
      </c>
      <c r="R486" s="21">
        <v>0</v>
      </c>
      <c r="S486" s="21">
        <v>1</v>
      </c>
      <c r="T486" s="21">
        <v>1</v>
      </c>
      <c r="U486" s="21">
        <v>1995</v>
      </c>
      <c r="V486" s="21">
        <v>2015</v>
      </c>
      <c r="W486">
        <f t="shared" si="28"/>
        <v>2005</v>
      </c>
      <c r="X486" s="21">
        <v>1</v>
      </c>
      <c r="Y486" s="21">
        <v>0</v>
      </c>
      <c r="Z486" s="21">
        <v>1</v>
      </c>
      <c r="AA486" s="21">
        <v>0</v>
      </c>
      <c r="AB486" s="21">
        <v>0</v>
      </c>
      <c r="AC486" s="21">
        <v>0</v>
      </c>
      <c r="AD486" s="21">
        <v>0</v>
      </c>
      <c r="AE486" s="21">
        <v>0</v>
      </c>
      <c r="AF486" s="21">
        <v>1</v>
      </c>
      <c r="AG486" s="21">
        <v>1</v>
      </c>
      <c r="AH486" s="21">
        <v>1</v>
      </c>
      <c r="AI486" s="21">
        <v>1</v>
      </c>
      <c r="AJ486" s="21">
        <v>1</v>
      </c>
      <c r="AK486" s="21">
        <v>1</v>
      </c>
      <c r="AL486" s="21">
        <v>1</v>
      </c>
      <c r="AM486" s="21">
        <v>1</v>
      </c>
      <c r="AN486" s="21">
        <v>1</v>
      </c>
      <c r="AO486" s="21">
        <v>1</v>
      </c>
      <c r="AP486" s="21">
        <v>1</v>
      </c>
      <c r="AQ486" s="21">
        <v>0</v>
      </c>
      <c r="AR486" s="21">
        <v>1</v>
      </c>
      <c r="AS486" s="21">
        <v>1</v>
      </c>
      <c r="AT486" s="21">
        <v>1</v>
      </c>
      <c r="AU486" s="21">
        <v>1</v>
      </c>
      <c r="AV486" s="21">
        <v>1</v>
      </c>
      <c r="AW486" s="21">
        <v>1</v>
      </c>
      <c r="AX486" s="21">
        <v>1</v>
      </c>
      <c r="AY486" s="21">
        <v>1</v>
      </c>
      <c r="AZ486" s="21">
        <v>1</v>
      </c>
      <c r="BA486" s="21">
        <v>1</v>
      </c>
      <c r="BB486" s="21">
        <v>1</v>
      </c>
      <c r="BC486" s="21">
        <v>1</v>
      </c>
      <c r="BD486" s="21">
        <v>1</v>
      </c>
      <c r="BE486" s="21">
        <v>1</v>
      </c>
      <c r="BF486" s="21">
        <v>0</v>
      </c>
      <c r="BG486" s="21">
        <v>0</v>
      </c>
      <c r="BH486" s="21">
        <v>0</v>
      </c>
      <c r="BI486" s="21">
        <v>1</v>
      </c>
      <c r="BJ486" s="21">
        <v>0</v>
      </c>
      <c r="BK486" s="21">
        <v>0</v>
      </c>
      <c r="BL486" s="21">
        <v>0</v>
      </c>
      <c r="BM486" s="21">
        <v>0</v>
      </c>
      <c r="BN486" s="21">
        <v>0</v>
      </c>
      <c r="BO486" s="21">
        <v>0</v>
      </c>
      <c r="BP486" s="21">
        <v>0</v>
      </c>
      <c r="BQ486" s="21">
        <v>0</v>
      </c>
      <c r="BR486" s="21">
        <v>1</v>
      </c>
      <c r="BS486" s="21">
        <v>0</v>
      </c>
    </row>
    <row r="487" spans="1:71">
      <c r="A487" s="1" t="s">
        <v>5066</v>
      </c>
      <c r="B487">
        <v>44</v>
      </c>
      <c r="C487">
        <v>293</v>
      </c>
      <c r="D487" s="21">
        <v>2018</v>
      </c>
      <c r="E487" s="23">
        <v>-1.7</v>
      </c>
      <c r="F487">
        <v>0.01</v>
      </c>
      <c r="G487" s="14">
        <f t="shared" si="29"/>
        <v>-170</v>
      </c>
      <c r="H487" s="27">
        <v>0</v>
      </c>
      <c r="I487" s="21">
        <v>1</v>
      </c>
      <c r="J487" s="21">
        <v>42984</v>
      </c>
      <c r="K487" s="21">
        <v>1</v>
      </c>
      <c r="L487" s="21">
        <v>0</v>
      </c>
      <c r="M487" s="21">
        <v>0</v>
      </c>
      <c r="N487" s="21">
        <v>0</v>
      </c>
      <c r="O487" s="21">
        <v>0</v>
      </c>
      <c r="P487">
        <v>0</v>
      </c>
      <c r="Q487" s="21">
        <v>0</v>
      </c>
      <c r="R487" s="21">
        <v>0</v>
      </c>
      <c r="S487" s="21">
        <v>1</v>
      </c>
      <c r="T487" s="21">
        <v>1</v>
      </c>
      <c r="U487" s="21">
        <v>1995</v>
      </c>
      <c r="V487" s="21">
        <v>2015</v>
      </c>
      <c r="W487">
        <f t="shared" si="28"/>
        <v>2005</v>
      </c>
      <c r="X487" s="21">
        <v>1</v>
      </c>
      <c r="Y487" s="21">
        <v>0</v>
      </c>
      <c r="Z487" s="21">
        <v>1</v>
      </c>
      <c r="AA487" s="21">
        <v>0</v>
      </c>
      <c r="AB487" s="21">
        <v>0</v>
      </c>
      <c r="AC487" s="21">
        <v>0</v>
      </c>
      <c r="AD487" s="21">
        <v>0</v>
      </c>
      <c r="AE487" s="21">
        <v>0</v>
      </c>
      <c r="AF487" s="21">
        <v>1</v>
      </c>
      <c r="AG487" s="21">
        <v>1</v>
      </c>
      <c r="AH487" s="21">
        <v>1</v>
      </c>
      <c r="AI487" s="21">
        <v>1</v>
      </c>
      <c r="AJ487" s="21">
        <v>1</v>
      </c>
      <c r="AK487" s="21">
        <v>1</v>
      </c>
      <c r="AL487" s="21">
        <v>1</v>
      </c>
      <c r="AM487" s="21">
        <v>1</v>
      </c>
      <c r="AN487" s="21">
        <v>1</v>
      </c>
      <c r="AO487" s="21">
        <v>1</v>
      </c>
      <c r="AP487" s="21">
        <v>1</v>
      </c>
      <c r="AQ487" s="21">
        <v>0</v>
      </c>
      <c r="AR487" s="21">
        <v>1</v>
      </c>
      <c r="AS487" s="21">
        <v>1</v>
      </c>
      <c r="AT487" s="21">
        <v>1</v>
      </c>
      <c r="AU487" s="21">
        <v>1</v>
      </c>
      <c r="AV487" s="21">
        <v>1</v>
      </c>
      <c r="AW487" s="21">
        <v>1</v>
      </c>
      <c r="AX487" s="21">
        <v>1</v>
      </c>
      <c r="AY487" s="21">
        <v>1</v>
      </c>
      <c r="AZ487" s="21">
        <v>1</v>
      </c>
      <c r="BA487" s="21">
        <v>1</v>
      </c>
      <c r="BB487" s="21">
        <v>1</v>
      </c>
      <c r="BC487" s="21">
        <v>1</v>
      </c>
      <c r="BD487" s="21">
        <v>1</v>
      </c>
      <c r="BE487" s="21">
        <v>1</v>
      </c>
      <c r="BF487" s="21">
        <v>0</v>
      </c>
      <c r="BG487" s="21">
        <v>0</v>
      </c>
      <c r="BH487" s="21">
        <v>0</v>
      </c>
      <c r="BI487" s="21">
        <v>1</v>
      </c>
      <c r="BJ487" s="21">
        <v>0</v>
      </c>
      <c r="BK487" s="21">
        <v>0</v>
      </c>
      <c r="BL487" s="21">
        <v>0</v>
      </c>
      <c r="BM487" s="21">
        <v>0</v>
      </c>
      <c r="BN487" s="21">
        <v>0</v>
      </c>
      <c r="BO487" s="21">
        <v>0</v>
      </c>
      <c r="BP487" s="21">
        <v>0</v>
      </c>
      <c r="BQ487" s="21">
        <v>0</v>
      </c>
      <c r="BR487" s="21">
        <v>1</v>
      </c>
      <c r="BS487" s="21">
        <v>0</v>
      </c>
    </row>
    <row r="488" spans="1:71">
      <c r="A488" s="1" t="s">
        <v>5066</v>
      </c>
      <c r="B488">
        <v>44</v>
      </c>
      <c r="C488">
        <v>294</v>
      </c>
      <c r="D488" s="21">
        <v>2018</v>
      </c>
      <c r="E488" s="23">
        <v>-1.91</v>
      </c>
      <c r="F488">
        <v>0.01</v>
      </c>
      <c r="G488" s="14">
        <f t="shared" si="29"/>
        <v>-191</v>
      </c>
      <c r="H488" s="27">
        <v>0</v>
      </c>
      <c r="I488" s="21">
        <v>1</v>
      </c>
      <c r="J488" s="21">
        <v>34286</v>
      </c>
      <c r="K488" s="21">
        <v>1</v>
      </c>
      <c r="L488" s="21">
        <v>0</v>
      </c>
      <c r="M488" s="21">
        <v>0</v>
      </c>
      <c r="N488" s="21">
        <v>0</v>
      </c>
      <c r="O488" s="21">
        <v>0</v>
      </c>
      <c r="P488">
        <v>0</v>
      </c>
      <c r="Q488" s="21">
        <v>0</v>
      </c>
      <c r="R488" s="21">
        <v>0</v>
      </c>
      <c r="S488" s="21">
        <v>1</v>
      </c>
      <c r="T488" s="21">
        <v>1</v>
      </c>
      <c r="U488" s="21">
        <v>1995</v>
      </c>
      <c r="V488" s="21">
        <v>2015</v>
      </c>
      <c r="W488">
        <f t="shared" si="28"/>
        <v>2005</v>
      </c>
      <c r="X488" s="21">
        <v>1</v>
      </c>
      <c r="Y488" s="21">
        <v>0</v>
      </c>
      <c r="Z488" s="21">
        <v>1</v>
      </c>
      <c r="AA488" s="21">
        <v>0</v>
      </c>
      <c r="AB488" s="21">
        <v>0</v>
      </c>
      <c r="AC488" s="21">
        <v>0</v>
      </c>
      <c r="AD488" s="21">
        <v>0</v>
      </c>
      <c r="AE488" s="21">
        <v>0</v>
      </c>
      <c r="AF488" s="21">
        <v>1</v>
      </c>
      <c r="AG488" s="21">
        <v>1</v>
      </c>
      <c r="AH488" s="21">
        <v>1</v>
      </c>
      <c r="AI488" s="21">
        <v>1</v>
      </c>
      <c r="AJ488" s="21">
        <v>1</v>
      </c>
      <c r="AK488" s="21">
        <v>1</v>
      </c>
      <c r="AL488" s="21">
        <v>1</v>
      </c>
      <c r="AM488" s="21">
        <v>1</v>
      </c>
      <c r="AN488" s="21">
        <v>1</v>
      </c>
      <c r="AO488" s="21">
        <v>1</v>
      </c>
      <c r="AP488" s="21">
        <v>1</v>
      </c>
      <c r="AQ488" s="21">
        <v>0</v>
      </c>
      <c r="AR488" s="21">
        <v>1</v>
      </c>
      <c r="AS488" s="21">
        <v>1</v>
      </c>
      <c r="AT488" s="21">
        <v>1</v>
      </c>
      <c r="AU488" s="21">
        <v>1</v>
      </c>
      <c r="AV488" s="21">
        <v>1</v>
      </c>
      <c r="AW488" s="21">
        <v>1</v>
      </c>
      <c r="AX488" s="21">
        <v>1</v>
      </c>
      <c r="AY488" s="21">
        <v>1</v>
      </c>
      <c r="AZ488" s="21">
        <v>1</v>
      </c>
      <c r="BA488" s="21">
        <v>1</v>
      </c>
      <c r="BB488" s="21">
        <v>1</v>
      </c>
      <c r="BC488" s="21">
        <v>1</v>
      </c>
      <c r="BD488" s="21">
        <v>1</v>
      </c>
      <c r="BE488" s="21">
        <v>1</v>
      </c>
      <c r="BF488" s="21">
        <v>0</v>
      </c>
      <c r="BG488" s="21">
        <v>0</v>
      </c>
      <c r="BH488" s="21">
        <v>0</v>
      </c>
      <c r="BI488" s="21">
        <v>1</v>
      </c>
      <c r="BJ488" s="21">
        <v>0</v>
      </c>
      <c r="BK488" s="21">
        <v>0</v>
      </c>
      <c r="BL488" s="21">
        <v>0</v>
      </c>
      <c r="BM488" s="21">
        <v>0</v>
      </c>
      <c r="BN488" s="21">
        <v>0</v>
      </c>
      <c r="BO488" s="21">
        <v>0</v>
      </c>
      <c r="BP488" s="21">
        <v>0</v>
      </c>
      <c r="BQ488" s="21">
        <v>0</v>
      </c>
      <c r="BR488" s="21">
        <v>1</v>
      </c>
      <c r="BS488" s="21">
        <v>0</v>
      </c>
    </row>
    <row r="489" spans="1:71">
      <c r="A489" s="1" t="s">
        <v>5066</v>
      </c>
      <c r="B489">
        <v>44</v>
      </c>
      <c r="C489">
        <v>295</v>
      </c>
      <c r="D489" s="21">
        <v>2018</v>
      </c>
      <c r="E489" s="23">
        <v>-2</v>
      </c>
      <c r="F489">
        <v>0.02</v>
      </c>
      <c r="G489" s="14">
        <f t="shared" si="29"/>
        <v>-100</v>
      </c>
      <c r="H489" s="27">
        <v>0</v>
      </c>
      <c r="I489" s="21">
        <v>1</v>
      </c>
      <c r="J489" s="21">
        <v>19572</v>
      </c>
      <c r="K489" s="21">
        <v>1</v>
      </c>
      <c r="L489" s="21">
        <v>0</v>
      </c>
      <c r="M489" s="21">
        <v>0</v>
      </c>
      <c r="N489" s="21">
        <v>0</v>
      </c>
      <c r="O489" s="21">
        <v>0</v>
      </c>
      <c r="P489">
        <v>0</v>
      </c>
      <c r="Q489" s="21">
        <v>0</v>
      </c>
      <c r="R489" s="21">
        <v>0</v>
      </c>
      <c r="S489" s="21">
        <v>1</v>
      </c>
      <c r="T489" s="21">
        <v>1</v>
      </c>
      <c r="U489" s="21">
        <v>1995</v>
      </c>
      <c r="V489" s="21">
        <v>2015</v>
      </c>
      <c r="W489">
        <f t="shared" si="28"/>
        <v>2005</v>
      </c>
      <c r="X489" s="21">
        <v>1</v>
      </c>
      <c r="Y489" s="21">
        <v>0</v>
      </c>
      <c r="Z489" s="21">
        <v>1</v>
      </c>
      <c r="AA489" s="21">
        <v>0</v>
      </c>
      <c r="AB489" s="21">
        <v>0</v>
      </c>
      <c r="AC489" s="21">
        <v>0</v>
      </c>
      <c r="AD489" s="21">
        <v>0</v>
      </c>
      <c r="AE489" s="21">
        <v>0</v>
      </c>
      <c r="AF489" s="21">
        <v>1</v>
      </c>
      <c r="AG489" s="21">
        <v>1</v>
      </c>
      <c r="AH489" s="21">
        <v>1</v>
      </c>
      <c r="AI489" s="21">
        <v>1</v>
      </c>
      <c r="AJ489" s="21">
        <v>1</v>
      </c>
      <c r="AK489" s="21">
        <v>1</v>
      </c>
      <c r="AL489" s="21">
        <v>1</v>
      </c>
      <c r="AM489" s="21">
        <v>1</v>
      </c>
      <c r="AN489" s="21">
        <v>1</v>
      </c>
      <c r="AO489" s="21">
        <v>1</v>
      </c>
      <c r="AP489" s="21">
        <v>1</v>
      </c>
      <c r="AQ489" s="21">
        <v>0</v>
      </c>
      <c r="AR489" s="21">
        <v>1</v>
      </c>
      <c r="AS489" s="21">
        <v>1</v>
      </c>
      <c r="AT489" s="21">
        <v>1</v>
      </c>
      <c r="AU489" s="21">
        <v>1</v>
      </c>
      <c r="AV489" s="21">
        <v>1</v>
      </c>
      <c r="AW489" s="21">
        <v>1</v>
      </c>
      <c r="AX489" s="21">
        <v>1</v>
      </c>
      <c r="AY489" s="21">
        <v>1</v>
      </c>
      <c r="AZ489" s="21">
        <v>1</v>
      </c>
      <c r="BA489" s="21">
        <v>1</v>
      </c>
      <c r="BB489" s="21">
        <v>1</v>
      </c>
      <c r="BC489" s="21">
        <v>1</v>
      </c>
      <c r="BD489" s="21">
        <v>1</v>
      </c>
      <c r="BE489" s="21">
        <v>1</v>
      </c>
      <c r="BF489" s="21">
        <v>0</v>
      </c>
      <c r="BG489" s="21">
        <v>0</v>
      </c>
      <c r="BH489" s="21">
        <v>0</v>
      </c>
      <c r="BI489" s="21">
        <v>1</v>
      </c>
      <c r="BJ489" s="21">
        <v>0</v>
      </c>
      <c r="BK489" s="21">
        <v>0</v>
      </c>
      <c r="BL489" s="21">
        <v>0</v>
      </c>
      <c r="BM489" s="21">
        <v>0</v>
      </c>
      <c r="BN489" s="21">
        <v>0</v>
      </c>
      <c r="BO489" s="21">
        <v>0</v>
      </c>
      <c r="BP489" s="21">
        <v>0</v>
      </c>
      <c r="BQ489" s="21">
        <v>0</v>
      </c>
      <c r="BR489" s="21">
        <v>1</v>
      </c>
      <c r="BS489" s="21">
        <v>0</v>
      </c>
    </row>
    <row r="490" spans="1:71">
      <c r="A490" s="1" t="s">
        <v>5066</v>
      </c>
      <c r="B490">
        <v>44</v>
      </c>
      <c r="C490">
        <v>296</v>
      </c>
      <c r="D490" s="21">
        <v>2018</v>
      </c>
      <c r="E490" s="23">
        <v>-1.62</v>
      </c>
      <c r="F490">
        <v>0.01</v>
      </c>
      <c r="G490" s="14">
        <f t="shared" si="29"/>
        <v>-162</v>
      </c>
      <c r="H490" s="27">
        <v>0</v>
      </c>
      <c r="I490" s="21">
        <v>1</v>
      </c>
      <c r="J490" s="21">
        <v>72921</v>
      </c>
      <c r="K490" s="21">
        <v>1</v>
      </c>
      <c r="L490" s="21">
        <v>0</v>
      </c>
      <c r="M490" s="21">
        <v>0</v>
      </c>
      <c r="N490" s="21">
        <v>0</v>
      </c>
      <c r="O490" s="21">
        <v>0</v>
      </c>
      <c r="P490">
        <v>0</v>
      </c>
      <c r="Q490" s="21">
        <v>0</v>
      </c>
      <c r="R490" s="21">
        <v>0</v>
      </c>
      <c r="S490" s="21">
        <v>1</v>
      </c>
      <c r="T490" s="21">
        <v>1</v>
      </c>
      <c r="U490" s="21">
        <v>1995</v>
      </c>
      <c r="V490" s="21">
        <v>2015</v>
      </c>
      <c r="W490">
        <f t="shared" si="28"/>
        <v>2005</v>
      </c>
      <c r="X490" s="21">
        <v>1</v>
      </c>
      <c r="Y490" s="21">
        <v>0</v>
      </c>
      <c r="Z490" s="21">
        <v>1</v>
      </c>
      <c r="AA490" s="21">
        <v>0</v>
      </c>
      <c r="AB490" s="21">
        <v>0</v>
      </c>
      <c r="AC490" s="21">
        <v>0</v>
      </c>
      <c r="AD490" s="21">
        <v>0</v>
      </c>
      <c r="AE490" s="21">
        <v>0</v>
      </c>
      <c r="AF490" s="21">
        <v>1</v>
      </c>
      <c r="AG490" s="21">
        <v>1</v>
      </c>
      <c r="AH490" s="21">
        <v>1</v>
      </c>
      <c r="AI490" s="21">
        <v>1</v>
      </c>
      <c r="AJ490" s="21">
        <v>1</v>
      </c>
      <c r="AK490" s="21">
        <v>1</v>
      </c>
      <c r="AL490" s="21">
        <v>1</v>
      </c>
      <c r="AM490" s="21">
        <v>1</v>
      </c>
      <c r="AN490" s="21">
        <v>1</v>
      </c>
      <c r="AO490" s="21">
        <v>1</v>
      </c>
      <c r="AP490" s="21">
        <v>1</v>
      </c>
      <c r="AQ490" s="21">
        <v>0</v>
      </c>
      <c r="AR490" s="21">
        <v>1</v>
      </c>
      <c r="AS490" s="21">
        <v>1</v>
      </c>
      <c r="AT490" s="21">
        <v>1</v>
      </c>
      <c r="AU490" s="21">
        <v>1</v>
      </c>
      <c r="AV490" s="21">
        <v>1</v>
      </c>
      <c r="AW490" s="21">
        <v>1</v>
      </c>
      <c r="AX490" s="21">
        <v>1</v>
      </c>
      <c r="AY490" s="21">
        <v>1</v>
      </c>
      <c r="AZ490" s="21">
        <v>1</v>
      </c>
      <c r="BA490" s="21">
        <v>1</v>
      </c>
      <c r="BB490" s="21">
        <v>1</v>
      </c>
      <c r="BC490" s="21">
        <v>1</v>
      </c>
      <c r="BD490" s="21">
        <v>1</v>
      </c>
      <c r="BE490" s="21">
        <v>1</v>
      </c>
      <c r="BF490" s="21">
        <v>0</v>
      </c>
      <c r="BG490" s="21">
        <v>0</v>
      </c>
      <c r="BH490" s="21">
        <v>0</v>
      </c>
      <c r="BI490" s="21">
        <v>1</v>
      </c>
      <c r="BJ490" s="21">
        <v>0</v>
      </c>
      <c r="BK490" s="21">
        <v>0</v>
      </c>
      <c r="BL490" s="21">
        <v>0</v>
      </c>
      <c r="BM490" s="21">
        <v>0</v>
      </c>
      <c r="BN490" s="21">
        <v>0</v>
      </c>
      <c r="BO490" s="21">
        <v>0</v>
      </c>
      <c r="BP490" s="21">
        <v>0</v>
      </c>
      <c r="BQ490" s="21">
        <v>0</v>
      </c>
      <c r="BR490" s="21">
        <v>1</v>
      </c>
      <c r="BS490" s="21">
        <v>0</v>
      </c>
    </row>
    <row r="491" spans="1:71">
      <c r="A491" s="1" t="s">
        <v>5066</v>
      </c>
      <c r="B491">
        <v>44</v>
      </c>
      <c r="C491">
        <v>297</v>
      </c>
      <c r="D491" s="21">
        <v>2018</v>
      </c>
      <c r="E491" s="23">
        <v>-1.67</v>
      </c>
      <c r="F491">
        <v>0.01</v>
      </c>
      <c r="G491" s="14">
        <f t="shared" si="29"/>
        <v>-167</v>
      </c>
      <c r="H491" s="27">
        <v>0</v>
      </c>
      <c r="I491" s="21">
        <v>1</v>
      </c>
      <c r="J491" s="21">
        <v>59317</v>
      </c>
      <c r="K491" s="21">
        <v>1</v>
      </c>
      <c r="L491" s="21">
        <v>0</v>
      </c>
      <c r="M491" s="21">
        <v>0</v>
      </c>
      <c r="N491" s="21">
        <v>0</v>
      </c>
      <c r="O491" s="21">
        <v>0</v>
      </c>
      <c r="P491">
        <v>0</v>
      </c>
      <c r="Q491" s="21">
        <v>0</v>
      </c>
      <c r="R491" s="21">
        <v>0</v>
      </c>
      <c r="S491" s="21">
        <v>1</v>
      </c>
      <c r="T491" s="21">
        <v>1</v>
      </c>
      <c r="U491" s="21">
        <v>1995</v>
      </c>
      <c r="V491" s="21">
        <v>2015</v>
      </c>
      <c r="W491">
        <f t="shared" si="28"/>
        <v>2005</v>
      </c>
      <c r="X491" s="21">
        <v>1</v>
      </c>
      <c r="Y491" s="21">
        <v>0</v>
      </c>
      <c r="Z491" s="21">
        <v>1</v>
      </c>
      <c r="AA491" s="21">
        <v>0</v>
      </c>
      <c r="AB491" s="21">
        <v>0</v>
      </c>
      <c r="AC491" s="21">
        <v>0</v>
      </c>
      <c r="AD491" s="21">
        <v>0</v>
      </c>
      <c r="AE491" s="21">
        <v>0</v>
      </c>
      <c r="AF491" s="21">
        <v>1</v>
      </c>
      <c r="AG491" s="21">
        <v>1</v>
      </c>
      <c r="AH491" s="21">
        <v>1</v>
      </c>
      <c r="AI491" s="21">
        <v>1</v>
      </c>
      <c r="AJ491" s="21">
        <v>1</v>
      </c>
      <c r="AK491" s="21">
        <v>1</v>
      </c>
      <c r="AL491" s="21">
        <v>1</v>
      </c>
      <c r="AM491" s="21">
        <v>1</v>
      </c>
      <c r="AN491" s="21">
        <v>1</v>
      </c>
      <c r="AO491" s="21">
        <v>1</v>
      </c>
      <c r="AP491" s="21">
        <v>1</v>
      </c>
      <c r="AQ491" s="21">
        <v>0</v>
      </c>
      <c r="AR491" s="21">
        <v>1</v>
      </c>
      <c r="AS491" s="21">
        <v>1</v>
      </c>
      <c r="AT491" s="21">
        <v>1</v>
      </c>
      <c r="AU491" s="21">
        <v>1</v>
      </c>
      <c r="AV491" s="21">
        <v>1</v>
      </c>
      <c r="AW491" s="21">
        <v>1</v>
      </c>
      <c r="AX491" s="21">
        <v>1</v>
      </c>
      <c r="AY491" s="21">
        <v>1</v>
      </c>
      <c r="AZ491" s="21">
        <v>1</v>
      </c>
      <c r="BA491" s="21">
        <v>1</v>
      </c>
      <c r="BB491" s="21">
        <v>1</v>
      </c>
      <c r="BC491" s="21">
        <v>1</v>
      </c>
      <c r="BD491" s="21">
        <v>1</v>
      </c>
      <c r="BE491" s="21">
        <v>1</v>
      </c>
      <c r="BF491" s="21">
        <v>0</v>
      </c>
      <c r="BG491" s="21">
        <v>0</v>
      </c>
      <c r="BH491" s="21">
        <v>0</v>
      </c>
      <c r="BI491" s="21">
        <v>1</v>
      </c>
      <c r="BJ491" s="21">
        <v>0</v>
      </c>
      <c r="BK491" s="21">
        <v>0</v>
      </c>
      <c r="BL491" s="21">
        <v>0</v>
      </c>
      <c r="BM491" s="21">
        <v>0</v>
      </c>
      <c r="BN491" s="21">
        <v>0</v>
      </c>
      <c r="BO491" s="21">
        <v>0</v>
      </c>
      <c r="BP491" s="21">
        <v>0</v>
      </c>
      <c r="BQ491" s="21">
        <v>0</v>
      </c>
      <c r="BR491" s="21">
        <v>1</v>
      </c>
      <c r="BS491" s="21">
        <v>0</v>
      </c>
    </row>
    <row r="492" spans="1:71">
      <c r="A492" s="1" t="s">
        <v>5066</v>
      </c>
      <c r="B492">
        <v>44</v>
      </c>
      <c r="C492">
        <v>298</v>
      </c>
      <c r="D492" s="21">
        <v>2018</v>
      </c>
      <c r="E492" s="23">
        <v>-1.73</v>
      </c>
      <c r="F492">
        <v>0.01</v>
      </c>
      <c r="G492" s="14">
        <f t="shared" ref="G492:G523" si="30">E492/F492</f>
        <v>-173</v>
      </c>
      <c r="H492" s="27">
        <v>0</v>
      </c>
      <c r="I492" s="21">
        <v>1</v>
      </c>
      <c r="J492" s="21">
        <v>33358</v>
      </c>
      <c r="K492" s="21">
        <v>1</v>
      </c>
      <c r="L492" s="21">
        <v>0</v>
      </c>
      <c r="M492" s="21">
        <v>0</v>
      </c>
      <c r="N492" s="21">
        <v>0</v>
      </c>
      <c r="O492" s="21">
        <v>0</v>
      </c>
      <c r="P492">
        <v>0</v>
      </c>
      <c r="Q492" s="21">
        <v>0</v>
      </c>
      <c r="R492" s="21">
        <v>0</v>
      </c>
      <c r="S492" s="21">
        <v>1</v>
      </c>
      <c r="T492" s="21">
        <v>1</v>
      </c>
      <c r="U492" s="21">
        <v>1995</v>
      </c>
      <c r="V492" s="21">
        <v>2015</v>
      </c>
      <c r="W492">
        <f t="shared" si="28"/>
        <v>2005</v>
      </c>
      <c r="X492" s="21">
        <v>1</v>
      </c>
      <c r="Y492" s="21">
        <v>0</v>
      </c>
      <c r="Z492" s="21">
        <v>1</v>
      </c>
      <c r="AA492" s="21">
        <v>0</v>
      </c>
      <c r="AB492" s="21">
        <v>0</v>
      </c>
      <c r="AC492" s="21">
        <v>0</v>
      </c>
      <c r="AD492" s="21">
        <v>0</v>
      </c>
      <c r="AE492" s="21">
        <v>0</v>
      </c>
      <c r="AF492" s="21">
        <v>1</v>
      </c>
      <c r="AG492" s="21">
        <v>1</v>
      </c>
      <c r="AH492" s="21">
        <v>1</v>
      </c>
      <c r="AI492" s="21">
        <v>1</v>
      </c>
      <c r="AJ492" s="21">
        <v>1</v>
      </c>
      <c r="AK492" s="21">
        <v>1</v>
      </c>
      <c r="AL492" s="21">
        <v>1</v>
      </c>
      <c r="AM492" s="21">
        <v>1</v>
      </c>
      <c r="AN492" s="21">
        <v>1</v>
      </c>
      <c r="AO492" s="21">
        <v>1</v>
      </c>
      <c r="AP492" s="21">
        <v>1</v>
      </c>
      <c r="AQ492" s="21">
        <v>0</v>
      </c>
      <c r="AR492" s="21">
        <v>1</v>
      </c>
      <c r="AS492" s="21">
        <v>1</v>
      </c>
      <c r="AT492" s="21">
        <v>1</v>
      </c>
      <c r="AU492" s="21">
        <v>1</v>
      </c>
      <c r="AV492" s="21">
        <v>1</v>
      </c>
      <c r="AW492" s="21">
        <v>1</v>
      </c>
      <c r="AX492" s="21">
        <v>1</v>
      </c>
      <c r="AY492" s="21">
        <v>1</v>
      </c>
      <c r="AZ492" s="21">
        <v>1</v>
      </c>
      <c r="BA492" s="21">
        <v>1</v>
      </c>
      <c r="BB492" s="21">
        <v>1</v>
      </c>
      <c r="BC492" s="21">
        <v>1</v>
      </c>
      <c r="BD492" s="21">
        <v>1</v>
      </c>
      <c r="BE492" s="21">
        <v>1</v>
      </c>
      <c r="BF492" s="21">
        <v>0</v>
      </c>
      <c r="BG492" s="21">
        <v>0</v>
      </c>
      <c r="BH492" s="21">
        <v>0</v>
      </c>
      <c r="BI492" s="21">
        <v>1</v>
      </c>
      <c r="BJ492" s="21">
        <v>0</v>
      </c>
      <c r="BK492" s="21">
        <v>0</v>
      </c>
      <c r="BL492" s="21">
        <v>0</v>
      </c>
      <c r="BM492" s="21">
        <v>0</v>
      </c>
      <c r="BN492" s="21">
        <v>0</v>
      </c>
      <c r="BO492" s="21">
        <v>0</v>
      </c>
      <c r="BP492" s="21">
        <v>0</v>
      </c>
      <c r="BQ492" s="21">
        <v>0</v>
      </c>
      <c r="BR492" s="21">
        <v>1</v>
      </c>
      <c r="BS492" s="21">
        <v>0</v>
      </c>
    </row>
    <row r="493" spans="1:71">
      <c r="A493" s="1" t="s">
        <v>5066</v>
      </c>
      <c r="B493">
        <v>44</v>
      </c>
      <c r="C493">
        <v>299</v>
      </c>
      <c r="D493" s="21">
        <v>2018</v>
      </c>
      <c r="E493" s="23">
        <v>-1.53</v>
      </c>
      <c r="F493">
        <v>0.02</v>
      </c>
      <c r="G493" s="14">
        <f t="shared" si="30"/>
        <v>-76.5</v>
      </c>
      <c r="H493" s="27">
        <v>0</v>
      </c>
      <c r="I493" s="21">
        <v>1</v>
      </c>
      <c r="J493" s="21">
        <v>17368</v>
      </c>
      <c r="K493" s="21">
        <v>1</v>
      </c>
      <c r="L493" s="21">
        <v>0</v>
      </c>
      <c r="M493" s="21">
        <v>0</v>
      </c>
      <c r="N493" s="21">
        <v>0</v>
      </c>
      <c r="O493" s="21">
        <v>0</v>
      </c>
      <c r="P493">
        <v>0</v>
      </c>
      <c r="Q493" s="21">
        <v>0</v>
      </c>
      <c r="R493" s="21">
        <v>0</v>
      </c>
      <c r="S493" s="21">
        <v>1</v>
      </c>
      <c r="T493" s="21">
        <v>1</v>
      </c>
      <c r="U493" s="21">
        <v>1995</v>
      </c>
      <c r="V493" s="21">
        <v>2015</v>
      </c>
      <c r="W493">
        <f t="shared" si="28"/>
        <v>2005</v>
      </c>
      <c r="X493" s="21">
        <v>1</v>
      </c>
      <c r="Y493" s="21">
        <v>0</v>
      </c>
      <c r="Z493" s="21">
        <v>1</v>
      </c>
      <c r="AA493" s="21">
        <v>0</v>
      </c>
      <c r="AB493" s="21">
        <v>0</v>
      </c>
      <c r="AC493" s="21">
        <v>0</v>
      </c>
      <c r="AD493" s="21">
        <v>0</v>
      </c>
      <c r="AE493" s="21">
        <v>0</v>
      </c>
      <c r="AF493" s="21">
        <v>1</v>
      </c>
      <c r="AG493" s="21">
        <v>1</v>
      </c>
      <c r="AH493" s="21">
        <v>1</v>
      </c>
      <c r="AI493" s="21">
        <v>1</v>
      </c>
      <c r="AJ493" s="21">
        <v>1</v>
      </c>
      <c r="AK493" s="21">
        <v>1</v>
      </c>
      <c r="AL493" s="21">
        <v>1</v>
      </c>
      <c r="AM493" s="21">
        <v>1</v>
      </c>
      <c r="AN493" s="21">
        <v>1</v>
      </c>
      <c r="AO493" s="21">
        <v>1</v>
      </c>
      <c r="AP493" s="21">
        <v>1</v>
      </c>
      <c r="AQ493" s="21">
        <v>0</v>
      </c>
      <c r="AR493" s="21">
        <v>1</v>
      </c>
      <c r="AS493" s="21">
        <v>1</v>
      </c>
      <c r="AT493" s="21">
        <v>1</v>
      </c>
      <c r="AU493" s="21">
        <v>1</v>
      </c>
      <c r="AV493" s="21">
        <v>1</v>
      </c>
      <c r="AW493" s="21">
        <v>1</v>
      </c>
      <c r="AX493" s="21">
        <v>1</v>
      </c>
      <c r="AY493" s="21">
        <v>1</v>
      </c>
      <c r="AZ493" s="21">
        <v>1</v>
      </c>
      <c r="BA493" s="21">
        <v>1</v>
      </c>
      <c r="BB493" s="21">
        <v>1</v>
      </c>
      <c r="BC493" s="21">
        <v>1</v>
      </c>
      <c r="BD493" s="21">
        <v>1</v>
      </c>
      <c r="BE493" s="21">
        <v>1</v>
      </c>
      <c r="BF493" s="21">
        <v>0</v>
      </c>
      <c r="BG493" s="21">
        <v>0</v>
      </c>
      <c r="BH493" s="21">
        <v>0</v>
      </c>
      <c r="BI493" s="21">
        <v>1</v>
      </c>
      <c r="BJ493" s="21">
        <v>0</v>
      </c>
      <c r="BK493" s="21">
        <v>0</v>
      </c>
      <c r="BL493" s="21">
        <v>0</v>
      </c>
      <c r="BM493" s="21">
        <v>0</v>
      </c>
      <c r="BN493" s="21">
        <v>0</v>
      </c>
      <c r="BO493" s="21">
        <v>0</v>
      </c>
      <c r="BP493" s="21">
        <v>0</v>
      </c>
      <c r="BQ493" s="21">
        <v>0</v>
      </c>
      <c r="BR493" s="21">
        <v>1</v>
      </c>
      <c r="BS493" s="21">
        <v>0</v>
      </c>
    </row>
    <row r="494" spans="1:71">
      <c r="A494" s="1" t="s">
        <v>5066</v>
      </c>
      <c r="B494">
        <v>44</v>
      </c>
      <c r="C494">
        <v>300</v>
      </c>
      <c r="D494" s="21">
        <v>2018</v>
      </c>
      <c r="E494" s="23">
        <v>-1.48</v>
      </c>
      <c r="F494">
        <v>0.02</v>
      </c>
      <c r="G494" s="14">
        <f t="shared" si="30"/>
        <v>-74</v>
      </c>
      <c r="H494" s="27">
        <v>0</v>
      </c>
      <c r="I494" s="21">
        <v>1</v>
      </c>
      <c r="J494" s="21">
        <v>62769</v>
      </c>
      <c r="K494" s="21">
        <v>1</v>
      </c>
      <c r="L494" s="21">
        <v>0</v>
      </c>
      <c r="M494" s="21">
        <v>0</v>
      </c>
      <c r="N494" s="21">
        <v>0</v>
      </c>
      <c r="O494" s="21">
        <v>0</v>
      </c>
      <c r="P494">
        <v>0</v>
      </c>
      <c r="Q494" s="21">
        <v>0</v>
      </c>
      <c r="R494" s="21">
        <v>0</v>
      </c>
      <c r="S494" s="21">
        <v>1</v>
      </c>
      <c r="T494" s="21">
        <v>1</v>
      </c>
      <c r="U494" s="21">
        <v>1995</v>
      </c>
      <c r="V494" s="21">
        <v>2015</v>
      </c>
      <c r="W494">
        <f t="shared" si="28"/>
        <v>2005</v>
      </c>
      <c r="X494" s="21">
        <v>1</v>
      </c>
      <c r="Y494" s="21">
        <v>0</v>
      </c>
      <c r="Z494" s="21">
        <v>1</v>
      </c>
      <c r="AA494" s="21">
        <v>0</v>
      </c>
      <c r="AB494" s="21">
        <v>0</v>
      </c>
      <c r="AC494" s="21">
        <v>0</v>
      </c>
      <c r="AD494" s="21">
        <v>0</v>
      </c>
      <c r="AE494" s="21">
        <v>0</v>
      </c>
      <c r="AF494" s="21">
        <v>1</v>
      </c>
      <c r="AG494" s="21">
        <v>1</v>
      </c>
      <c r="AH494" s="21">
        <v>1</v>
      </c>
      <c r="AI494" s="21">
        <v>1</v>
      </c>
      <c r="AJ494" s="21">
        <v>1</v>
      </c>
      <c r="AK494" s="21">
        <v>1</v>
      </c>
      <c r="AL494" s="21">
        <v>1</v>
      </c>
      <c r="AM494" s="21">
        <v>1</v>
      </c>
      <c r="AN494" s="21">
        <v>1</v>
      </c>
      <c r="AO494" s="21">
        <v>1</v>
      </c>
      <c r="AP494" s="21">
        <v>1</v>
      </c>
      <c r="AQ494" s="21">
        <v>0</v>
      </c>
      <c r="AR494" s="21">
        <v>1</v>
      </c>
      <c r="AS494" s="21">
        <v>1</v>
      </c>
      <c r="AT494" s="21">
        <v>1</v>
      </c>
      <c r="AU494" s="21">
        <v>0</v>
      </c>
      <c r="AV494" s="21">
        <v>0</v>
      </c>
      <c r="AW494" s="21">
        <v>0</v>
      </c>
      <c r="AX494" s="21">
        <v>0</v>
      </c>
      <c r="AY494" s="21">
        <v>0</v>
      </c>
      <c r="AZ494" s="21">
        <v>1</v>
      </c>
      <c r="BA494" s="21">
        <v>1</v>
      </c>
      <c r="BB494" s="21">
        <v>1</v>
      </c>
      <c r="BC494" s="21">
        <v>1</v>
      </c>
      <c r="BD494" s="21">
        <v>1</v>
      </c>
      <c r="BE494" s="21">
        <v>1</v>
      </c>
      <c r="BF494" s="21">
        <v>0</v>
      </c>
      <c r="BG494" s="21">
        <v>0</v>
      </c>
      <c r="BH494" s="21">
        <v>0</v>
      </c>
      <c r="BI494" s="21">
        <v>1</v>
      </c>
      <c r="BJ494" s="21">
        <v>0</v>
      </c>
      <c r="BK494" s="21">
        <v>0</v>
      </c>
      <c r="BL494" s="21">
        <v>0</v>
      </c>
      <c r="BM494" s="21">
        <v>0</v>
      </c>
      <c r="BN494" s="21">
        <v>0</v>
      </c>
      <c r="BO494" s="21">
        <v>0</v>
      </c>
      <c r="BP494" s="21">
        <v>0</v>
      </c>
      <c r="BQ494" s="21">
        <v>0</v>
      </c>
      <c r="BR494" s="21">
        <v>1</v>
      </c>
      <c r="BS494" s="21">
        <v>0</v>
      </c>
    </row>
    <row r="495" spans="1:71">
      <c r="A495" s="1" t="s">
        <v>5066</v>
      </c>
      <c r="B495">
        <v>44</v>
      </c>
      <c r="C495">
        <v>301</v>
      </c>
      <c r="D495" s="21">
        <v>2018</v>
      </c>
      <c r="E495" s="23">
        <v>-1.75</v>
      </c>
      <c r="F495">
        <v>0.01</v>
      </c>
      <c r="G495" s="14">
        <f t="shared" si="30"/>
        <v>-175</v>
      </c>
      <c r="H495" s="27">
        <v>0</v>
      </c>
      <c r="I495" s="21">
        <v>1</v>
      </c>
      <c r="J495" s="21">
        <v>37022</v>
      </c>
      <c r="K495" s="21">
        <v>1</v>
      </c>
      <c r="L495" s="21">
        <v>0</v>
      </c>
      <c r="M495" s="21">
        <v>0</v>
      </c>
      <c r="N495" s="21">
        <v>0</v>
      </c>
      <c r="O495" s="21">
        <v>0</v>
      </c>
      <c r="P495">
        <v>0</v>
      </c>
      <c r="Q495" s="21">
        <v>0</v>
      </c>
      <c r="R495" s="21">
        <v>0</v>
      </c>
      <c r="S495" s="21">
        <v>1</v>
      </c>
      <c r="T495" s="21">
        <v>1</v>
      </c>
      <c r="U495" s="21">
        <v>1995</v>
      </c>
      <c r="V495" s="21">
        <v>2015</v>
      </c>
      <c r="W495">
        <f t="shared" si="28"/>
        <v>2005</v>
      </c>
      <c r="X495" s="21">
        <v>1</v>
      </c>
      <c r="Y495" s="21">
        <v>0</v>
      </c>
      <c r="Z495" s="21">
        <v>1</v>
      </c>
      <c r="AA495" s="21">
        <v>0</v>
      </c>
      <c r="AB495" s="21">
        <v>0</v>
      </c>
      <c r="AC495" s="21">
        <v>0</v>
      </c>
      <c r="AD495" s="21">
        <v>0</v>
      </c>
      <c r="AE495" s="21">
        <v>0</v>
      </c>
      <c r="AF495" s="21">
        <v>1</v>
      </c>
      <c r="AG495" s="21">
        <v>1</v>
      </c>
      <c r="AH495" s="21">
        <v>1</v>
      </c>
      <c r="AI495" s="21">
        <v>1</v>
      </c>
      <c r="AJ495" s="21">
        <v>1</v>
      </c>
      <c r="AK495" s="21">
        <v>1</v>
      </c>
      <c r="AL495" s="21">
        <v>1</v>
      </c>
      <c r="AM495" s="21">
        <v>1</v>
      </c>
      <c r="AN495" s="21">
        <v>1</v>
      </c>
      <c r="AO495" s="21">
        <v>1</v>
      </c>
      <c r="AP495" s="21">
        <v>1</v>
      </c>
      <c r="AQ495" s="21">
        <v>0</v>
      </c>
      <c r="AR495" s="21">
        <v>1</v>
      </c>
      <c r="AS495" s="21">
        <v>1</v>
      </c>
      <c r="AT495" s="21">
        <v>0</v>
      </c>
      <c r="AU495" s="21">
        <v>0</v>
      </c>
      <c r="AV495" s="21">
        <v>0</v>
      </c>
      <c r="AW495" s="21">
        <v>1</v>
      </c>
      <c r="AX495" s="21">
        <v>1</v>
      </c>
      <c r="AY495" s="21">
        <v>0</v>
      </c>
      <c r="AZ495" s="21">
        <v>1</v>
      </c>
      <c r="BA495" s="21">
        <v>1</v>
      </c>
      <c r="BB495" s="21">
        <v>1</v>
      </c>
      <c r="BC495" s="21">
        <v>1</v>
      </c>
      <c r="BD495" s="21">
        <v>1</v>
      </c>
      <c r="BE495" s="21">
        <v>1</v>
      </c>
      <c r="BF495" s="21">
        <v>0</v>
      </c>
      <c r="BG495" s="21">
        <v>0</v>
      </c>
      <c r="BH495" s="21">
        <v>0</v>
      </c>
      <c r="BI495" s="21">
        <v>1</v>
      </c>
      <c r="BJ495" s="21">
        <v>0</v>
      </c>
      <c r="BK495" s="21">
        <v>0</v>
      </c>
      <c r="BL495" s="21">
        <v>0</v>
      </c>
      <c r="BM495" s="21">
        <v>0</v>
      </c>
      <c r="BN495" s="21">
        <v>0</v>
      </c>
      <c r="BO495" s="21">
        <v>0</v>
      </c>
      <c r="BP495" s="21">
        <v>0</v>
      </c>
      <c r="BQ495" s="21">
        <v>0</v>
      </c>
      <c r="BR495" s="21">
        <v>1</v>
      </c>
      <c r="BS495" s="21">
        <v>0</v>
      </c>
    </row>
    <row r="496" spans="1:71">
      <c r="A496" s="1" t="s">
        <v>5066</v>
      </c>
      <c r="B496">
        <v>44</v>
      </c>
      <c r="C496">
        <v>302</v>
      </c>
      <c r="D496" s="21">
        <v>2018</v>
      </c>
      <c r="E496" s="23">
        <v>-1.71</v>
      </c>
      <c r="F496">
        <v>0.01</v>
      </c>
      <c r="G496" s="14">
        <f t="shared" si="30"/>
        <v>-171</v>
      </c>
      <c r="H496" s="27">
        <v>0</v>
      </c>
      <c r="I496" s="21">
        <v>1</v>
      </c>
      <c r="J496" s="21">
        <v>63790</v>
      </c>
      <c r="K496" s="21">
        <v>1</v>
      </c>
      <c r="L496" s="21">
        <v>0</v>
      </c>
      <c r="M496" s="21">
        <v>0</v>
      </c>
      <c r="N496" s="21">
        <v>0</v>
      </c>
      <c r="O496" s="21">
        <v>0</v>
      </c>
      <c r="P496">
        <v>0</v>
      </c>
      <c r="Q496" s="21">
        <v>0</v>
      </c>
      <c r="R496" s="21">
        <v>0</v>
      </c>
      <c r="S496" s="21">
        <v>1</v>
      </c>
      <c r="T496" s="21">
        <v>1</v>
      </c>
      <c r="U496" s="21">
        <v>1995</v>
      </c>
      <c r="V496" s="21">
        <v>2015</v>
      </c>
      <c r="W496">
        <f t="shared" si="28"/>
        <v>2005</v>
      </c>
      <c r="X496" s="21">
        <v>1</v>
      </c>
      <c r="Y496" s="21">
        <v>0</v>
      </c>
      <c r="Z496" s="21">
        <v>1</v>
      </c>
      <c r="AA496" s="21">
        <v>0</v>
      </c>
      <c r="AB496" s="21">
        <v>0</v>
      </c>
      <c r="AC496" s="21">
        <v>0</v>
      </c>
      <c r="AD496" s="21">
        <v>0</v>
      </c>
      <c r="AE496" s="21">
        <v>0</v>
      </c>
      <c r="AF496" s="21">
        <v>1</v>
      </c>
      <c r="AG496" s="21">
        <v>1</v>
      </c>
      <c r="AH496" s="21">
        <v>1</v>
      </c>
      <c r="AI496" s="21">
        <v>1</v>
      </c>
      <c r="AJ496" s="21">
        <v>1</v>
      </c>
      <c r="AK496" s="21">
        <v>1</v>
      </c>
      <c r="AL496" s="21">
        <v>1</v>
      </c>
      <c r="AM496" s="21">
        <v>1</v>
      </c>
      <c r="AN496" s="21">
        <v>1</v>
      </c>
      <c r="AO496" s="21">
        <v>1</v>
      </c>
      <c r="AP496" s="21">
        <v>1</v>
      </c>
      <c r="AQ496" s="21">
        <v>0</v>
      </c>
      <c r="AR496" s="21">
        <v>1</v>
      </c>
      <c r="AS496" s="21">
        <v>1</v>
      </c>
      <c r="AT496" s="21">
        <v>0</v>
      </c>
      <c r="AU496" s="21">
        <v>1</v>
      </c>
      <c r="AV496" s="21">
        <v>1</v>
      </c>
      <c r="AW496" s="21">
        <v>0</v>
      </c>
      <c r="AX496" s="21">
        <v>0</v>
      </c>
      <c r="AY496" s="21">
        <v>1</v>
      </c>
      <c r="AZ496" s="21">
        <v>1</v>
      </c>
      <c r="BA496" s="21">
        <v>1</v>
      </c>
      <c r="BB496" s="21">
        <v>1</v>
      </c>
      <c r="BC496" s="21">
        <v>1</v>
      </c>
      <c r="BD496" s="21">
        <v>1</v>
      </c>
      <c r="BE496" s="21">
        <v>1</v>
      </c>
      <c r="BF496" s="21">
        <v>0</v>
      </c>
      <c r="BG496" s="21">
        <v>0</v>
      </c>
      <c r="BH496" s="21">
        <v>0</v>
      </c>
      <c r="BI496" s="21">
        <v>1</v>
      </c>
      <c r="BJ496" s="21">
        <v>0</v>
      </c>
      <c r="BK496" s="21">
        <v>0</v>
      </c>
      <c r="BL496" s="21">
        <v>0</v>
      </c>
      <c r="BM496" s="21">
        <v>0</v>
      </c>
      <c r="BN496" s="21">
        <v>0</v>
      </c>
      <c r="BO496" s="21">
        <v>0</v>
      </c>
      <c r="BP496" s="21">
        <v>0</v>
      </c>
      <c r="BQ496" s="21">
        <v>0</v>
      </c>
      <c r="BR496" s="21">
        <v>1</v>
      </c>
      <c r="BS496" s="21">
        <v>0</v>
      </c>
    </row>
    <row r="497" spans="1:71">
      <c r="A497" s="1" t="s">
        <v>5066</v>
      </c>
      <c r="B497">
        <v>44</v>
      </c>
      <c r="C497">
        <v>303</v>
      </c>
      <c r="D497" s="21">
        <v>2018</v>
      </c>
      <c r="E497" s="23">
        <v>-1.71</v>
      </c>
      <c r="F497">
        <v>0.02</v>
      </c>
      <c r="G497" s="14">
        <f t="shared" si="30"/>
        <v>-85.5</v>
      </c>
      <c r="H497" s="27">
        <v>0</v>
      </c>
      <c r="I497" s="21">
        <v>1</v>
      </c>
      <c r="J497" s="21">
        <v>32021</v>
      </c>
      <c r="K497" s="21">
        <v>1</v>
      </c>
      <c r="L497" s="21">
        <v>0</v>
      </c>
      <c r="M497" s="21">
        <v>0</v>
      </c>
      <c r="N497" s="21">
        <v>0</v>
      </c>
      <c r="O497" s="21">
        <v>0</v>
      </c>
      <c r="P497">
        <v>0</v>
      </c>
      <c r="Q497" s="21">
        <v>0</v>
      </c>
      <c r="R497" s="21">
        <v>0</v>
      </c>
      <c r="S497" s="21">
        <v>1</v>
      </c>
      <c r="T497" s="21">
        <v>1</v>
      </c>
      <c r="U497" s="21">
        <v>1995</v>
      </c>
      <c r="V497" s="21">
        <v>2015</v>
      </c>
      <c r="W497">
        <f t="shared" si="28"/>
        <v>2005</v>
      </c>
      <c r="X497" s="21">
        <v>1</v>
      </c>
      <c r="Y497" s="21">
        <v>0</v>
      </c>
      <c r="Z497" s="21">
        <v>1</v>
      </c>
      <c r="AA497" s="21">
        <v>0</v>
      </c>
      <c r="AB497" s="21">
        <v>0</v>
      </c>
      <c r="AC497" s="21">
        <v>0</v>
      </c>
      <c r="AD497" s="21">
        <v>0</v>
      </c>
      <c r="AE497" s="21">
        <v>0</v>
      </c>
      <c r="AF497" s="21">
        <v>1</v>
      </c>
      <c r="AG497" s="21">
        <v>1</v>
      </c>
      <c r="AH497" s="21">
        <v>1</v>
      </c>
      <c r="AI497" s="21">
        <v>1</v>
      </c>
      <c r="AJ497" s="21">
        <v>1</v>
      </c>
      <c r="AK497" s="21">
        <v>1</v>
      </c>
      <c r="AL497" s="21">
        <v>1</v>
      </c>
      <c r="AM497" s="21">
        <v>1</v>
      </c>
      <c r="AN497" s="21">
        <v>1</v>
      </c>
      <c r="AO497" s="21">
        <v>1</v>
      </c>
      <c r="AP497" s="21">
        <v>1</v>
      </c>
      <c r="AQ497" s="21">
        <v>0</v>
      </c>
      <c r="AR497" s="21">
        <v>1</v>
      </c>
      <c r="AS497" s="21">
        <v>1</v>
      </c>
      <c r="AT497" s="21">
        <v>0</v>
      </c>
      <c r="AU497" s="21">
        <v>0</v>
      </c>
      <c r="AV497" s="21">
        <v>1</v>
      </c>
      <c r="AW497" s="21">
        <v>0</v>
      </c>
      <c r="AX497" s="21">
        <v>0</v>
      </c>
      <c r="AY497" s="21">
        <v>0</v>
      </c>
      <c r="AZ497" s="21">
        <v>1</v>
      </c>
      <c r="BA497" s="21">
        <v>1</v>
      </c>
      <c r="BB497" s="21">
        <v>1</v>
      </c>
      <c r="BC497" s="21">
        <v>1</v>
      </c>
      <c r="BD497" s="21">
        <v>1</v>
      </c>
      <c r="BE497" s="21">
        <v>1</v>
      </c>
      <c r="BF497" s="21">
        <v>0</v>
      </c>
      <c r="BG497" s="21">
        <v>0</v>
      </c>
      <c r="BH497" s="21">
        <v>0</v>
      </c>
      <c r="BI497" s="21">
        <v>1</v>
      </c>
      <c r="BJ497" s="21">
        <v>0</v>
      </c>
      <c r="BK497" s="21">
        <v>0</v>
      </c>
      <c r="BL497" s="21">
        <v>0</v>
      </c>
      <c r="BM497" s="21">
        <v>0</v>
      </c>
      <c r="BN497" s="21">
        <v>0</v>
      </c>
      <c r="BO497" s="21">
        <v>0</v>
      </c>
      <c r="BP497" s="21">
        <v>0</v>
      </c>
      <c r="BQ497" s="21">
        <v>0</v>
      </c>
      <c r="BR497" s="21">
        <v>1</v>
      </c>
      <c r="BS497" s="21">
        <v>0</v>
      </c>
    </row>
    <row r="498" spans="1:71">
      <c r="A498" s="1" t="s">
        <v>5066</v>
      </c>
      <c r="B498">
        <v>44</v>
      </c>
      <c r="C498">
        <v>304</v>
      </c>
      <c r="D498" s="21">
        <v>2018</v>
      </c>
      <c r="E498" s="23">
        <v>-1.41</v>
      </c>
      <c r="F498">
        <v>0.02</v>
      </c>
      <c r="G498" s="14">
        <f t="shared" si="30"/>
        <v>-70.5</v>
      </c>
      <c r="H498" s="27">
        <v>0</v>
      </c>
      <c r="I498" s="21">
        <v>1</v>
      </c>
      <c r="J498" s="21">
        <v>40540</v>
      </c>
      <c r="K498" s="21">
        <v>1</v>
      </c>
      <c r="L498" s="21">
        <v>0</v>
      </c>
      <c r="M498" s="21">
        <v>0</v>
      </c>
      <c r="N498" s="21">
        <v>0</v>
      </c>
      <c r="O498" s="21">
        <v>0</v>
      </c>
      <c r="P498">
        <v>0</v>
      </c>
      <c r="Q498" s="21">
        <v>0</v>
      </c>
      <c r="R498" s="21">
        <v>0</v>
      </c>
      <c r="S498" s="21">
        <v>1</v>
      </c>
      <c r="T498" s="21">
        <v>1</v>
      </c>
      <c r="U498" s="21">
        <v>1995</v>
      </c>
      <c r="V498" s="21">
        <v>2015</v>
      </c>
      <c r="W498">
        <f t="shared" si="28"/>
        <v>2005</v>
      </c>
      <c r="X498" s="21">
        <v>1</v>
      </c>
      <c r="Y498" s="21">
        <v>0</v>
      </c>
      <c r="Z498" s="21">
        <v>1</v>
      </c>
      <c r="AA498" s="21">
        <v>0</v>
      </c>
      <c r="AB498" s="21">
        <v>0</v>
      </c>
      <c r="AC498" s="21">
        <v>0</v>
      </c>
      <c r="AD498" s="21">
        <v>0</v>
      </c>
      <c r="AE498" s="21">
        <v>0</v>
      </c>
      <c r="AF498" s="21">
        <v>1</v>
      </c>
      <c r="AG498" s="21">
        <v>1</v>
      </c>
      <c r="AH498" s="21">
        <v>0</v>
      </c>
      <c r="AI498" s="21">
        <v>0</v>
      </c>
      <c r="AJ498" s="21">
        <v>1</v>
      </c>
      <c r="AK498" s="21">
        <v>0</v>
      </c>
      <c r="AL498" s="21">
        <v>0</v>
      </c>
      <c r="AM498" s="21">
        <v>0</v>
      </c>
      <c r="AN498" s="21">
        <v>1</v>
      </c>
      <c r="AO498" s="21">
        <v>1</v>
      </c>
      <c r="AP498" s="21">
        <v>1</v>
      </c>
      <c r="AQ498" s="21">
        <v>0</v>
      </c>
      <c r="AR498" s="21">
        <v>1</v>
      </c>
      <c r="AS498" s="21">
        <v>1</v>
      </c>
      <c r="AT498" s="21">
        <v>1</v>
      </c>
      <c r="AU498" s="21">
        <v>1</v>
      </c>
      <c r="AV498" s="21">
        <v>1</v>
      </c>
      <c r="AW498" s="21">
        <v>1</v>
      </c>
      <c r="AX498" s="21">
        <v>1</v>
      </c>
      <c r="AY498" s="21">
        <v>1</v>
      </c>
      <c r="AZ498" s="21">
        <v>1</v>
      </c>
      <c r="BA498" s="21">
        <v>1</v>
      </c>
      <c r="BB498" s="21">
        <v>1</v>
      </c>
      <c r="BC498" s="21">
        <v>1</v>
      </c>
      <c r="BD498" s="21">
        <v>1</v>
      </c>
      <c r="BE498" s="21">
        <v>1</v>
      </c>
      <c r="BF498" s="21">
        <v>0</v>
      </c>
      <c r="BG498" s="21">
        <v>0</v>
      </c>
      <c r="BH498" s="21">
        <v>0</v>
      </c>
      <c r="BI498" s="21">
        <v>1</v>
      </c>
      <c r="BJ498" s="21">
        <v>0</v>
      </c>
      <c r="BK498" s="21">
        <v>0</v>
      </c>
      <c r="BL498" s="21">
        <v>0</v>
      </c>
      <c r="BM498" s="21">
        <v>0</v>
      </c>
      <c r="BN498" s="21">
        <v>0</v>
      </c>
      <c r="BO498" s="21">
        <v>0</v>
      </c>
      <c r="BP498" s="21">
        <v>0</v>
      </c>
      <c r="BQ498" s="21">
        <v>0</v>
      </c>
      <c r="BR498" s="21">
        <v>1</v>
      </c>
      <c r="BS498" s="21">
        <v>0</v>
      </c>
    </row>
    <row r="499" spans="1:71">
      <c r="A499" s="1" t="s">
        <v>5066</v>
      </c>
      <c r="B499">
        <v>44</v>
      </c>
      <c r="C499">
        <v>305</v>
      </c>
      <c r="D499" s="21">
        <v>2018</v>
      </c>
      <c r="E499" s="23">
        <v>-1.74</v>
      </c>
      <c r="F499">
        <v>0.01</v>
      </c>
      <c r="G499" s="14">
        <f t="shared" si="30"/>
        <v>-174</v>
      </c>
      <c r="H499" s="27">
        <v>0</v>
      </c>
      <c r="I499" s="21">
        <v>1</v>
      </c>
      <c r="J499" s="21">
        <v>43902</v>
      </c>
      <c r="K499" s="21">
        <v>1</v>
      </c>
      <c r="L499" s="21">
        <v>0</v>
      </c>
      <c r="M499" s="21">
        <v>0</v>
      </c>
      <c r="N499" s="21">
        <v>0</v>
      </c>
      <c r="O499" s="21">
        <v>0</v>
      </c>
      <c r="P499">
        <v>0</v>
      </c>
      <c r="Q499" s="21">
        <v>0</v>
      </c>
      <c r="R499" s="21">
        <v>0</v>
      </c>
      <c r="S499" s="21">
        <v>1</v>
      </c>
      <c r="T499" s="21">
        <v>1</v>
      </c>
      <c r="U499" s="21">
        <v>1995</v>
      </c>
      <c r="V499" s="21">
        <v>2015</v>
      </c>
      <c r="W499">
        <f t="shared" si="28"/>
        <v>2005</v>
      </c>
      <c r="X499" s="21">
        <v>1</v>
      </c>
      <c r="Y499" s="21">
        <v>0</v>
      </c>
      <c r="Z499" s="21">
        <v>1</v>
      </c>
      <c r="AA499" s="21">
        <v>0</v>
      </c>
      <c r="AB499" s="21">
        <v>0</v>
      </c>
      <c r="AC499" s="21">
        <v>0</v>
      </c>
      <c r="AD499" s="21">
        <v>0</v>
      </c>
      <c r="AE499" s="21">
        <v>0</v>
      </c>
      <c r="AF499" s="21">
        <v>1</v>
      </c>
      <c r="AG499" s="21">
        <v>1</v>
      </c>
      <c r="AH499" s="21">
        <v>0</v>
      </c>
      <c r="AI499" s="21">
        <v>1</v>
      </c>
      <c r="AJ499" s="21">
        <v>1</v>
      </c>
      <c r="AK499" s="21">
        <v>0</v>
      </c>
      <c r="AL499" s="21">
        <v>0</v>
      </c>
      <c r="AM499" s="21">
        <v>1</v>
      </c>
      <c r="AN499" s="21">
        <v>1</v>
      </c>
      <c r="AO499" s="21">
        <v>1</v>
      </c>
      <c r="AP499" s="21">
        <v>1</v>
      </c>
      <c r="AQ499" s="21">
        <v>0</v>
      </c>
      <c r="AR499" s="21">
        <v>1</v>
      </c>
      <c r="AS499" s="21">
        <v>1</v>
      </c>
      <c r="AT499" s="21">
        <v>1</v>
      </c>
      <c r="AU499" s="21">
        <v>1</v>
      </c>
      <c r="AV499" s="21">
        <v>1</v>
      </c>
      <c r="AW499" s="21">
        <v>1</v>
      </c>
      <c r="AX499" s="21">
        <v>1</v>
      </c>
      <c r="AY499" s="21">
        <v>1</v>
      </c>
      <c r="AZ499" s="21">
        <v>1</v>
      </c>
      <c r="BA499" s="21">
        <v>1</v>
      </c>
      <c r="BB499" s="21">
        <v>1</v>
      </c>
      <c r="BC499" s="21">
        <v>1</v>
      </c>
      <c r="BD499" s="21">
        <v>1</v>
      </c>
      <c r="BE499" s="21">
        <v>1</v>
      </c>
      <c r="BF499" s="21">
        <v>0</v>
      </c>
      <c r="BG499" s="21">
        <v>0</v>
      </c>
      <c r="BH499" s="21">
        <v>0</v>
      </c>
      <c r="BI499" s="21">
        <v>1</v>
      </c>
      <c r="BJ499" s="21">
        <v>0</v>
      </c>
      <c r="BK499" s="21">
        <v>0</v>
      </c>
      <c r="BL499" s="21">
        <v>0</v>
      </c>
      <c r="BM499" s="21">
        <v>0</v>
      </c>
      <c r="BN499" s="21">
        <v>0</v>
      </c>
      <c r="BO499" s="21">
        <v>0</v>
      </c>
      <c r="BP499" s="21">
        <v>0</v>
      </c>
      <c r="BQ499" s="21">
        <v>0</v>
      </c>
      <c r="BR499" s="21">
        <v>1</v>
      </c>
      <c r="BS499" s="21">
        <v>0</v>
      </c>
    </row>
    <row r="500" spans="1:71">
      <c r="A500" s="1" t="s">
        <v>5066</v>
      </c>
      <c r="B500">
        <v>44</v>
      </c>
      <c r="C500">
        <v>306</v>
      </c>
      <c r="D500" s="21">
        <v>2018</v>
      </c>
      <c r="E500" s="23">
        <v>-1.57</v>
      </c>
      <c r="F500">
        <v>0.01</v>
      </c>
      <c r="G500" s="14">
        <f t="shared" si="30"/>
        <v>-157</v>
      </c>
      <c r="H500" s="27">
        <v>0</v>
      </c>
      <c r="I500" s="21">
        <v>1</v>
      </c>
      <c r="J500" s="21">
        <v>80964</v>
      </c>
      <c r="K500" s="21">
        <v>1</v>
      </c>
      <c r="L500" s="21">
        <v>0</v>
      </c>
      <c r="M500" s="21">
        <v>0</v>
      </c>
      <c r="N500" s="21">
        <v>0</v>
      </c>
      <c r="O500" s="21">
        <v>0</v>
      </c>
      <c r="P500">
        <v>0</v>
      </c>
      <c r="Q500" s="21">
        <v>0</v>
      </c>
      <c r="R500" s="21">
        <v>0</v>
      </c>
      <c r="S500" s="21">
        <v>1</v>
      </c>
      <c r="T500" s="21">
        <v>1</v>
      </c>
      <c r="U500" s="21">
        <v>1995</v>
      </c>
      <c r="V500" s="21">
        <v>2015</v>
      </c>
      <c r="W500">
        <f t="shared" si="28"/>
        <v>2005</v>
      </c>
      <c r="X500" s="21">
        <v>1</v>
      </c>
      <c r="Y500" s="21">
        <v>0</v>
      </c>
      <c r="Z500" s="21">
        <v>1</v>
      </c>
      <c r="AA500" s="21">
        <v>0</v>
      </c>
      <c r="AB500" s="21">
        <v>0</v>
      </c>
      <c r="AC500" s="21">
        <v>0</v>
      </c>
      <c r="AD500" s="21">
        <v>0</v>
      </c>
      <c r="AE500" s="21">
        <v>0</v>
      </c>
      <c r="AF500" s="21">
        <v>1</v>
      </c>
      <c r="AG500" s="21">
        <v>1</v>
      </c>
      <c r="AH500" s="21">
        <v>0</v>
      </c>
      <c r="AI500" s="21">
        <v>0</v>
      </c>
      <c r="AJ500" s="21">
        <v>0</v>
      </c>
      <c r="AK500" s="21">
        <v>1</v>
      </c>
      <c r="AL500" s="21">
        <v>1</v>
      </c>
      <c r="AM500" s="21">
        <v>0</v>
      </c>
      <c r="AN500" s="21">
        <v>1</v>
      </c>
      <c r="AO500" s="21">
        <v>1</v>
      </c>
      <c r="AP500" s="21">
        <v>1</v>
      </c>
      <c r="AQ500" s="21">
        <v>0</v>
      </c>
      <c r="AR500" s="21">
        <v>1</v>
      </c>
      <c r="AS500" s="21">
        <v>1</v>
      </c>
      <c r="AT500" s="21">
        <v>1</v>
      </c>
      <c r="AU500" s="21">
        <v>1</v>
      </c>
      <c r="AV500" s="21">
        <v>1</v>
      </c>
      <c r="AW500" s="21">
        <v>1</v>
      </c>
      <c r="AX500" s="21">
        <v>1</v>
      </c>
      <c r="AY500" s="21">
        <v>1</v>
      </c>
      <c r="AZ500" s="21">
        <v>1</v>
      </c>
      <c r="BA500" s="21">
        <v>1</v>
      </c>
      <c r="BB500" s="21">
        <v>1</v>
      </c>
      <c r="BC500" s="21">
        <v>1</v>
      </c>
      <c r="BD500" s="21">
        <v>1</v>
      </c>
      <c r="BE500" s="21">
        <v>1</v>
      </c>
      <c r="BF500" s="21">
        <v>0</v>
      </c>
      <c r="BG500" s="21">
        <v>0</v>
      </c>
      <c r="BH500" s="21">
        <v>0</v>
      </c>
      <c r="BI500" s="21">
        <v>1</v>
      </c>
      <c r="BJ500" s="21">
        <v>0</v>
      </c>
      <c r="BK500" s="21">
        <v>0</v>
      </c>
      <c r="BL500" s="21">
        <v>0</v>
      </c>
      <c r="BM500" s="21">
        <v>0</v>
      </c>
      <c r="BN500" s="21">
        <v>0</v>
      </c>
      <c r="BO500" s="21">
        <v>0</v>
      </c>
      <c r="BP500" s="21">
        <v>0</v>
      </c>
      <c r="BQ500" s="21">
        <v>0</v>
      </c>
      <c r="BR500" s="21">
        <v>1</v>
      </c>
      <c r="BS500" s="21">
        <v>0</v>
      </c>
    </row>
    <row r="501" spans="1:71">
      <c r="A501" s="1" t="s">
        <v>5066</v>
      </c>
      <c r="B501">
        <v>44</v>
      </c>
      <c r="C501">
        <v>307</v>
      </c>
      <c r="D501" s="21">
        <v>2018</v>
      </c>
      <c r="E501" s="23">
        <v>-1.7</v>
      </c>
      <c r="F501">
        <v>0.02</v>
      </c>
      <c r="G501" s="14">
        <f t="shared" si="30"/>
        <v>-85</v>
      </c>
      <c r="H501" s="27">
        <v>0</v>
      </c>
      <c r="I501" s="21">
        <v>1</v>
      </c>
      <c r="J501" s="21">
        <v>30597</v>
      </c>
      <c r="K501" s="21">
        <v>1</v>
      </c>
      <c r="L501" s="21">
        <v>0</v>
      </c>
      <c r="M501" s="21">
        <v>0</v>
      </c>
      <c r="N501" s="21">
        <v>0</v>
      </c>
      <c r="O501" s="21">
        <v>0</v>
      </c>
      <c r="P501">
        <v>0</v>
      </c>
      <c r="Q501" s="21">
        <v>0</v>
      </c>
      <c r="R501" s="21">
        <v>0</v>
      </c>
      <c r="S501" s="21">
        <v>1</v>
      </c>
      <c r="T501" s="21">
        <v>1</v>
      </c>
      <c r="U501" s="21">
        <v>1995</v>
      </c>
      <c r="V501" s="21">
        <v>2015</v>
      </c>
      <c r="W501">
        <f t="shared" si="28"/>
        <v>2005</v>
      </c>
      <c r="X501" s="21">
        <v>1</v>
      </c>
      <c r="Y501" s="21">
        <v>0</v>
      </c>
      <c r="Z501" s="21">
        <v>1</v>
      </c>
      <c r="AA501" s="21">
        <v>0</v>
      </c>
      <c r="AB501" s="21">
        <v>0</v>
      </c>
      <c r="AC501" s="21">
        <v>0</v>
      </c>
      <c r="AD501" s="21">
        <v>0</v>
      </c>
      <c r="AE501" s="21">
        <v>0</v>
      </c>
      <c r="AF501" s="21">
        <v>1</v>
      </c>
      <c r="AG501" s="21">
        <v>1</v>
      </c>
      <c r="AH501" s="21">
        <v>1</v>
      </c>
      <c r="AI501" s="21">
        <v>0</v>
      </c>
      <c r="AJ501" s="21">
        <v>0</v>
      </c>
      <c r="AK501" s="21">
        <v>0</v>
      </c>
      <c r="AL501" s="21">
        <v>0</v>
      </c>
      <c r="AM501" s="21">
        <v>0</v>
      </c>
      <c r="AN501" s="21">
        <v>1</v>
      </c>
      <c r="AO501" s="21">
        <v>1</v>
      </c>
      <c r="AP501" s="21">
        <v>1</v>
      </c>
      <c r="AQ501" s="21">
        <v>0</v>
      </c>
      <c r="AR501" s="21">
        <v>1</v>
      </c>
      <c r="AS501" s="21">
        <v>1</v>
      </c>
      <c r="AT501" s="21">
        <v>1</v>
      </c>
      <c r="AU501" s="21">
        <v>1</v>
      </c>
      <c r="AV501" s="21">
        <v>1</v>
      </c>
      <c r="AW501" s="21">
        <v>1</v>
      </c>
      <c r="AX501" s="21">
        <v>1</v>
      </c>
      <c r="AY501" s="21">
        <v>1</v>
      </c>
      <c r="AZ501" s="21">
        <v>1</v>
      </c>
      <c r="BA501" s="21">
        <v>1</v>
      </c>
      <c r="BB501" s="21">
        <v>1</v>
      </c>
      <c r="BC501" s="21">
        <v>1</v>
      </c>
      <c r="BD501" s="21">
        <v>1</v>
      </c>
      <c r="BE501" s="21">
        <v>1</v>
      </c>
      <c r="BF501" s="21">
        <v>0</v>
      </c>
      <c r="BG501" s="21">
        <v>0</v>
      </c>
      <c r="BH501" s="21">
        <v>0</v>
      </c>
      <c r="BI501" s="21">
        <v>1</v>
      </c>
      <c r="BJ501" s="21">
        <v>0</v>
      </c>
      <c r="BK501" s="21">
        <v>0</v>
      </c>
      <c r="BL501" s="21">
        <v>0</v>
      </c>
      <c r="BM501" s="21">
        <v>0</v>
      </c>
      <c r="BN501" s="21">
        <v>0</v>
      </c>
      <c r="BO501" s="21">
        <v>0</v>
      </c>
      <c r="BP501" s="21">
        <v>0</v>
      </c>
      <c r="BQ501" s="21">
        <v>0</v>
      </c>
      <c r="BR501" s="21">
        <v>1</v>
      </c>
      <c r="BS501" s="21">
        <v>0</v>
      </c>
    </row>
    <row r="502" spans="1:71">
      <c r="A502" s="1" t="s">
        <v>4937</v>
      </c>
      <c r="B502">
        <v>57</v>
      </c>
      <c r="C502">
        <v>377</v>
      </c>
      <c r="D502">
        <v>2018</v>
      </c>
      <c r="E502">
        <v>-1.4139999999999999</v>
      </c>
      <c r="F502">
        <v>0.02</v>
      </c>
      <c r="G502">
        <f t="shared" si="30"/>
        <v>-70.699999999999989</v>
      </c>
      <c r="H502" s="27">
        <v>0</v>
      </c>
      <c r="I502">
        <v>1</v>
      </c>
      <c r="J502">
        <v>178537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 s="21">
        <v>0</v>
      </c>
      <c r="S502">
        <v>0</v>
      </c>
      <c r="T502">
        <v>1</v>
      </c>
      <c r="U502">
        <v>1995</v>
      </c>
      <c r="V502">
        <v>2013</v>
      </c>
      <c r="W502">
        <f t="shared" si="28"/>
        <v>2004</v>
      </c>
      <c r="X502">
        <v>1</v>
      </c>
      <c r="Y502">
        <v>0</v>
      </c>
      <c r="Z502">
        <v>1</v>
      </c>
      <c r="AA502">
        <v>0</v>
      </c>
      <c r="AB502">
        <v>0</v>
      </c>
      <c r="AC502">
        <v>0</v>
      </c>
      <c r="AD502" s="21">
        <v>0</v>
      </c>
      <c r="AE502">
        <v>0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 s="21">
        <v>1</v>
      </c>
      <c r="AO502" s="21">
        <v>1</v>
      </c>
      <c r="AP502" s="21">
        <v>1</v>
      </c>
      <c r="AQ502">
        <v>0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 s="21">
        <v>1</v>
      </c>
      <c r="BA502" s="21">
        <v>1</v>
      </c>
      <c r="BB502" s="21">
        <v>1</v>
      </c>
      <c r="BC502">
        <v>1</v>
      </c>
      <c r="BD502">
        <v>1</v>
      </c>
      <c r="BE502">
        <v>1</v>
      </c>
      <c r="BF502">
        <v>0</v>
      </c>
      <c r="BG502" s="21">
        <v>0</v>
      </c>
      <c r="BH502">
        <v>1</v>
      </c>
      <c r="BI502" s="21">
        <v>0</v>
      </c>
      <c r="BJ502" s="21">
        <v>0</v>
      </c>
      <c r="BK502" s="21">
        <v>1</v>
      </c>
      <c r="BL502" s="21">
        <v>0</v>
      </c>
      <c r="BM502" s="21">
        <v>1</v>
      </c>
      <c r="BN502" s="21">
        <v>0</v>
      </c>
      <c r="BO502" s="21">
        <v>0</v>
      </c>
      <c r="BP502" s="21">
        <v>0</v>
      </c>
      <c r="BQ502" s="21">
        <v>0</v>
      </c>
      <c r="BR502" s="21">
        <v>0</v>
      </c>
      <c r="BS502" s="21">
        <v>1</v>
      </c>
    </row>
    <row r="503" spans="1:71">
      <c r="A503" s="1" t="s">
        <v>4937</v>
      </c>
      <c r="B503">
        <v>57</v>
      </c>
      <c r="C503">
        <v>378</v>
      </c>
      <c r="D503">
        <v>2018</v>
      </c>
      <c r="E503">
        <v>-1.415</v>
      </c>
      <c r="F503">
        <v>0.02</v>
      </c>
      <c r="G503">
        <f t="shared" si="30"/>
        <v>-70.75</v>
      </c>
      <c r="H503" s="27">
        <v>0</v>
      </c>
      <c r="I503">
        <v>1</v>
      </c>
      <c r="J503">
        <v>178537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 s="21">
        <v>0</v>
      </c>
      <c r="S503">
        <v>0</v>
      </c>
      <c r="T503">
        <v>1</v>
      </c>
      <c r="U503">
        <v>1995</v>
      </c>
      <c r="V503">
        <v>2013</v>
      </c>
      <c r="W503">
        <f t="shared" si="28"/>
        <v>2004</v>
      </c>
      <c r="X503">
        <v>1</v>
      </c>
      <c r="Y503">
        <v>0</v>
      </c>
      <c r="Z503">
        <v>1</v>
      </c>
      <c r="AA503">
        <v>0</v>
      </c>
      <c r="AB503">
        <v>0</v>
      </c>
      <c r="AC503">
        <v>0</v>
      </c>
      <c r="AD503" s="21">
        <v>0</v>
      </c>
      <c r="AE503">
        <v>0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 s="21">
        <v>1</v>
      </c>
      <c r="AO503" s="21">
        <v>1</v>
      </c>
      <c r="AP503" s="21">
        <v>1</v>
      </c>
      <c r="AQ503">
        <v>0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 s="21">
        <v>1</v>
      </c>
      <c r="BA503" s="21">
        <v>1</v>
      </c>
      <c r="BB503" s="21">
        <v>1</v>
      </c>
      <c r="BC503">
        <v>1</v>
      </c>
      <c r="BD503">
        <v>1</v>
      </c>
      <c r="BE503">
        <v>1</v>
      </c>
      <c r="BF503">
        <v>0</v>
      </c>
      <c r="BG503" s="21">
        <v>0</v>
      </c>
      <c r="BH503">
        <v>1</v>
      </c>
      <c r="BI503" s="21">
        <v>0</v>
      </c>
      <c r="BJ503" s="21">
        <v>0</v>
      </c>
      <c r="BK503" s="21">
        <v>1</v>
      </c>
      <c r="BL503" s="21">
        <v>0</v>
      </c>
      <c r="BM503" s="21">
        <v>1</v>
      </c>
      <c r="BN503" s="21">
        <v>0</v>
      </c>
      <c r="BO503" s="21">
        <v>0</v>
      </c>
      <c r="BP503" s="21">
        <v>0</v>
      </c>
      <c r="BQ503" s="21">
        <v>0</v>
      </c>
      <c r="BR503" s="21">
        <v>0</v>
      </c>
      <c r="BS503" s="21">
        <v>1</v>
      </c>
    </row>
    <row r="504" spans="1:71">
      <c r="A504" s="1" t="s">
        <v>4803</v>
      </c>
      <c r="B504">
        <v>65</v>
      </c>
      <c r="C504">
        <v>421</v>
      </c>
      <c r="D504">
        <v>2018</v>
      </c>
      <c r="E504">
        <v>-1.02</v>
      </c>
      <c r="F504">
        <v>0.04</v>
      </c>
      <c r="G504">
        <f t="shared" si="30"/>
        <v>-25.5</v>
      </c>
      <c r="H504" s="27">
        <v>0</v>
      </c>
      <c r="I504">
        <v>1</v>
      </c>
      <c r="J504">
        <v>2562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1</v>
      </c>
      <c r="U504">
        <v>1995</v>
      </c>
      <c r="V504">
        <v>2013</v>
      </c>
      <c r="W504">
        <f t="shared" si="28"/>
        <v>2004</v>
      </c>
      <c r="X504">
        <v>0</v>
      </c>
      <c r="Y504">
        <v>1</v>
      </c>
      <c r="Z504">
        <v>1</v>
      </c>
      <c r="AA504">
        <v>0</v>
      </c>
      <c r="AB504">
        <v>0</v>
      </c>
      <c r="AC504">
        <v>0</v>
      </c>
      <c r="AD504" s="21">
        <v>0</v>
      </c>
      <c r="AE504">
        <v>0</v>
      </c>
      <c r="AF504">
        <v>0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 s="21">
        <v>1</v>
      </c>
      <c r="AO504" s="21">
        <v>1</v>
      </c>
      <c r="AP504" s="21">
        <v>1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1</v>
      </c>
      <c r="AZ504" s="21">
        <v>0</v>
      </c>
      <c r="BA504" s="21">
        <v>1</v>
      </c>
      <c r="BB504" s="21">
        <v>1</v>
      </c>
      <c r="BC504">
        <v>1</v>
      </c>
      <c r="BD504">
        <v>1</v>
      </c>
      <c r="BE504">
        <v>1</v>
      </c>
      <c r="BF504">
        <v>1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0</v>
      </c>
      <c r="BM504">
        <v>0</v>
      </c>
      <c r="BN504">
        <v>1</v>
      </c>
      <c r="BO504">
        <v>0</v>
      </c>
      <c r="BP504">
        <v>1</v>
      </c>
      <c r="BQ504">
        <v>1</v>
      </c>
      <c r="BR504" s="21">
        <v>0</v>
      </c>
      <c r="BS504" s="21">
        <v>0</v>
      </c>
    </row>
    <row r="505" spans="1:71">
      <c r="A505" s="18" t="s">
        <v>4803</v>
      </c>
      <c r="B505">
        <v>65</v>
      </c>
      <c r="C505">
        <v>422</v>
      </c>
      <c r="D505">
        <v>2018</v>
      </c>
      <c r="E505">
        <v>-0.97</v>
      </c>
      <c r="F505">
        <v>0.04</v>
      </c>
      <c r="G505">
        <f t="shared" si="30"/>
        <v>-24.25</v>
      </c>
      <c r="H505" s="27">
        <v>0</v>
      </c>
      <c r="I505">
        <v>1</v>
      </c>
      <c r="J505">
        <v>2562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1</v>
      </c>
      <c r="U505">
        <v>1995</v>
      </c>
      <c r="V505">
        <v>2013</v>
      </c>
      <c r="W505">
        <f t="shared" si="28"/>
        <v>2004</v>
      </c>
      <c r="X505">
        <v>0</v>
      </c>
      <c r="Y505">
        <v>1</v>
      </c>
      <c r="Z505">
        <v>1</v>
      </c>
      <c r="AA505">
        <v>0</v>
      </c>
      <c r="AB505">
        <v>0</v>
      </c>
      <c r="AC505">
        <v>0</v>
      </c>
      <c r="AD505" s="21">
        <v>0</v>
      </c>
      <c r="AE505">
        <v>0</v>
      </c>
      <c r="AF505">
        <v>0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 s="21">
        <v>1</v>
      </c>
      <c r="AO505" s="21">
        <v>1</v>
      </c>
      <c r="AP505" s="21">
        <v>1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1</v>
      </c>
      <c r="AZ505" s="21">
        <v>0</v>
      </c>
      <c r="BA505" s="21">
        <v>1</v>
      </c>
      <c r="BB505" s="21">
        <v>1</v>
      </c>
      <c r="BC505">
        <v>1</v>
      </c>
      <c r="BD505">
        <v>1</v>
      </c>
      <c r="BE505">
        <v>1</v>
      </c>
      <c r="BF505">
        <v>1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0</v>
      </c>
      <c r="BM505">
        <v>0</v>
      </c>
      <c r="BN505">
        <v>1</v>
      </c>
      <c r="BO505">
        <v>0</v>
      </c>
      <c r="BP505">
        <v>1</v>
      </c>
      <c r="BQ505">
        <v>1</v>
      </c>
      <c r="BR505" s="21">
        <v>0</v>
      </c>
      <c r="BS505" s="21">
        <v>0</v>
      </c>
    </row>
    <row r="506" spans="1:71">
      <c r="A506" s="18" t="s">
        <v>4803</v>
      </c>
      <c r="B506">
        <v>65</v>
      </c>
      <c r="C506">
        <v>423</v>
      </c>
      <c r="D506">
        <v>2018</v>
      </c>
      <c r="E506">
        <v>-1.08</v>
      </c>
      <c r="F506">
        <v>0.04</v>
      </c>
      <c r="G506">
        <f t="shared" si="30"/>
        <v>-27</v>
      </c>
      <c r="H506" s="27">
        <v>0</v>
      </c>
      <c r="I506">
        <v>1</v>
      </c>
      <c r="J506">
        <v>2562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1</v>
      </c>
      <c r="U506">
        <v>1995</v>
      </c>
      <c r="V506">
        <v>2013</v>
      </c>
      <c r="W506">
        <f t="shared" si="28"/>
        <v>2004</v>
      </c>
      <c r="X506">
        <v>0</v>
      </c>
      <c r="Y506">
        <v>1</v>
      </c>
      <c r="Z506">
        <v>1</v>
      </c>
      <c r="AA506">
        <v>0</v>
      </c>
      <c r="AB506">
        <v>0</v>
      </c>
      <c r="AC506">
        <v>0</v>
      </c>
      <c r="AD506" s="21">
        <v>0</v>
      </c>
      <c r="AE506">
        <v>0</v>
      </c>
      <c r="AF506">
        <v>0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 s="21">
        <v>1</v>
      </c>
      <c r="AO506" s="21">
        <v>1</v>
      </c>
      <c r="AP506" s="21">
        <v>1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</v>
      </c>
      <c r="AZ506" s="21">
        <v>0</v>
      </c>
      <c r="BA506" s="21">
        <v>1</v>
      </c>
      <c r="BB506" s="21">
        <v>1</v>
      </c>
      <c r="BC506">
        <v>1</v>
      </c>
      <c r="BD506">
        <v>1</v>
      </c>
      <c r="BE506">
        <v>1</v>
      </c>
      <c r="BF506">
        <v>1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0</v>
      </c>
      <c r="BM506">
        <v>0</v>
      </c>
      <c r="BN506">
        <v>1</v>
      </c>
      <c r="BO506">
        <v>0</v>
      </c>
      <c r="BP506">
        <v>1</v>
      </c>
      <c r="BQ506">
        <v>1</v>
      </c>
      <c r="BR506" s="21">
        <v>0</v>
      </c>
      <c r="BS506" s="21">
        <v>0</v>
      </c>
    </row>
    <row r="507" spans="1:71">
      <c r="A507" s="18" t="s">
        <v>4803</v>
      </c>
      <c r="B507">
        <v>65</v>
      </c>
      <c r="C507">
        <v>424</v>
      </c>
      <c r="D507">
        <v>2018</v>
      </c>
      <c r="E507">
        <v>-1.01</v>
      </c>
      <c r="F507">
        <v>0.05</v>
      </c>
      <c r="G507">
        <f t="shared" si="30"/>
        <v>-20.2</v>
      </c>
      <c r="H507" s="27">
        <v>0</v>
      </c>
      <c r="I507">
        <v>1</v>
      </c>
      <c r="J507">
        <v>2562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1</v>
      </c>
      <c r="U507">
        <v>1995</v>
      </c>
      <c r="V507">
        <v>2013</v>
      </c>
      <c r="W507">
        <f t="shared" si="28"/>
        <v>2004</v>
      </c>
      <c r="X507">
        <v>0</v>
      </c>
      <c r="Y507">
        <v>1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 s="21">
        <v>1</v>
      </c>
      <c r="AO507" s="21">
        <v>1</v>
      </c>
      <c r="AP507" s="21">
        <v>1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</v>
      </c>
      <c r="AZ507" s="21">
        <v>0</v>
      </c>
      <c r="BA507" s="21">
        <v>1</v>
      </c>
      <c r="BB507" s="21">
        <v>1</v>
      </c>
      <c r="BC507">
        <v>1</v>
      </c>
      <c r="BD507">
        <v>1</v>
      </c>
      <c r="BE507">
        <v>1</v>
      </c>
      <c r="BF507">
        <v>1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0</v>
      </c>
      <c r="BM507">
        <v>0</v>
      </c>
      <c r="BN507">
        <v>1</v>
      </c>
      <c r="BO507">
        <v>0</v>
      </c>
      <c r="BP507">
        <v>1</v>
      </c>
      <c r="BQ507">
        <v>1</v>
      </c>
      <c r="BR507" s="21">
        <v>0</v>
      </c>
      <c r="BS507" s="21">
        <v>0</v>
      </c>
    </row>
    <row r="508" spans="1:71">
      <c r="A508" s="18" t="s">
        <v>5035</v>
      </c>
      <c r="B508">
        <v>76</v>
      </c>
      <c r="C508">
        <v>490</v>
      </c>
      <c r="D508">
        <v>2018</v>
      </c>
      <c r="E508">
        <v>-1.3029999999999999</v>
      </c>
      <c r="F508">
        <v>3.5000000000000003E-2</v>
      </c>
      <c r="G508">
        <f t="shared" si="30"/>
        <v>-37.228571428571421</v>
      </c>
      <c r="H508" s="27">
        <v>0</v>
      </c>
      <c r="I508">
        <v>1</v>
      </c>
      <c r="J508">
        <v>4319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2010</v>
      </c>
      <c r="V508">
        <v>2010</v>
      </c>
      <c r="W508">
        <f t="shared" si="28"/>
        <v>2010</v>
      </c>
      <c r="X508">
        <v>1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 s="21">
        <v>1</v>
      </c>
      <c r="AO508" s="21">
        <v>1</v>
      </c>
      <c r="AP508" s="21">
        <v>1</v>
      </c>
      <c r="AQ508">
        <v>0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 s="21">
        <v>1</v>
      </c>
      <c r="BA508" s="21">
        <v>1</v>
      </c>
      <c r="BB508" s="21">
        <v>1</v>
      </c>
      <c r="BC508">
        <v>1</v>
      </c>
      <c r="BD508">
        <v>1</v>
      </c>
      <c r="BE508">
        <v>1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 s="21">
        <v>0</v>
      </c>
      <c r="BS508" s="21">
        <v>0</v>
      </c>
    </row>
    <row r="509" spans="1:71">
      <c r="A509" s="1" t="s">
        <v>5035</v>
      </c>
      <c r="B509">
        <v>76</v>
      </c>
      <c r="C509">
        <v>491</v>
      </c>
      <c r="D509">
        <v>2018</v>
      </c>
      <c r="E509">
        <v>-1.028</v>
      </c>
      <c r="F509">
        <v>6.5000000000000002E-2</v>
      </c>
      <c r="G509">
        <f t="shared" si="30"/>
        <v>-15.815384615384616</v>
      </c>
      <c r="H509" s="27">
        <v>0</v>
      </c>
      <c r="I509">
        <v>1</v>
      </c>
      <c r="J509">
        <v>4319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2010</v>
      </c>
      <c r="V509">
        <v>2010</v>
      </c>
      <c r="W509">
        <f t="shared" si="28"/>
        <v>2010</v>
      </c>
      <c r="X509">
        <v>1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 s="21">
        <v>1</v>
      </c>
      <c r="AO509" s="21">
        <v>1</v>
      </c>
      <c r="AP509" s="21">
        <v>1</v>
      </c>
      <c r="AQ509">
        <v>0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 s="21">
        <v>1</v>
      </c>
      <c r="BA509" s="21">
        <v>1</v>
      </c>
      <c r="BB509" s="21">
        <v>1</v>
      </c>
      <c r="BC509">
        <v>1</v>
      </c>
      <c r="BD509">
        <v>1</v>
      </c>
      <c r="BE509">
        <v>1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 s="21">
        <v>0</v>
      </c>
      <c r="BS509" s="21">
        <v>0</v>
      </c>
    </row>
    <row r="510" spans="1:71">
      <c r="A510" s="1" t="s">
        <v>5035</v>
      </c>
      <c r="B510">
        <v>76</v>
      </c>
      <c r="C510">
        <v>492</v>
      </c>
      <c r="D510">
        <v>2018</v>
      </c>
      <c r="E510">
        <v>-0.99399999999999999</v>
      </c>
      <c r="F510">
        <v>7.6999999999999999E-2</v>
      </c>
      <c r="G510">
        <f t="shared" si="30"/>
        <v>-12.90909090909091</v>
      </c>
      <c r="H510" s="27">
        <v>0</v>
      </c>
      <c r="I510">
        <v>1</v>
      </c>
      <c r="J510">
        <v>4319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2010</v>
      </c>
      <c r="V510">
        <v>2010</v>
      </c>
      <c r="W510">
        <f t="shared" si="28"/>
        <v>2010</v>
      </c>
      <c r="X510">
        <v>1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 s="21">
        <v>1</v>
      </c>
      <c r="AO510" s="21">
        <v>1</v>
      </c>
      <c r="AP510" s="21">
        <v>1</v>
      </c>
      <c r="AQ510">
        <v>0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 s="21">
        <v>1</v>
      </c>
      <c r="BA510" s="21">
        <v>1</v>
      </c>
      <c r="BB510" s="21">
        <v>1</v>
      </c>
      <c r="BC510">
        <v>1</v>
      </c>
      <c r="BD510">
        <v>1</v>
      </c>
      <c r="BE510">
        <v>1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 s="21">
        <v>0</v>
      </c>
      <c r="BS510" s="21">
        <v>0</v>
      </c>
    </row>
    <row r="511" spans="1:71">
      <c r="A511" s="1" t="s">
        <v>5035</v>
      </c>
      <c r="B511">
        <v>76</v>
      </c>
      <c r="C511">
        <v>493</v>
      </c>
      <c r="D511">
        <v>2018</v>
      </c>
      <c r="E511">
        <v>-1.3879999999999999</v>
      </c>
      <c r="F511">
        <v>3.6999999999999998E-2</v>
      </c>
      <c r="G511">
        <f t="shared" si="30"/>
        <v>-37.513513513513516</v>
      </c>
      <c r="H511" s="27">
        <v>0</v>
      </c>
      <c r="I511">
        <v>1</v>
      </c>
      <c r="J511">
        <v>4319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2005</v>
      </c>
      <c r="V511">
        <v>2005</v>
      </c>
      <c r="W511">
        <f t="shared" si="28"/>
        <v>2005</v>
      </c>
      <c r="X511">
        <v>1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 s="21">
        <v>1</v>
      </c>
      <c r="AO511" s="21">
        <v>1</v>
      </c>
      <c r="AP511" s="21">
        <v>1</v>
      </c>
      <c r="AQ511">
        <v>0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 s="21">
        <v>1</v>
      </c>
      <c r="BA511" s="21">
        <v>1</v>
      </c>
      <c r="BB511" s="21">
        <v>1</v>
      </c>
      <c r="BC511">
        <v>1</v>
      </c>
      <c r="BD511">
        <v>1</v>
      </c>
      <c r="BE511">
        <v>1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 s="21">
        <v>0</v>
      </c>
      <c r="BS511" s="21">
        <v>0</v>
      </c>
    </row>
    <row r="512" spans="1:71">
      <c r="A512" s="1" t="s">
        <v>5035</v>
      </c>
      <c r="B512">
        <v>76</v>
      </c>
      <c r="C512">
        <v>494</v>
      </c>
      <c r="D512">
        <v>2018</v>
      </c>
      <c r="E512">
        <v>-1.3779999999999999</v>
      </c>
      <c r="F512">
        <v>3.6999999999999998E-2</v>
      </c>
      <c r="G512">
        <f t="shared" si="30"/>
        <v>-37.243243243243242</v>
      </c>
      <c r="H512" s="27">
        <v>0</v>
      </c>
      <c r="I512">
        <v>1</v>
      </c>
      <c r="J512">
        <v>4319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2010</v>
      </c>
      <c r="V512">
        <v>2010</v>
      </c>
      <c r="W512">
        <f t="shared" si="28"/>
        <v>2010</v>
      </c>
      <c r="X512">
        <v>1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 s="21">
        <v>1</v>
      </c>
      <c r="AO512" s="21">
        <v>1</v>
      </c>
      <c r="AP512" s="21">
        <v>1</v>
      </c>
      <c r="AQ512">
        <v>0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 s="21">
        <v>1</v>
      </c>
      <c r="BA512" s="21">
        <v>1</v>
      </c>
      <c r="BB512" s="21">
        <v>1</v>
      </c>
      <c r="BC512">
        <v>1</v>
      </c>
      <c r="BD512">
        <v>1</v>
      </c>
      <c r="BE512">
        <v>1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 s="21">
        <v>0</v>
      </c>
      <c r="BS512" s="21">
        <v>0</v>
      </c>
    </row>
    <row r="513" spans="1:71">
      <c r="A513" s="1" t="s">
        <v>5035</v>
      </c>
      <c r="B513">
        <v>76</v>
      </c>
      <c r="C513">
        <v>495</v>
      </c>
      <c r="D513">
        <v>2018</v>
      </c>
      <c r="E513">
        <v>-1.3080000000000001</v>
      </c>
      <c r="F513">
        <v>3.5000000000000003E-2</v>
      </c>
      <c r="G513">
        <f t="shared" si="30"/>
        <v>-37.371428571428567</v>
      </c>
      <c r="H513" s="27">
        <v>0</v>
      </c>
      <c r="I513">
        <v>1</v>
      </c>
      <c r="J513">
        <v>4319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2005</v>
      </c>
      <c r="V513">
        <v>2005</v>
      </c>
      <c r="W513">
        <f t="shared" si="28"/>
        <v>2005</v>
      </c>
      <c r="X513">
        <v>1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 s="21">
        <v>1</v>
      </c>
      <c r="AO513" s="21">
        <v>1</v>
      </c>
      <c r="AP513" s="21">
        <v>1</v>
      </c>
      <c r="AQ513">
        <v>0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 s="21">
        <v>1</v>
      </c>
      <c r="BA513" s="21">
        <v>1</v>
      </c>
      <c r="BB513" s="21">
        <v>1</v>
      </c>
      <c r="BC513">
        <v>1</v>
      </c>
      <c r="BD513">
        <v>1</v>
      </c>
      <c r="BE513">
        <v>1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 s="21">
        <v>0</v>
      </c>
      <c r="BS513" s="21">
        <v>0</v>
      </c>
    </row>
    <row r="514" spans="1:71">
      <c r="A514" s="18" t="s">
        <v>5035</v>
      </c>
      <c r="B514">
        <v>76</v>
      </c>
      <c r="C514">
        <v>496</v>
      </c>
      <c r="D514">
        <v>2018</v>
      </c>
      <c r="E514">
        <v>-1.2989999999999999</v>
      </c>
      <c r="F514">
        <v>3.5999999999999997E-2</v>
      </c>
      <c r="G514">
        <f t="shared" si="30"/>
        <v>-36.083333333333336</v>
      </c>
      <c r="H514" s="27">
        <v>0</v>
      </c>
      <c r="I514">
        <v>1</v>
      </c>
      <c r="J514">
        <v>4319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2010</v>
      </c>
      <c r="V514">
        <v>2010</v>
      </c>
      <c r="W514">
        <f t="shared" ref="W514:W577" si="31">ROUND(AVERAGE(U514:V514), 0)</f>
        <v>2010</v>
      </c>
      <c r="X514">
        <v>1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 s="21">
        <v>1</v>
      </c>
      <c r="AO514" s="21">
        <v>1</v>
      </c>
      <c r="AP514" s="21">
        <v>1</v>
      </c>
      <c r="AQ514">
        <v>0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 s="21">
        <v>1</v>
      </c>
      <c r="BA514" s="21">
        <v>1</v>
      </c>
      <c r="BB514" s="21">
        <v>1</v>
      </c>
      <c r="BC514">
        <v>1</v>
      </c>
      <c r="BD514">
        <v>1</v>
      </c>
      <c r="BE514">
        <v>1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 s="21">
        <v>0</v>
      </c>
      <c r="BS514" s="21">
        <v>0</v>
      </c>
    </row>
    <row r="515" spans="1:71">
      <c r="A515" s="18" t="s">
        <v>5035</v>
      </c>
      <c r="B515">
        <v>76</v>
      </c>
      <c r="C515">
        <v>497</v>
      </c>
      <c r="D515">
        <v>2018</v>
      </c>
      <c r="E515">
        <v>-1.0549999999999999</v>
      </c>
      <c r="F515">
        <v>7.0999999999999994E-2</v>
      </c>
      <c r="G515">
        <f t="shared" si="30"/>
        <v>-14.859154929577466</v>
      </c>
      <c r="H515" s="27">
        <v>0</v>
      </c>
      <c r="I515">
        <v>1</v>
      </c>
      <c r="J515">
        <v>4319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2005</v>
      </c>
      <c r="V515">
        <v>2005</v>
      </c>
      <c r="W515">
        <f t="shared" si="31"/>
        <v>2005</v>
      </c>
      <c r="X515">
        <v>1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 s="21">
        <v>1</v>
      </c>
      <c r="AO515" s="21">
        <v>1</v>
      </c>
      <c r="AP515" s="21">
        <v>1</v>
      </c>
      <c r="AQ515">
        <v>0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 s="21">
        <v>1</v>
      </c>
      <c r="BA515" s="21">
        <v>1</v>
      </c>
      <c r="BB515" s="21">
        <v>1</v>
      </c>
      <c r="BC515">
        <v>1</v>
      </c>
      <c r="BD515">
        <v>1</v>
      </c>
      <c r="BE515">
        <v>1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 s="21">
        <v>0</v>
      </c>
      <c r="BS515" s="21">
        <v>0</v>
      </c>
    </row>
    <row r="516" spans="1:71">
      <c r="A516" s="18" t="s">
        <v>5035</v>
      </c>
      <c r="B516">
        <v>76</v>
      </c>
      <c r="C516">
        <v>498</v>
      </c>
      <c r="D516">
        <v>2018</v>
      </c>
      <c r="E516">
        <v>-1.202</v>
      </c>
      <c r="F516">
        <v>0.01</v>
      </c>
      <c r="G516">
        <f t="shared" si="30"/>
        <v>-120.19999999999999</v>
      </c>
      <c r="H516" s="27">
        <v>0</v>
      </c>
      <c r="I516">
        <v>1</v>
      </c>
      <c r="J516">
        <v>11637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2005</v>
      </c>
      <c r="V516">
        <v>2005</v>
      </c>
      <c r="W516">
        <f t="shared" si="31"/>
        <v>2005</v>
      </c>
      <c r="X516">
        <v>1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 s="21">
        <v>1</v>
      </c>
      <c r="AO516" s="21">
        <v>1</v>
      </c>
      <c r="AP516" s="21">
        <v>1</v>
      </c>
      <c r="AQ516">
        <v>0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 s="21">
        <v>1</v>
      </c>
      <c r="BA516" s="21">
        <v>1</v>
      </c>
      <c r="BB516" s="21">
        <v>1</v>
      </c>
      <c r="BC516">
        <v>1</v>
      </c>
      <c r="BD516">
        <v>1</v>
      </c>
      <c r="BE516">
        <v>1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 s="21">
        <v>0</v>
      </c>
      <c r="BS516" s="21">
        <v>0</v>
      </c>
    </row>
    <row r="517" spans="1:71">
      <c r="A517" s="18" t="s">
        <v>5035</v>
      </c>
      <c r="B517">
        <v>76</v>
      </c>
      <c r="C517">
        <v>499</v>
      </c>
      <c r="D517">
        <v>2018</v>
      </c>
      <c r="E517">
        <v>-1.075</v>
      </c>
      <c r="F517">
        <v>0.01</v>
      </c>
      <c r="G517">
        <f t="shared" si="30"/>
        <v>-107.5</v>
      </c>
      <c r="H517" s="27">
        <v>0</v>
      </c>
      <c r="I517">
        <v>1</v>
      </c>
      <c r="J517">
        <v>11637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2010</v>
      </c>
      <c r="V517">
        <v>2010</v>
      </c>
      <c r="W517">
        <f t="shared" si="31"/>
        <v>2010</v>
      </c>
      <c r="X517">
        <v>1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 s="21">
        <v>1</v>
      </c>
      <c r="AO517" s="21">
        <v>1</v>
      </c>
      <c r="AP517" s="21">
        <v>1</v>
      </c>
      <c r="AQ517">
        <v>0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 s="21">
        <v>1</v>
      </c>
      <c r="BA517" s="21">
        <v>1</v>
      </c>
      <c r="BB517" s="21">
        <v>1</v>
      </c>
      <c r="BC517">
        <v>1</v>
      </c>
      <c r="BD517">
        <v>1</v>
      </c>
      <c r="BE517">
        <v>1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 s="21">
        <v>0</v>
      </c>
      <c r="BS517" s="21">
        <v>0</v>
      </c>
    </row>
    <row r="518" spans="1:71">
      <c r="A518" s="18" t="s">
        <v>5035</v>
      </c>
      <c r="B518">
        <v>76</v>
      </c>
      <c r="C518">
        <v>500</v>
      </c>
      <c r="D518">
        <v>2018</v>
      </c>
      <c r="E518">
        <v>-1.0429999999999999</v>
      </c>
      <c r="F518">
        <v>0.01</v>
      </c>
      <c r="G518">
        <f t="shared" si="30"/>
        <v>-104.3</v>
      </c>
      <c r="H518" s="27">
        <v>0</v>
      </c>
      <c r="I518">
        <v>1</v>
      </c>
      <c r="J518">
        <v>11637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2005</v>
      </c>
      <c r="V518">
        <v>2005</v>
      </c>
      <c r="W518">
        <f t="shared" si="31"/>
        <v>2005</v>
      </c>
      <c r="X518">
        <v>1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 s="21">
        <v>1</v>
      </c>
      <c r="AO518" s="21">
        <v>1</v>
      </c>
      <c r="AP518" s="21">
        <v>1</v>
      </c>
      <c r="AQ518">
        <v>0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 s="21">
        <v>1</v>
      </c>
      <c r="BA518" s="21">
        <v>1</v>
      </c>
      <c r="BB518" s="21">
        <v>1</v>
      </c>
      <c r="BC518">
        <v>1</v>
      </c>
      <c r="BD518">
        <v>1</v>
      </c>
      <c r="BE518">
        <v>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 s="21">
        <v>0</v>
      </c>
      <c r="BS518" s="21">
        <v>0</v>
      </c>
    </row>
    <row r="519" spans="1:71">
      <c r="A519" s="20" t="s">
        <v>5035</v>
      </c>
      <c r="B519">
        <v>76</v>
      </c>
      <c r="C519">
        <v>501</v>
      </c>
      <c r="D519">
        <v>2018</v>
      </c>
      <c r="E519">
        <v>-1.129</v>
      </c>
      <c r="F519">
        <v>0.01</v>
      </c>
      <c r="G519">
        <f t="shared" si="30"/>
        <v>-112.89999999999999</v>
      </c>
      <c r="H519" s="27">
        <v>0</v>
      </c>
      <c r="I519">
        <v>1</v>
      </c>
      <c r="J519">
        <v>11637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2010</v>
      </c>
      <c r="V519">
        <v>2010</v>
      </c>
      <c r="W519">
        <f t="shared" si="31"/>
        <v>2010</v>
      </c>
      <c r="X519">
        <v>1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 s="21">
        <v>1</v>
      </c>
      <c r="AO519" s="21">
        <v>1</v>
      </c>
      <c r="AP519" s="21">
        <v>1</v>
      </c>
      <c r="AQ519">
        <v>0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 s="21">
        <v>1</v>
      </c>
      <c r="BA519" s="21">
        <v>1</v>
      </c>
      <c r="BB519" s="21">
        <v>1</v>
      </c>
      <c r="BC519">
        <v>1</v>
      </c>
      <c r="BD519">
        <v>1</v>
      </c>
      <c r="BE519">
        <v>1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 s="21">
        <v>0</v>
      </c>
      <c r="BS519" s="21">
        <v>0</v>
      </c>
    </row>
    <row r="520" spans="1:71">
      <c r="A520" s="20" t="s">
        <v>5167</v>
      </c>
      <c r="B520">
        <v>82</v>
      </c>
      <c r="C520">
        <v>518</v>
      </c>
      <c r="D520">
        <v>2018</v>
      </c>
      <c r="E520">
        <v>-0.89</v>
      </c>
      <c r="F520">
        <v>9.0999999999999998E-2</v>
      </c>
      <c r="G520">
        <f t="shared" si="30"/>
        <v>-9.780219780219781</v>
      </c>
      <c r="H520" s="27">
        <v>0</v>
      </c>
      <c r="I520">
        <v>1</v>
      </c>
      <c r="J520">
        <v>886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2006</v>
      </c>
      <c r="V520">
        <v>2016</v>
      </c>
      <c r="W520">
        <f t="shared" si="31"/>
        <v>2011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 s="21">
        <v>0</v>
      </c>
      <c r="AO520" s="21">
        <v>1</v>
      </c>
      <c r="AP520" s="21">
        <v>1</v>
      </c>
      <c r="AQ520">
        <v>1</v>
      </c>
      <c r="AR520">
        <v>0</v>
      </c>
      <c r="AS520">
        <v>0</v>
      </c>
      <c r="AT520">
        <v>1</v>
      </c>
      <c r="AU520">
        <v>0</v>
      </c>
      <c r="AV520">
        <v>0</v>
      </c>
      <c r="AW520">
        <v>0</v>
      </c>
      <c r="AX520">
        <v>0</v>
      </c>
      <c r="AY520">
        <v>0</v>
      </c>
      <c r="AZ520" s="21">
        <v>0</v>
      </c>
      <c r="BA520" s="21">
        <v>1</v>
      </c>
      <c r="BB520" s="21">
        <v>1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 s="21">
        <v>0</v>
      </c>
      <c r="BS520" s="21">
        <v>0</v>
      </c>
    </row>
    <row r="521" spans="1:71">
      <c r="A521" s="20" t="s">
        <v>5167</v>
      </c>
      <c r="B521">
        <v>82</v>
      </c>
      <c r="C521">
        <v>519</v>
      </c>
      <c r="D521">
        <v>2018</v>
      </c>
      <c r="E521">
        <v>-0.65900000000000003</v>
      </c>
      <c r="F521">
        <v>0.47</v>
      </c>
      <c r="G521">
        <f t="shared" si="30"/>
        <v>-1.4021276595744683</v>
      </c>
      <c r="H521" s="27">
        <v>0</v>
      </c>
      <c r="I521">
        <v>1</v>
      </c>
      <c r="J521">
        <v>141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2006</v>
      </c>
      <c r="V521">
        <v>2016</v>
      </c>
      <c r="W521">
        <f t="shared" si="31"/>
        <v>2011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 s="21">
        <v>0</v>
      </c>
      <c r="AO521" s="21">
        <v>1</v>
      </c>
      <c r="AP521" s="21">
        <v>1</v>
      </c>
      <c r="AQ521">
        <v>1</v>
      </c>
      <c r="AR521">
        <v>0</v>
      </c>
      <c r="AS521">
        <v>0</v>
      </c>
      <c r="AT521">
        <v>1</v>
      </c>
      <c r="AU521">
        <v>0</v>
      </c>
      <c r="AV521">
        <v>0</v>
      </c>
      <c r="AW521">
        <v>0</v>
      </c>
      <c r="AX521">
        <v>0</v>
      </c>
      <c r="AY521">
        <v>0</v>
      </c>
      <c r="AZ521" s="21">
        <v>0</v>
      </c>
      <c r="BA521" s="21">
        <v>1</v>
      </c>
      <c r="BB521" s="21">
        <v>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 s="21">
        <v>0</v>
      </c>
      <c r="BS521" s="21">
        <v>0</v>
      </c>
    </row>
    <row r="522" spans="1:71">
      <c r="A522" s="20" t="s">
        <v>5167</v>
      </c>
      <c r="B522">
        <v>82</v>
      </c>
      <c r="C522">
        <v>520</v>
      </c>
      <c r="D522">
        <v>2018</v>
      </c>
      <c r="E522">
        <v>-0.80700000000000005</v>
      </c>
      <c r="F522">
        <v>0.17599999999999999</v>
      </c>
      <c r="G522">
        <f t="shared" si="30"/>
        <v>-4.5852272727272734</v>
      </c>
      <c r="H522" s="27">
        <v>0</v>
      </c>
      <c r="I522">
        <v>1</v>
      </c>
      <c r="J522">
        <v>206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2006</v>
      </c>
      <c r="V522">
        <v>2016</v>
      </c>
      <c r="W522">
        <f t="shared" si="31"/>
        <v>2011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 s="21">
        <v>0</v>
      </c>
      <c r="AO522" s="21">
        <v>1</v>
      </c>
      <c r="AP522" s="21">
        <v>1</v>
      </c>
      <c r="AQ522">
        <v>1</v>
      </c>
      <c r="AR522">
        <v>0</v>
      </c>
      <c r="AS522">
        <v>0</v>
      </c>
      <c r="AT522">
        <v>1</v>
      </c>
      <c r="AU522">
        <v>0</v>
      </c>
      <c r="AV522">
        <v>0</v>
      </c>
      <c r="AW522">
        <v>0</v>
      </c>
      <c r="AX522">
        <v>0</v>
      </c>
      <c r="AY522">
        <v>0</v>
      </c>
      <c r="AZ522" s="21">
        <v>0</v>
      </c>
      <c r="BA522" s="21">
        <v>1</v>
      </c>
      <c r="BB522" s="21">
        <v>1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 s="21">
        <v>0</v>
      </c>
      <c r="BS522" s="21">
        <v>0</v>
      </c>
    </row>
    <row r="523" spans="1:71">
      <c r="A523" s="20" t="s">
        <v>5167</v>
      </c>
      <c r="B523">
        <v>82</v>
      </c>
      <c r="C523">
        <v>521</v>
      </c>
      <c r="D523">
        <v>2018</v>
      </c>
      <c r="E523">
        <v>-1.952</v>
      </c>
      <c r="F523">
        <v>0.24099999999999999</v>
      </c>
      <c r="G523">
        <f t="shared" si="30"/>
        <v>-8.0995850622406635</v>
      </c>
      <c r="H523" s="27">
        <v>0</v>
      </c>
      <c r="I523">
        <v>1</v>
      </c>
      <c r="J523">
        <v>124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2006</v>
      </c>
      <c r="V523">
        <v>2016</v>
      </c>
      <c r="W523">
        <f t="shared" si="31"/>
        <v>2011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 s="21">
        <v>0</v>
      </c>
      <c r="AO523" s="21">
        <v>1</v>
      </c>
      <c r="AP523" s="21">
        <v>1</v>
      </c>
      <c r="AQ523">
        <v>1</v>
      </c>
      <c r="AR523">
        <v>0</v>
      </c>
      <c r="AS523">
        <v>0</v>
      </c>
      <c r="AT523">
        <v>1</v>
      </c>
      <c r="AU523">
        <v>0</v>
      </c>
      <c r="AV523">
        <v>0</v>
      </c>
      <c r="AW523">
        <v>0</v>
      </c>
      <c r="AX523">
        <v>0</v>
      </c>
      <c r="AY523">
        <v>0</v>
      </c>
      <c r="AZ523" s="21">
        <v>0</v>
      </c>
      <c r="BA523" s="21">
        <v>1</v>
      </c>
      <c r="BB523" s="21">
        <v>1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 s="21">
        <v>0</v>
      </c>
      <c r="BS523" s="21">
        <v>0</v>
      </c>
    </row>
    <row r="524" spans="1:71">
      <c r="A524" s="20" t="s">
        <v>5167</v>
      </c>
      <c r="B524">
        <v>82</v>
      </c>
      <c r="C524">
        <v>522</v>
      </c>
      <c r="D524">
        <v>2018</v>
      </c>
      <c r="E524">
        <v>-2.1150000000000002</v>
      </c>
      <c r="F524">
        <v>0.16500000000000001</v>
      </c>
      <c r="G524">
        <f t="shared" ref="G524:G525" si="32">E524/F524</f>
        <v>-12.818181818181818</v>
      </c>
      <c r="H524" s="27">
        <v>0</v>
      </c>
      <c r="I524">
        <v>1</v>
      </c>
      <c r="J524">
        <v>165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2006</v>
      </c>
      <c r="V524">
        <v>2016</v>
      </c>
      <c r="W524">
        <f t="shared" si="31"/>
        <v>2011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 s="21">
        <v>0</v>
      </c>
      <c r="AO524" s="21">
        <v>1</v>
      </c>
      <c r="AP524" s="21">
        <v>1</v>
      </c>
      <c r="AQ524">
        <v>1</v>
      </c>
      <c r="AR524">
        <v>0</v>
      </c>
      <c r="AS524">
        <v>0</v>
      </c>
      <c r="AT524">
        <v>1</v>
      </c>
      <c r="AU524">
        <v>0</v>
      </c>
      <c r="AV524">
        <v>0</v>
      </c>
      <c r="AW524">
        <v>0</v>
      </c>
      <c r="AX524">
        <v>0</v>
      </c>
      <c r="AY524">
        <v>0</v>
      </c>
      <c r="AZ524" s="21">
        <v>0</v>
      </c>
      <c r="BA524" s="21">
        <v>1</v>
      </c>
      <c r="BB524" s="21">
        <v>1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 s="21">
        <v>0</v>
      </c>
      <c r="BS524" s="21">
        <v>0</v>
      </c>
    </row>
    <row r="525" spans="1:71">
      <c r="A525" s="20" t="s">
        <v>5167</v>
      </c>
      <c r="B525">
        <v>82</v>
      </c>
      <c r="C525">
        <v>523</v>
      </c>
      <c r="D525">
        <v>2018</v>
      </c>
      <c r="E525">
        <v>0.33200000000000002</v>
      </c>
      <c r="F525">
        <v>0.156</v>
      </c>
      <c r="G525">
        <f t="shared" si="32"/>
        <v>2.1282051282051282</v>
      </c>
      <c r="H525" s="27">
        <v>0</v>
      </c>
      <c r="I525">
        <v>1</v>
      </c>
      <c r="J525">
        <v>209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2006</v>
      </c>
      <c r="V525">
        <v>2016</v>
      </c>
      <c r="W525">
        <f t="shared" si="31"/>
        <v>2011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 s="21">
        <v>0</v>
      </c>
      <c r="AO525" s="21">
        <v>1</v>
      </c>
      <c r="AP525" s="21">
        <v>1</v>
      </c>
      <c r="AQ525">
        <v>1</v>
      </c>
      <c r="AR525">
        <v>0</v>
      </c>
      <c r="AS525">
        <v>0</v>
      </c>
      <c r="AT525">
        <v>1</v>
      </c>
      <c r="AU525">
        <v>0</v>
      </c>
      <c r="AV525">
        <v>0</v>
      </c>
      <c r="AW525">
        <v>0</v>
      </c>
      <c r="AX525">
        <v>0</v>
      </c>
      <c r="AY525">
        <v>0</v>
      </c>
      <c r="AZ525" s="21">
        <v>0</v>
      </c>
      <c r="BA525" s="21">
        <v>1</v>
      </c>
      <c r="BB525" s="21">
        <v>1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 s="21">
        <v>0</v>
      </c>
      <c r="BS525" s="21">
        <v>0</v>
      </c>
    </row>
    <row r="526" spans="1:71">
      <c r="A526" s="20" t="s">
        <v>4823</v>
      </c>
      <c r="B526">
        <v>98</v>
      </c>
      <c r="C526">
        <v>582</v>
      </c>
      <c r="D526">
        <v>2018</v>
      </c>
      <c r="E526">
        <v>-0.93500000000000005</v>
      </c>
      <c r="F526">
        <f t="shared" ref="F526:F555" si="33">E526/G526</f>
        <v>0.33274021352313171</v>
      </c>
      <c r="G526">
        <v>-2.81</v>
      </c>
      <c r="H526" s="27">
        <v>1</v>
      </c>
      <c r="I526">
        <v>1</v>
      </c>
      <c r="J526">
        <v>5200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2000</v>
      </c>
      <c r="V526">
        <v>2012</v>
      </c>
      <c r="W526">
        <f t="shared" si="31"/>
        <v>2006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1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 s="21">
        <v>0</v>
      </c>
      <c r="AO526" s="21">
        <v>0</v>
      </c>
      <c r="AP526" s="21">
        <v>1</v>
      </c>
      <c r="AQ526">
        <v>0</v>
      </c>
      <c r="AR526">
        <v>1</v>
      </c>
      <c r="AS526">
        <v>1</v>
      </c>
      <c r="AT526">
        <v>1</v>
      </c>
      <c r="AU526">
        <v>0</v>
      </c>
      <c r="AV526">
        <v>0</v>
      </c>
      <c r="AW526">
        <v>0</v>
      </c>
      <c r="AX526">
        <v>0</v>
      </c>
      <c r="AY526">
        <v>0</v>
      </c>
      <c r="AZ526" s="21">
        <v>0</v>
      </c>
      <c r="BA526" s="21">
        <v>0</v>
      </c>
      <c r="BB526" s="21">
        <v>1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 s="21">
        <v>0</v>
      </c>
      <c r="BS526" s="21">
        <v>0</v>
      </c>
    </row>
    <row r="527" spans="1:71">
      <c r="A527" s="20" t="s">
        <v>4823</v>
      </c>
      <c r="B527">
        <v>98</v>
      </c>
      <c r="C527">
        <v>583</v>
      </c>
      <c r="D527">
        <v>2018</v>
      </c>
      <c r="E527">
        <v>-0.93500000000000005</v>
      </c>
      <c r="F527">
        <f t="shared" si="33"/>
        <v>0.33274021352313171</v>
      </c>
      <c r="G527">
        <v>-2.81</v>
      </c>
      <c r="H527" s="27">
        <v>1</v>
      </c>
      <c r="I527">
        <v>1</v>
      </c>
      <c r="J527">
        <v>5200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2000</v>
      </c>
      <c r="V527">
        <v>2012</v>
      </c>
      <c r="W527">
        <f t="shared" si="31"/>
        <v>2006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 s="21">
        <v>0</v>
      </c>
      <c r="AO527" s="21">
        <v>0</v>
      </c>
      <c r="AP527" s="21">
        <v>1</v>
      </c>
      <c r="AQ527">
        <v>0</v>
      </c>
      <c r="AR527">
        <v>0</v>
      </c>
      <c r="AS527">
        <v>1</v>
      </c>
      <c r="AT527">
        <v>1</v>
      </c>
      <c r="AU527">
        <v>0</v>
      </c>
      <c r="AV527">
        <v>0</v>
      </c>
      <c r="AW527">
        <v>0</v>
      </c>
      <c r="AX527">
        <v>0</v>
      </c>
      <c r="AY527">
        <v>0</v>
      </c>
      <c r="AZ527" s="21">
        <v>0</v>
      </c>
      <c r="BA527" s="21">
        <v>0</v>
      </c>
      <c r="BB527" s="21">
        <v>1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 s="21">
        <v>0</v>
      </c>
      <c r="BS527" s="21">
        <v>0</v>
      </c>
    </row>
    <row r="528" spans="1:71">
      <c r="A528" s="20" t="s">
        <v>4823</v>
      </c>
      <c r="B528">
        <v>98</v>
      </c>
      <c r="C528">
        <v>584</v>
      </c>
      <c r="D528">
        <v>2018</v>
      </c>
      <c r="E528">
        <v>-0.88900000000000001</v>
      </c>
      <c r="F528">
        <f t="shared" si="33"/>
        <v>0.31637010676156585</v>
      </c>
      <c r="G528">
        <v>-2.81</v>
      </c>
      <c r="H528" s="27">
        <v>1</v>
      </c>
      <c r="I528">
        <v>1</v>
      </c>
      <c r="J528">
        <v>5200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2000</v>
      </c>
      <c r="V528">
        <v>2000</v>
      </c>
      <c r="W528">
        <f t="shared" si="31"/>
        <v>2000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 s="21">
        <v>0</v>
      </c>
      <c r="AO528" s="21">
        <v>0</v>
      </c>
      <c r="AP528" s="21">
        <v>1</v>
      </c>
      <c r="AQ528">
        <v>0</v>
      </c>
      <c r="AR528">
        <v>0</v>
      </c>
      <c r="AS528">
        <v>1</v>
      </c>
      <c r="AT528">
        <v>1</v>
      </c>
      <c r="AU528">
        <v>0</v>
      </c>
      <c r="AV528">
        <v>0</v>
      </c>
      <c r="AW528">
        <v>0</v>
      </c>
      <c r="AX528">
        <v>0</v>
      </c>
      <c r="AY528">
        <v>0</v>
      </c>
      <c r="AZ528" s="21">
        <v>0</v>
      </c>
      <c r="BA528" s="21">
        <v>0</v>
      </c>
      <c r="BB528" s="21">
        <v>1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 s="21">
        <v>0</v>
      </c>
      <c r="BS528" s="21">
        <v>0</v>
      </c>
    </row>
    <row r="529" spans="1:71">
      <c r="A529" s="20" t="s">
        <v>4823</v>
      </c>
      <c r="B529">
        <v>98</v>
      </c>
      <c r="C529">
        <v>585</v>
      </c>
      <c r="D529">
        <v>2018</v>
      </c>
      <c r="E529">
        <v>-0.87</v>
      </c>
      <c r="F529">
        <f t="shared" si="33"/>
        <v>0.30960854092526691</v>
      </c>
      <c r="G529">
        <v>-2.81</v>
      </c>
      <c r="H529" s="27">
        <v>1</v>
      </c>
      <c r="I529">
        <v>1</v>
      </c>
      <c r="J529">
        <v>5200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2001</v>
      </c>
      <c r="V529">
        <v>2001</v>
      </c>
      <c r="W529">
        <f t="shared" si="31"/>
        <v>2001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 s="21">
        <v>0</v>
      </c>
      <c r="AO529" s="21">
        <v>0</v>
      </c>
      <c r="AP529" s="21">
        <v>1</v>
      </c>
      <c r="AQ529">
        <v>0</v>
      </c>
      <c r="AR529">
        <v>0</v>
      </c>
      <c r="AS529">
        <v>1</v>
      </c>
      <c r="AT529">
        <v>1</v>
      </c>
      <c r="AU529">
        <v>0</v>
      </c>
      <c r="AV529">
        <v>0</v>
      </c>
      <c r="AW529">
        <v>0</v>
      </c>
      <c r="AX529">
        <v>0</v>
      </c>
      <c r="AY529">
        <v>0</v>
      </c>
      <c r="AZ529" s="21">
        <v>0</v>
      </c>
      <c r="BA529" s="21">
        <v>0</v>
      </c>
      <c r="BB529" s="21">
        <v>1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 s="21">
        <v>0</v>
      </c>
      <c r="BS529" s="21">
        <v>0</v>
      </c>
    </row>
    <row r="530" spans="1:71">
      <c r="A530" s="20" t="s">
        <v>4823</v>
      </c>
      <c r="B530">
        <v>98</v>
      </c>
      <c r="C530">
        <v>586</v>
      </c>
      <c r="D530">
        <v>2018</v>
      </c>
      <c r="E530">
        <v>-0.84399999999999997</v>
      </c>
      <c r="F530">
        <f t="shared" si="33"/>
        <v>0.30035587188612101</v>
      </c>
      <c r="G530">
        <v>-2.81</v>
      </c>
      <c r="H530" s="27">
        <v>1</v>
      </c>
      <c r="I530">
        <v>1</v>
      </c>
      <c r="J530">
        <v>5200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2002</v>
      </c>
      <c r="V530">
        <v>2002</v>
      </c>
      <c r="W530">
        <f t="shared" si="31"/>
        <v>2002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 s="21">
        <v>0</v>
      </c>
      <c r="AO530" s="21">
        <v>0</v>
      </c>
      <c r="AP530" s="21">
        <v>1</v>
      </c>
      <c r="AQ530">
        <v>0</v>
      </c>
      <c r="AR530">
        <v>0</v>
      </c>
      <c r="AS530">
        <v>1</v>
      </c>
      <c r="AT530">
        <v>1</v>
      </c>
      <c r="AU530">
        <v>0</v>
      </c>
      <c r="AV530">
        <v>0</v>
      </c>
      <c r="AW530">
        <v>0</v>
      </c>
      <c r="AX530">
        <v>0</v>
      </c>
      <c r="AY530">
        <v>0</v>
      </c>
      <c r="AZ530" s="21">
        <v>0</v>
      </c>
      <c r="BA530" s="21">
        <v>0</v>
      </c>
      <c r="BB530" s="21">
        <v>1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 s="21">
        <v>0</v>
      </c>
      <c r="BS530" s="21">
        <v>0</v>
      </c>
    </row>
    <row r="531" spans="1:71">
      <c r="A531" s="20" t="s">
        <v>4823</v>
      </c>
      <c r="B531">
        <v>98</v>
      </c>
      <c r="C531">
        <v>587</v>
      </c>
      <c r="D531">
        <v>2018</v>
      </c>
      <c r="E531">
        <v>-0.86599999999999999</v>
      </c>
      <c r="F531">
        <f t="shared" si="33"/>
        <v>0.30818505338078289</v>
      </c>
      <c r="G531">
        <v>-2.81</v>
      </c>
      <c r="H531" s="27">
        <v>1</v>
      </c>
      <c r="I531">
        <v>1</v>
      </c>
      <c r="J531">
        <v>5200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2003</v>
      </c>
      <c r="V531">
        <v>2003</v>
      </c>
      <c r="W531">
        <f t="shared" si="31"/>
        <v>2003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 s="21">
        <v>0</v>
      </c>
      <c r="AO531" s="21">
        <v>0</v>
      </c>
      <c r="AP531" s="21">
        <v>1</v>
      </c>
      <c r="AQ531">
        <v>0</v>
      </c>
      <c r="AR531">
        <v>0</v>
      </c>
      <c r="AS531">
        <v>1</v>
      </c>
      <c r="AT531">
        <v>1</v>
      </c>
      <c r="AU531">
        <v>0</v>
      </c>
      <c r="AV531">
        <v>0</v>
      </c>
      <c r="AW531">
        <v>0</v>
      </c>
      <c r="AX531">
        <v>0</v>
      </c>
      <c r="AY531">
        <v>0</v>
      </c>
      <c r="AZ531" s="21">
        <v>0</v>
      </c>
      <c r="BA531" s="21">
        <v>0</v>
      </c>
      <c r="BB531" s="21">
        <v>1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 s="21">
        <v>0</v>
      </c>
      <c r="BS531" s="21">
        <v>0</v>
      </c>
    </row>
    <row r="532" spans="1:71">
      <c r="A532" s="20" t="s">
        <v>4823</v>
      </c>
      <c r="B532">
        <v>98</v>
      </c>
      <c r="C532">
        <v>588</v>
      </c>
      <c r="D532">
        <v>2018</v>
      </c>
      <c r="E532">
        <v>-0.873</v>
      </c>
      <c r="F532">
        <f t="shared" si="33"/>
        <v>0.3106761565836299</v>
      </c>
      <c r="G532">
        <v>-2.81</v>
      </c>
      <c r="H532" s="27">
        <v>1</v>
      </c>
      <c r="I532">
        <v>1</v>
      </c>
      <c r="J532">
        <v>5200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2004</v>
      </c>
      <c r="V532">
        <v>2004</v>
      </c>
      <c r="W532">
        <f t="shared" si="31"/>
        <v>2004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 s="21">
        <v>0</v>
      </c>
      <c r="AO532" s="21">
        <v>0</v>
      </c>
      <c r="AP532" s="21">
        <v>1</v>
      </c>
      <c r="AQ532">
        <v>0</v>
      </c>
      <c r="AR532">
        <v>0</v>
      </c>
      <c r="AS532">
        <v>1</v>
      </c>
      <c r="AT532">
        <v>1</v>
      </c>
      <c r="AU532">
        <v>0</v>
      </c>
      <c r="AV532">
        <v>0</v>
      </c>
      <c r="AW532">
        <v>0</v>
      </c>
      <c r="AX532">
        <v>0</v>
      </c>
      <c r="AY532">
        <v>0</v>
      </c>
      <c r="AZ532" s="21">
        <v>0</v>
      </c>
      <c r="BA532" s="21">
        <v>0</v>
      </c>
      <c r="BB532" s="21">
        <v>1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 s="21">
        <v>0</v>
      </c>
      <c r="BS532" s="21">
        <v>0</v>
      </c>
    </row>
    <row r="533" spans="1:71">
      <c r="A533" s="20" t="s">
        <v>4823</v>
      </c>
      <c r="B533">
        <v>98</v>
      </c>
      <c r="C533">
        <v>589</v>
      </c>
      <c r="D533">
        <v>2018</v>
      </c>
      <c r="E533">
        <v>-0.89800000000000002</v>
      </c>
      <c r="F533">
        <f t="shared" si="33"/>
        <v>0.31957295373665479</v>
      </c>
      <c r="G533">
        <v>-2.81</v>
      </c>
      <c r="H533" s="27">
        <v>1</v>
      </c>
      <c r="I533">
        <v>1</v>
      </c>
      <c r="J533">
        <v>5200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2005</v>
      </c>
      <c r="V533">
        <v>2005</v>
      </c>
      <c r="W533">
        <f t="shared" si="31"/>
        <v>2005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 s="21">
        <v>0</v>
      </c>
      <c r="AO533" s="21">
        <v>0</v>
      </c>
      <c r="AP533" s="21">
        <v>1</v>
      </c>
      <c r="AQ533">
        <v>0</v>
      </c>
      <c r="AR533">
        <v>0</v>
      </c>
      <c r="AS533">
        <v>1</v>
      </c>
      <c r="AT533">
        <v>1</v>
      </c>
      <c r="AU533">
        <v>0</v>
      </c>
      <c r="AV533">
        <v>0</v>
      </c>
      <c r="AW533">
        <v>0</v>
      </c>
      <c r="AX533">
        <v>0</v>
      </c>
      <c r="AY533">
        <v>0</v>
      </c>
      <c r="AZ533" s="21">
        <v>0</v>
      </c>
      <c r="BA533" s="21">
        <v>0</v>
      </c>
      <c r="BB533" s="21">
        <v>1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 s="21">
        <v>0</v>
      </c>
      <c r="BS533" s="21">
        <v>0</v>
      </c>
    </row>
    <row r="534" spans="1:71">
      <c r="A534" s="20" t="s">
        <v>4823</v>
      </c>
      <c r="B534">
        <v>98</v>
      </c>
      <c r="C534">
        <v>590</v>
      </c>
      <c r="D534">
        <v>2018</v>
      </c>
      <c r="E534">
        <v>-0.90500000000000003</v>
      </c>
      <c r="F534">
        <f t="shared" si="33"/>
        <v>0.3220640569395018</v>
      </c>
      <c r="G534">
        <v>-2.81</v>
      </c>
      <c r="H534" s="27">
        <v>1</v>
      </c>
      <c r="I534">
        <v>1</v>
      </c>
      <c r="J534">
        <v>5200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2006</v>
      </c>
      <c r="V534">
        <v>2006</v>
      </c>
      <c r="W534">
        <f t="shared" si="31"/>
        <v>2006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 s="21">
        <v>0</v>
      </c>
      <c r="AO534" s="21">
        <v>0</v>
      </c>
      <c r="AP534" s="21">
        <v>1</v>
      </c>
      <c r="AQ534">
        <v>0</v>
      </c>
      <c r="AR534">
        <v>0</v>
      </c>
      <c r="AS534">
        <v>1</v>
      </c>
      <c r="AT534">
        <v>1</v>
      </c>
      <c r="AU534">
        <v>0</v>
      </c>
      <c r="AV534">
        <v>0</v>
      </c>
      <c r="AW534">
        <v>0</v>
      </c>
      <c r="AX534">
        <v>0</v>
      </c>
      <c r="AY534">
        <v>0</v>
      </c>
      <c r="AZ534" s="21">
        <v>0</v>
      </c>
      <c r="BA534" s="21">
        <v>0</v>
      </c>
      <c r="BB534" s="21">
        <v>1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 s="21">
        <v>0</v>
      </c>
      <c r="BS534" s="21">
        <v>0</v>
      </c>
    </row>
    <row r="535" spans="1:71">
      <c r="A535" s="20" t="s">
        <v>4823</v>
      </c>
      <c r="B535">
        <v>98</v>
      </c>
      <c r="C535">
        <v>591</v>
      </c>
      <c r="D535">
        <v>2018</v>
      </c>
      <c r="E535">
        <v>-0.91400000000000003</v>
      </c>
      <c r="F535">
        <f t="shared" si="33"/>
        <v>0.32526690391459073</v>
      </c>
      <c r="G535">
        <v>-2.81</v>
      </c>
      <c r="H535" s="27">
        <v>1</v>
      </c>
      <c r="I535">
        <v>1</v>
      </c>
      <c r="J535">
        <v>5200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2007</v>
      </c>
      <c r="V535">
        <v>2007</v>
      </c>
      <c r="W535">
        <f t="shared" si="31"/>
        <v>2007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 s="21">
        <v>0</v>
      </c>
      <c r="AO535" s="21">
        <v>0</v>
      </c>
      <c r="AP535" s="21">
        <v>1</v>
      </c>
      <c r="AQ535">
        <v>0</v>
      </c>
      <c r="AR535">
        <v>0</v>
      </c>
      <c r="AS535">
        <v>1</v>
      </c>
      <c r="AT535">
        <v>1</v>
      </c>
      <c r="AU535">
        <v>0</v>
      </c>
      <c r="AV535">
        <v>0</v>
      </c>
      <c r="AW535">
        <v>0</v>
      </c>
      <c r="AX535">
        <v>0</v>
      </c>
      <c r="AY535">
        <v>0</v>
      </c>
      <c r="AZ535" s="21">
        <v>0</v>
      </c>
      <c r="BA535" s="21">
        <v>0</v>
      </c>
      <c r="BB535" s="21">
        <v>1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 s="21">
        <v>0</v>
      </c>
      <c r="BS535" s="21">
        <v>0</v>
      </c>
    </row>
    <row r="536" spans="1:71">
      <c r="A536" s="20" t="s">
        <v>4823</v>
      </c>
      <c r="B536">
        <v>98</v>
      </c>
      <c r="C536">
        <v>592</v>
      </c>
      <c r="D536">
        <v>2018</v>
      </c>
      <c r="E536">
        <v>-0.94699999999999995</v>
      </c>
      <c r="F536">
        <f t="shared" si="33"/>
        <v>0.33701067615658359</v>
      </c>
      <c r="G536">
        <v>-2.81</v>
      </c>
      <c r="H536" s="27">
        <v>1</v>
      </c>
      <c r="I536">
        <v>1</v>
      </c>
      <c r="J536">
        <v>5200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2008</v>
      </c>
      <c r="V536">
        <v>2008</v>
      </c>
      <c r="W536">
        <f t="shared" si="31"/>
        <v>2008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 s="21">
        <v>0</v>
      </c>
      <c r="AO536" s="21">
        <v>0</v>
      </c>
      <c r="AP536" s="21">
        <v>1</v>
      </c>
      <c r="AQ536">
        <v>0</v>
      </c>
      <c r="AR536">
        <v>0</v>
      </c>
      <c r="AS536">
        <v>1</v>
      </c>
      <c r="AT536">
        <v>1</v>
      </c>
      <c r="AU536">
        <v>0</v>
      </c>
      <c r="AV536">
        <v>0</v>
      </c>
      <c r="AW536">
        <v>0</v>
      </c>
      <c r="AX536">
        <v>0</v>
      </c>
      <c r="AY536">
        <v>0</v>
      </c>
      <c r="AZ536" s="21">
        <v>0</v>
      </c>
      <c r="BA536" s="21">
        <v>0</v>
      </c>
      <c r="BB536" s="21">
        <v>1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 s="21">
        <v>0</v>
      </c>
      <c r="BS536" s="21">
        <v>0</v>
      </c>
    </row>
    <row r="537" spans="1:71">
      <c r="A537" s="20" t="s">
        <v>4823</v>
      </c>
      <c r="B537">
        <v>98</v>
      </c>
      <c r="C537">
        <v>593</v>
      </c>
      <c r="D537">
        <v>2018</v>
      </c>
      <c r="E537">
        <v>-0.996</v>
      </c>
      <c r="F537">
        <f t="shared" si="33"/>
        <v>0.35444839857651245</v>
      </c>
      <c r="G537">
        <v>-2.81</v>
      </c>
      <c r="H537" s="27">
        <v>1</v>
      </c>
      <c r="I537">
        <v>1</v>
      </c>
      <c r="J537">
        <v>5200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2009</v>
      </c>
      <c r="V537">
        <v>2009</v>
      </c>
      <c r="W537">
        <f t="shared" si="31"/>
        <v>2009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 s="21">
        <v>0</v>
      </c>
      <c r="AO537" s="21">
        <v>0</v>
      </c>
      <c r="AP537" s="21">
        <v>1</v>
      </c>
      <c r="AQ537">
        <v>0</v>
      </c>
      <c r="AR537">
        <v>0</v>
      </c>
      <c r="AS537">
        <v>1</v>
      </c>
      <c r="AT537">
        <v>1</v>
      </c>
      <c r="AU537">
        <v>0</v>
      </c>
      <c r="AV537">
        <v>0</v>
      </c>
      <c r="AW537">
        <v>0</v>
      </c>
      <c r="AX537">
        <v>0</v>
      </c>
      <c r="AY537">
        <v>0</v>
      </c>
      <c r="AZ537" s="21">
        <v>0</v>
      </c>
      <c r="BA537" s="21">
        <v>0</v>
      </c>
      <c r="BB537" s="21">
        <v>1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 s="21">
        <v>0</v>
      </c>
      <c r="BS537" s="21">
        <v>0</v>
      </c>
    </row>
    <row r="538" spans="1:71">
      <c r="A538" s="20" t="s">
        <v>4823</v>
      </c>
      <c r="B538">
        <v>98</v>
      </c>
      <c r="C538">
        <v>594</v>
      </c>
      <c r="D538">
        <v>2018</v>
      </c>
      <c r="E538">
        <v>-1.0229999999999999</v>
      </c>
      <c r="F538">
        <f t="shared" si="33"/>
        <v>0.36405693950177931</v>
      </c>
      <c r="G538">
        <v>-2.81</v>
      </c>
      <c r="H538" s="27">
        <v>1</v>
      </c>
      <c r="I538">
        <v>1</v>
      </c>
      <c r="J538">
        <v>5200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2010</v>
      </c>
      <c r="V538">
        <v>2010</v>
      </c>
      <c r="W538">
        <f t="shared" si="31"/>
        <v>2010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 s="21">
        <v>0</v>
      </c>
      <c r="AO538" s="21">
        <v>0</v>
      </c>
      <c r="AP538" s="21">
        <v>1</v>
      </c>
      <c r="AQ538">
        <v>0</v>
      </c>
      <c r="AR538">
        <v>0</v>
      </c>
      <c r="AS538">
        <v>1</v>
      </c>
      <c r="AT538">
        <v>1</v>
      </c>
      <c r="AU538">
        <v>0</v>
      </c>
      <c r="AV538">
        <v>0</v>
      </c>
      <c r="AW538">
        <v>0</v>
      </c>
      <c r="AX538">
        <v>0</v>
      </c>
      <c r="AY538">
        <v>0</v>
      </c>
      <c r="AZ538" s="21">
        <v>0</v>
      </c>
      <c r="BA538" s="21">
        <v>0</v>
      </c>
      <c r="BB538" s="21">
        <v>1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 s="21">
        <v>0</v>
      </c>
      <c r="BS538" s="21">
        <v>0</v>
      </c>
    </row>
    <row r="539" spans="1:71">
      <c r="A539" s="20" t="s">
        <v>4823</v>
      </c>
      <c r="B539">
        <v>98</v>
      </c>
      <c r="C539">
        <v>595</v>
      </c>
      <c r="D539">
        <v>2018</v>
      </c>
      <c r="E539">
        <v>-1.0449999999999999</v>
      </c>
      <c r="F539">
        <f t="shared" si="33"/>
        <v>0.37188612099644125</v>
      </c>
      <c r="G539">
        <v>-2.81</v>
      </c>
      <c r="H539" s="27">
        <v>1</v>
      </c>
      <c r="I539">
        <v>1</v>
      </c>
      <c r="J539">
        <v>5200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2011</v>
      </c>
      <c r="V539">
        <v>2011</v>
      </c>
      <c r="W539">
        <f t="shared" si="31"/>
        <v>2011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 s="21">
        <v>0</v>
      </c>
      <c r="AO539" s="21">
        <v>0</v>
      </c>
      <c r="AP539" s="21">
        <v>1</v>
      </c>
      <c r="AQ539">
        <v>0</v>
      </c>
      <c r="AR539">
        <v>0</v>
      </c>
      <c r="AS539">
        <v>1</v>
      </c>
      <c r="AT539">
        <v>1</v>
      </c>
      <c r="AU539">
        <v>0</v>
      </c>
      <c r="AV539">
        <v>0</v>
      </c>
      <c r="AW539">
        <v>0</v>
      </c>
      <c r="AX539">
        <v>0</v>
      </c>
      <c r="AY539">
        <v>0</v>
      </c>
      <c r="AZ539" s="21">
        <v>0</v>
      </c>
      <c r="BA539" s="21">
        <v>0</v>
      </c>
      <c r="BB539" s="21">
        <v>1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 s="21">
        <v>0</v>
      </c>
      <c r="BS539" s="21">
        <v>0</v>
      </c>
    </row>
    <row r="540" spans="1:71">
      <c r="A540" s="20" t="s">
        <v>4823</v>
      </c>
      <c r="B540">
        <v>98</v>
      </c>
      <c r="C540">
        <v>596</v>
      </c>
      <c r="D540">
        <v>2018</v>
      </c>
      <c r="E540">
        <v>-1.0589999999999999</v>
      </c>
      <c r="F540">
        <f t="shared" si="33"/>
        <v>0.37686832740213522</v>
      </c>
      <c r="G540">
        <v>-2.81</v>
      </c>
      <c r="H540" s="27">
        <v>1</v>
      </c>
      <c r="I540">
        <v>1</v>
      </c>
      <c r="J540">
        <v>5200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2012</v>
      </c>
      <c r="V540">
        <v>2012</v>
      </c>
      <c r="W540">
        <f t="shared" si="31"/>
        <v>2012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 s="21">
        <v>0</v>
      </c>
      <c r="AO540" s="21">
        <v>0</v>
      </c>
      <c r="AP540" s="21">
        <v>1</v>
      </c>
      <c r="AQ540">
        <v>0</v>
      </c>
      <c r="AR540">
        <v>0</v>
      </c>
      <c r="AS540">
        <v>1</v>
      </c>
      <c r="AT540">
        <v>1</v>
      </c>
      <c r="AU540">
        <v>0</v>
      </c>
      <c r="AV540">
        <v>0</v>
      </c>
      <c r="AW540">
        <v>0</v>
      </c>
      <c r="AX540">
        <v>0</v>
      </c>
      <c r="AY540">
        <v>0</v>
      </c>
      <c r="AZ540" s="21">
        <v>0</v>
      </c>
      <c r="BA540" s="21">
        <v>0</v>
      </c>
      <c r="BB540" s="21">
        <v>1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 s="21">
        <v>0</v>
      </c>
      <c r="BS540" s="21">
        <v>0</v>
      </c>
    </row>
    <row r="541" spans="1:71">
      <c r="A541" s="20" t="s">
        <v>4823</v>
      </c>
      <c r="B541">
        <v>98</v>
      </c>
      <c r="C541">
        <v>597</v>
      </c>
      <c r="D541">
        <v>2018</v>
      </c>
      <c r="E541">
        <v>-0.92600000000000005</v>
      </c>
      <c r="F541">
        <f t="shared" si="33"/>
        <v>0.32953736654804272</v>
      </c>
      <c r="G541">
        <v>-2.81</v>
      </c>
      <c r="H541" s="27">
        <v>1</v>
      </c>
      <c r="I541">
        <v>1</v>
      </c>
      <c r="J541">
        <v>5200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2000</v>
      </c>
      <c r="V541">
        <v>2012</v>
      </c>
      <c r="W541">
        <f t="shared" si="31"/>
        <v>2006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1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 s="21">
        <v>0</v>
      </c>
      <c r="AO541" s="21">
        <v>0</v>
      </c>
      <c r="AP541" s="21">
        <v>1</v>
      </c>
      <c r="AQ541">
        <v>0</v>
      </c>
      <c r="AR541">
        <v>1</v>
      </c>
      <c r="AS541">
        <v>1</v>
      </c>
      <c r="AT541">
        <v>1</v>
      </c>
      <c r="AU541">
        <v>0</v>
      </c>
      <c r="AV541">
        <v>0</v>
      </c>
      <c r="AW541">
        <v>0</v>
      </c>
      <c r="AX541">
        <v>0</v>
      </c>
      <c r="AY541">
        <v>0</v>
      </c>
      <c r="AZ541" s="21">
        <v>0</v>
      </c>
      <c r="BA541" s="21">
        <v>0</v>
      </c>
      <c r="BB541" s="21">
        <v>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1</v>
      </c>
      <c r="BI541">
        <v>0</v>
      </c>
      <c r="BJ541">
        <v>0</v>
      </c>
      <c r="BK541">
        <v>0</v>
      </c>
      <c r="BL541">
        <v>1</v>
      </c>
      <c r="BM541">
        <v>0</v>
      </c>
      <c r="BN541">
        <v>0</v>
      </c>
      <c r="BO541">
        <v>0</v>
      </c>
      <c r="BP541">
        <v>0</v>
      </c>
      <c r="BQ541">
        <v>0</v>
      </c>
      <c r="BR541" s="21">
        <v>1</v>
      </c>
      <c r="BS541" s="21">
        <v>0</v>
      </c>
    </row>
    <row r="542" spans="1:71">
      <c r="A542" s="20" t="s">
        <v>4823</v>
      </c>
      <c r="B542">
        <v>98</v>
      </c>
      <c r="C542">
        <v>598</v>
      </c>
      <c r="D542">
        <v>2018</v>
      </c>
      <c r="E542">
        <v>-0.874</v>
      </c>
      <c r="F542">
        <f t="shared" si="33"/>
        <v>0.31103202846975087</v>
      </c>
      <c r="G542">
        <v>-2.81</v>
      </c>
      <c r="H542" s="27">
        <v>1</v>
      </c>
      <c r="I542">
        <v>1</v>
      </c>
      <c r="J542">
        <v>5200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2000</v>
      </c>
      <c r="V542">
        <v>2000</v>
      </c>
      <c r="W542">
        <f t="shared" si="31"/>
        <v>2000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 s="21">
        <v>0</v>
      </c>
      <c r="AO542" s="21">
        <v>0</v>
      </c>
      <c r="AP542" s="21">
        <v>1</v>
      </c>
      <c r="AQ542">
        <v>0</v>
      </c>
      <c r="AR542">
        <v>0</v>
      </c>
      <c r="AS542">
        <v>1</v>
      </c>
      <c r="AT542">
        <v>1</v>
      </c>
      <c r="AU542">
        <v>0</v>
      </c>
      <c r="AV542">
        <v>0</v>
      </c>
      <c r="AW542">
        <v>0</v>
      </c>
      <c r="AX542">
        <v>0</v>
      </c>
      <c r="AY542">
        <v>0</v>
      </c>
      <c r="AZ542" s="21">
        <v>0</v>
      </c>
      <c r="BA542" s="21">
        <v>0</v>
      </c>
      <c r="BB542" s="21">
        <v>1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1</v>
      </c>
      <c r="BI542">
        <v>0</v>
      </c>
      <c r="BJ542">
        <v>0</v>
      </c>
      <c r="BK542">
        <v>0</v>
      </c>
      <c r="BL542">
        <v>1</v>
      </c>
      <c r="BM542">
        <v>0</v>
      </c>
      <c r="BN542">
        <v>0</v>
      </c>
      <c r="BO542">
        <v>0</v>
      </c>
      <c r="BP542">
        <v>0</v>
      </c>
      <c r="BQ542">
        <v>0</v>
      </c>
      <c r="BR542" s="21">
        <v>1</v>
      </c>
      <c r="BS542" s="21">
        <v>0</v>
      </c>
    </row>
    <row r="543" spans="1:71">
      <c r="A543" s="20" t="s">
        <v>4823</v>
      </c>
      <c r="B543">
        <v>98</v>
      </c>
      <c r="C543">
        <v>599</v>
      </c>
      <c r="D543">
        <v>2018</v>
      </c>
      <c r="E543">
        <v>-0.86</v>
      </c>
      <c r="F543">
        <f t="shared" si="33"/>
        <v>0.30604982206405695</v>
      </c>
      <c r="G543">
        <v>-2.81</v>
      </c>
      <c r="H543" s="27">
        <v>1</v>
      </c>
      <c r="I543">
        <v>1</v>
      </c>
      <c r="J543">
        <v>5200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2001</v>
      </c>
      <c r="V543">
        <v>2001</v>
      </c>
      <c r="W543">
        <f t="shared" si="31"/>
        <v>2001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 s="21">
        <v>0</v>
      </c>
      <c r="AO543" s="21">
        <v>0</v>
      </c>
      <c r="AP543" s="21">
        <v>1</v>
      </c>
      <c r="AQ543">
        <v>0</v>
      </c>
      <c r="AR543">
        <v>0</v>
      </c>
      <c r="AS543">
        <v>1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0</v>
      </c>
      <c r="AZ543" s="21">
        <v>0</v>
      </c>
      <c r="BA543" s="21">
        <v>0</v>
      </c>
      <c r="BB543" s="21">
        <v>1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1</v>
      </c>
      <c r="BI543">
        <v>0</v>
      </c>
      <c r="BJ543">
        <v>0</v>
      </c>
      <c r="BK543">
        <v>0</v>
      </c>
      <c r="BL543">
        <v>1</v>
      </c>
      <c r="BM543">
        <v>0</v>
      </c>
      <c r="BN543">
        <v>0</v>
      </c>
      <c r="BO543">
        <v>0</v>
      </c>
      <c r="BP543">
        <v>0</v>
      </c>
      <c r="BQ543">
        <v>0</v>
      </c>
      <c r="BR543" s="21">
        <v>1</v>
      </c>
      <c r="BS543" s="21">
        <v>0</v>
      </c>
    </row>
    <row r="544" spans="1:71">
      <c r="A544" s="20" t="s">
        <v>4823</v>
      </c>
      <c r="B544">
        <v>98</v>
      </c>
      <c r="C544">
        <v>600</v>
      </c>
      <c r="D544">
        <v>2018</v>
      </c>
      <c r="E544">
        <v>-0.83399999999999996</v>
      </c>
      <c r="F544">
        <f t="shared" si="33"/>
        <v>0.296797153024911</v>
      </c>
      <c r="G544">
        <v>-2.81</v>
      </c>
      <c r="H544" s="27">
        <v>1</v>
      </c>
      <c r="I544">
        <v>1</v>
      </c>
      <c r="J544">
        <v>5200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2002</v>
      </c>
      <c r="V544">
        <v>2002</v>
      </c>
      <c r="W544">
        <f t="shared" si="31"/>
        <v>2002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 s="21">
        <v>0</v>
      </c>
      <c r="AO544" s="21">
        <v>0</v>
      </c>
      <c r="AP544" s="21">
        <v>1</v>
      </c>
      <c r="AQ544">
        <v>0</v>
      </c>
      <c r="AR544">
        <v>0</v>
      </c>
      <c r="AS544">
        <v>1</v>
      </c>
      <c r="AT544">
        <v>1</v>
      </c>
      <c r="AU544">
        <v>0</v>
      </c>
      <c r="AV544">
        <v>0</v>
      </c>
      <c r="AW544">
        <v>0</v>
      </c>
      <c r="AX544">
        <v>0</v>
      </c>
      <c r="AY544">
        <v>0</v>
      </c>
      <c r="AZ544" s="21">
        <v>0</v>
      </c>
      <c r="BA544" s="21">
        <v>0</v>
      </c>
      <c r="BB544" s="21">
        <v>1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</v>
      </c>
      <c r="BI544">
        <v>0</v>
      </c>
      <c r="BJ544">
        <v>0</v>
      </c>
      <c r="BK544">
        <v>0</v>
      </c>
      <c r="BL544">
        <v>1</v>
      </c>
      <c r="BM544">
        <v>0</v>
      </c>
      <c r="BN544">
        <v>0</v>
      </c>
      <c r="BO544">
        <v>0</v>
      </c>
      <c r="BP544">
        <v>0</v>
      </c>
      <c r="BQ544">
        <v>0</v>
      </c>
      <c r="BR544" s="21">
        <v>1</v>
      </c>
      <c r="BS544" s="21">
        <v>0</v>
      </c>
    </row>
    <row r="545" spans="1:71">
      <c r="A545" s="20" t="s">
        <v>4823</v>
      </c>
      <c r="B545">
        <v>98</v>
      </c>
      <c r="C545">
        <v>601</v>
      </c>
      <c r="D545">
        <v>2018</v>
      </c>
      <c r="E545">
        <v>-0.86</v>
      </c>
      <c r="F545">
        <f t="shared" si="33"/>
        <v>0.30604982206405695</v>
      </c>
      <c r="G545">
        <v>-2.81</v>
      </c>
      <c r="H545" s="27">
        <v>1</v>
      </c>
      <c r="I545">
        <v>1</v>
      </c>
      <c r="J545">
        <v>5200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2003</v>
      </c>
      <c r="V545">
        <v>2003</v>
      </c>
      <c r="W545">
        <f t="shared" si="31"/>
        <v>2003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 s="21">
        <v>0</v>
      </c>
      <c r="AO545" s="21">
        <v>0</v>
      </c>
      <c r="AP545" s="21">
        <v>1</v>
      </c>
      <c r="AQ545">
        <v>0</v>
      </c>
      <c r="AR545">
        <v>0</v>
      </c>
      <c r="AS545">
        <v>1</v>
      </c>
      <c r="AT545">
        <v>1</v>
      </c>
      <c r="AU545">
        <v>0</v>
      </c>
      <c r="AV545">
        <v>0</v>
      </c>
      <c r="AW545">
        <v>0</v>
      </c>
      <c r="AX545">
        <v>0</v>
      </c>
      <c r="AY545">
        <v>0</v>
      </c>
      <c r="AZ545" s="21">
        <v>0</v>
      </c>
      <c r="BA545" s="21">
        <v>0</v>
      </c>
      <c r="BB545" s="21">
        <v>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1</v>
      </c>
      <c r="BI545">
        <v>0</v>
      </c>
      <c r="BJ545">
        <v>0</v>
      </c>
      <c r="BK545">
        <v>0</v>
      </c>
      <c r="BL545">
        <v>1</v>
      </c>
      <c r="BM545">
        <v>0</v>
      </c>
      <c r="BN545">
        <v>0</v>
      </c>
      <c r="BO545">
        <v>0</v>
      </c>
      <c r="BP545">
        <v>0</v>
      </c>
      <c r="BQ545">
        <v>0</v>
      </c>
      <c r="BR545" s="21">
        <v>1</v>
      </c>
      <c r="BS545" s="21">
        <v>0</v>
      </c>
    </row>
    <row r="546" spans="1:71">
      <c r="A546" s="20" t="s">
        <v>4823</v>
      </c>
      <c r="B546">
        <v>98</v>
      </c>
      <c r="C546">
        <v>602</v>
      </c>
      <c r="D546">
        <v>2018</v>
      </c>
      <c r="E546">
        <v>-0.86499999999999999</v>
      </c>
      <c r="F546">
        <f t="shared" si="33"/>
        <v>0.30782918149466193</v>
      </c>
      <c r="G546">
        <v>-2.81</v>
      </c>
      <c r="H546" s="27">
        <v>1</v>
      </c>
      <c r="I546">
        <v>1</v>
      </c>
      <c r="J546">
        <v>5200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2004</v>
      </c>
      <c r="V546">
        <v>2004</v>
      </c>
      <c r="W546">
        <f t="shared" si="31"/>
        <v>2004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 s="21">
        <v>0</v>
      </c>
      <c r="AO546" s="21">
        <v>0</v>
      </c>
      <c r="AP546" s="21">
        <v>1</v>
      </c>
      <c r="AQ546">
        <v>0</v>
      </c>
      <c r="AR546">
        <v>0</v>
      </c>
      <c r="AS546">
        <v>1</v>
      </c>
      <c r="AT546">
        <v>1</v>
      </c>
      <c r="AU546">
        <v>0</v>
      </c>
      <c r="AV546">
        <v>0</v>
      </c>
      <c r="AW546">
        <v>0</v>
      </c>
      <c r="AX546">
        <v>0</v>
      </c>
      <c r="AY546">
        <v>0</v>
      </c>
      <c r="AZ546" s="21">
        <v>0</v>
      </c>
      <c r="BA546" s="21">
        <v>0</v>
      </c>
      <c r="BB546" s="21">
        <v>1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1</v>
      </c>
      <c r="BI546">
        <v>0</v>
      </c>
      <c r="BJ546">
        <v>0</v>
      </c>
      <c r="BK546">
        <v>0</v>
      </c>
      <c r="BL546">
        <v>1</v>
      </c>
      <c r="BM546">
        <v>0</v>
      </c>
      <c r="BN546">
        <v>0</v>
      </c>
      <c r="BO546">
        <v>0</v>
      </c>
      <c r="BP546">
        <v>0</v>
      </c>
      <c r="BQ546">
        <v>0</v>
      </c>
      <c r="BR546" s="21">
        <v>1</v>
      </c>
      <c r="BS546" s="21">
        <v>0</v>
      </c>
    </row>
    <row r="547" spans="1:71">
      <c r="A547" s="20" t="s">
        <v>4823</v>
      </c>
      <c r="B547">
        <v>98</v>
      </c>
      <c r="C547">
        <v>603</v>
      </c>
      <c r="D547">
        <v>2018</v>
      </c>
      <c r="E547">
        <v>-0.89400000000000002</v>
      </c>
      <c r="F547">
        <f t="shared" si="33"/>
        <v>0.31814946619217083</v>
      </c>
      <c r="G547">
        <v>-2.81</v>
      </c>
      <c r="H547" s="27">
        <v>1</v>
      </c>
      <c r="I547">
        <v>1</v>
      </c>
      <c r="J547">
        <v>5200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2005</v>
      </c>
      <c r="V547">
        <v>2005</v>
      </c>
      <c r="W547">
        <f t="shared" si="31"/>
        <v>2005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 s="21">
        <v>0</v>
      </c>
      <c r="AO547" s="21">
        <v>0</v>
      </c>
      <c r="AP547" s="21">
        <v>1</v>
      </c>
      <c r="AQ547">
        <v>0</v>
      </c>
      <c r="AR547">
        <v>0</v>
      </c>
      <c r="AS547">
        <v>1</v>
      </c>
      <c r="AT547">
        <v>1</v>
      </c>
      <c r="AU547">
        <v>0</v>
      </c>
      <c r="AV547">
        <v>0</v>
      </c>
      <c r="AW547">
        <v>0</v>
      </c>
      <c r="AX547">
        <v>0</v>
      </c>
      <c r="AY547">
        <v>0</v>
      </c>
      <c r="AZ547" s="21">
        <v>0</v>
      </c>
      <c r="BA547" s="21">
        <v>0</v>
      </c>
      <c r="BB547" s="21">
        <v>1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1</v>
      </c>
      <c r="BI547">
        <v>0</v>
      </c>
      <c r="BJ547">
        <v>0</v>
      </c>
      <c r="BK547">
        <v>0</v>
      </c>
      <c r="BL547">
        <v>1</v>
      </c>
      <c r="BM547">
        <v>0</v>
      </c>
      <c r="BN547">
        <v>0</v>
      </c>
      <c r="BO547">
        <v>0</v>
      </c>
      <c r="BP547">
        <v>0</v>
      </c>
      <c r="BQ547">
        <v>0</v>
      </c>
      <c r="BR547" s="21">
        <v>1</v>
      </c>
      <c r="BS547" s="21">
        <v>0</v>
      </c>
    </row>
    <row r="548" spans="1:71">
      <c r="A548" s="20" t="s">
        <v>4823</v>
      </c>
      <c r="B548">
        <v>98</v>
      </c>
      <c r="C548">
        <v>604</v>
      </c>
      <c r="D548">
        <v>2018</v>
      </c>
      <c r="E548">
        <v>-0.89700000000000002</v>
      </c>
      <c r="F548">
        <f t="shared" si="33"/>
        <v>0.31921708185053382</v>
      </c>
      <c r="G548">
        <v>-2.81</v>
      </c>
      <c r="H548" s="27">
        <v>1</v>
      </c>
      <c r="I548">
        <v>1</v>
      </c>
      <c r="J548">
        <v>5200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2006</v>
      </c>
      <c r="V548">
        <v>2006</v>
      </c>
      <c r="W548">
        <f t="shared" si="31"/>
        <v>2006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 s="21">
        <v>0</v>
      </c>
      <c r="AO548" s="21">
        <v>0</v>
      </c>
      <c r="AP548" s="21">
        <v>1</v>
      </c>
      <c r="AQ548">
        <v>0</v>
      </c>
      <c r="AR548">
        <v>0</v>
      </c>
      <c r="AS548">
        <v>1</v>
      </c>
      <c r="AT548">
        <v>1</v>
      </c>
      <c r="AU548">
        <v>0</v>
      </c>
      <c r="AV548">
        <v>0</v>
      </c>
      <c r="AW548">
        <v>0</v>
      </c>
      <c r="AX548">
        <v>0</v>
      </c>
      <c r="AY548">
        <v>0</v>
      </c>
      <c r="AZ548" s="21">
        <v>0</v>
      </c>
      <c r="BA548" s="21">
        <v>0</v>
      </c>
      <c r="BB548" s="21">
        <v>1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1</v>
      </c>
      <c r="BI548">
        <v>0</v>
      </c>
      <c r="BJ548">
        <v>0</v>
      </c>
      <c r="BK548">
        <v>0</v>
      </c>
      <c r="BL548">
        <v>1</v>
      </c>
      <c r="BM548">
        <v>0</v>
      </c>
      <c r="BN548">
        <v>0</v>
      </c>
      <c r="BO548">
        <v>0</v>
      </c>
      <c r="BP548">
        <v>0</v>
      </c>
      <c r="BQ548">
        <v>0</v>
      </c>
      <c r="BR548" s="21">
        <v>1</v>
      </c>
      <c r="BS548" s="21">
        <v>0</v>
      </c>
    </row>
    <row r="549" spans="1:71">
      <c r="A549" s="20" t="s">
        <v>4823</v>
      </c>
      <c r="B549">
        <v>98</v>
      </c>
      <c r="C549">
        <v>605</v>
      </c>
      <c r="D549">
        <v>2018</v>
      </c>
      <c r="E549">
        <v>-0.90500000000000003</v>
      </c>
      <c r="F549">
        <f t="shared" si="33"/>
        <v>0.3220640569395018</v>
      </c>
      <c r="G549">
        <v>-2.81</v>
      </c>
      <c r="H549" s="27">
        <v>1</v>
      </c>
      <c r="I549">
        <v>1</v>
      </c>
      <c r="J549">
        <v>5200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2007</v>
      </c>
      <c r="V549">
        <v>2007</v>
      </c>
      <c r="W549">
        <f t="shared" si="31"/>
        <v>2007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 s="21">
        <v>0</v>
      </c>
      <c r="AO549" s="21">
        <v>0</v>
      </c>
      <c r="AP549" s="21">
        <v>1</v>
      </c>
      <c r="AQ549">
        <v>0</v>
      </c>
      <c r="AR549">
        <v>0</v>
      </c>
      <c r="AS549">
        <v>1</v>
      </c>
      <c r="AT549">
        <v>1</v>
      </c>
      <c r="AU549">
        <v>0</v>
      </c>
      <c r="AV549">
        <v>0</v>
      </c>
      <c r="AW549">
        <v>0</v>
      </c>
      <c r="AX549">
        <v>0</v>
      </c>
      <c r="AY549">
        <v>0</v>
      </c>
      <c r="AZ549" s="21">
        <v>0</v>
      </c>
      <c r="BA549" s="21">
        <v>0</v>
      </c>
      <c r="BB549" s="21">
        <v>1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1</v>
      </c>
      <c r="BI549">
        <v>0</v>
      </c>
      <c r="BJ549">
        <v>0</v>
      </c>
      <c r="BK549">
        <v>0</v>
      </c>
      <c r="BL549">
        <v>1</v>
      </c>
      <c r="BM549">
        <v>0</v>
      </c>
      <c r="BN549">
        <v>0</v>
      </c>
      <c r="BO549">
        <v>0</v>
      </c>
      <c r="BP549">
        <v>0</v>
      </c>
      <c r="BQ549">
        <v>0</v>
      </c>
      <c r="BR549" s="21">
        <v>1</v>
      </c>
      <c r="BS549" s="21">
        <v>0</v>
      </c>
    </row>
    <row r="550" spans="1:71">
      <c r="A550" s="20" t="s">
        <v>4823</v>
      </c>
      <c r="B550">
        <v>98</v>
      </c>
      <c r="C550">
        <v>606</v>
      </c>
      <c r="D550">
        <v>2018</v>
      </c>
      <c r="E550">
        <v>-0.93700000000000006</v>
      </c>
      <c r="F550">
        <f t="shared" si="33"/>
        <v>0.33345195729537369</v>
      </c>
      <c r="G550">
        <v>-2.81</v>
      </c>
      <c r="H550" s="27">
        <v>1</v>
      </c>
      <c r="I550">
        <v>1</v>
      </c>
      <c r="J550">
        <v>5200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2008</v>
      </c>
      <c r="V550">
        <v>2008</v>
      </c>
      <c r="W550">
        <f t="shared" si="31"/>
        <v>2008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 s="21">
        <v>0</v>
      </c>
      <c r="AO550" s="21">
        <v>0</v>
      </c>
      <c r="AP550" s="21">
        <v>1</v>
      </c>
      <c r="AQ550">
        <v>0</v>
      </c>
      <c r="AR550">
        <v>0</v>
      </c>
      <c r="AS550">
        <v>1</v>
      </c>
      <c r="AT550">
        <v>1</v>
      </c>
      <c r="AU550">
        <v>0</v>
      </c>
      <c r="AV550">
        <v>0</v>
      </c>
      <c r="AW550">
        <v>0</v>
      </c>
      <c r="AX550">
        <v>0</v>
      </c>
      <c r="AY550">
        <v>0</v>
      </c>
      <c r="AZ550" s="21">
        <v>0</v>
      </c>
      <c r="BA550" s="21">
        <v>0</v>
      </c>
      <c r="BB550" s="21">
        <v>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1</v>
      </c>
      <c r="BI550">
        <v>0</v>
      </c>
      <c r="BJ550">
        <v>0</v>
      </c>
      <c r="BK550">
        <v>0</v>
      </c>
      <c r="BL550">
        <v>1</v>
      </c>
      <c r="BM550">
        <v>0</v>
      </c>
      <c r="BN550">
        <v>0</v>
      </c>
      <c r="BO550">
        <v>0</v>
      </c>
      <c r="BP550">
        <v>0</v>
      </c>
      <c r="BQ550">
        <v>0</v>
      </c>
      <c r="BR550" s="21">
        <v>1</v>
      </c>
      <c r="BS550" s="21">
        <v>0</v>
      </c>
    </row>
    <row r="551" spans="1:71">
      <c r="A551" s="20" t="s">
        <v>4823</v>
      </c>
      <c r="B551">
        <v>98</v>
      </c>
      <c r="C551">
        <v>607</v>
      </c>
      <c r="D551">
        <v>2018</v>
      </c>
      <c r="E551">
        <v>-0.98099999999999998</v>
      </c>
      <c r="F551">
        <f t="shared" si="33"/>
        <v>0.34911032028469752</v>
      </c>
      <c r="G551">
        <v>-2.81</v>
      </c>
      <c r="H551" s="27">
        <v>1</v>
      </c>
      <c r="I551">
        <v>1</v>
      </c>
      <c r="J551">
        <v>5200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2009</v>
      </c>
      <c r="V551">
        <v>2009</v>
      </c>
      <c r="W551">
        <f t="shared" si="31"/>
        <v>2009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 s="21">
        <v>0</v>
      </c>
      <c r="AO551" s="21">
        <v>0</v>
      </c>
      <c r="AP551" s="21">
        <v>1</v>
      </c>
      <c r="AQ551">
        <v>0</v>
      </c>
      <c r="AR551">
        <v>0</v>
      </c>
      <c r="AS551">
        <v>1</v>
      </c>
      <c r="AT551">
        <v>1</v>
      </c>
      <c r="AU551">
        <v>0</v>
      </c>
      <c r="AV551">
        <v>0</v>
      </c>
      <c r="AW551">
        <v>0</v>
      </c>
      <c r="AX551">
        <v>0</v>
      </c>
      <c r="AY551">
        <v>0</v>
      </c>
      <c r="AZ551" s="21">
        <v>0</v>
      </c>
      <c r="BA551" s="21">
        <v>0</v>
      </c>
      <c r="BB551" s="21">
        <v>1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1</v>
      </c>
      <c r="BI551">
        <v>0</v>
      </c>
      <c r="BJ551">
        <v>0</v>
      </c>
      <c r="BK551">
        <v>0</v>
      </c>
      <c r="BL551">
        <v>1</v>
      </c>
      <c r="BM551">
        <v>0</v>
      </c>
      <c r="BN551">
        <v>0</v>
      </c>
      <c r="BO551">
        <v>0</v>
      </c>
      <c r="BP551">
        <v>0</v>
      </c>
      <c r="BQ551">
        <v>0</v>
      </c>
      <c r="BR551" s="21">
        <v>1</v>
      </c>
      <c r="BS551" s="21">
        <v>0</v>
      </c>
    </row>
    <row r="552" spans="1:71">
      <c r="A552" s="20" t="s">
        <v>4823</v>
      </c>
      <c r="B552">
        <v>98</v>
      </c>
      <c r="C552">
        <v>608</v>
      </c>
      <c r="D552">
        <v>2018</v>
      </c>
      <c r="E552">
        <v>-1.016</v>
      </c>
      <c r="F552">
        <f t="shared" si="33"/>
        <v>0.36156583629893241</v>
      </c>
      <c r="G552">
        <v>-2.81</v>
      </c>
      <c r="H552" s="27">
        <v>1</v>
      </c>
      <c r="I552">
        <v>1</v>
      </c>
      <c r="J552">
        <v>5200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2010</v>
      </c>
      <c r="V552">
        <v>2010</v>
      </c>
      <c r="W552">
        <f t="shared" si="31"/>
        <v>2010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 s="21">
        <v>0</v>
      </c>
      <c r="AO552" s="21">
        <v>0</v>
      </c>
      <c r="AP552" s="21">
        <v>1</v>
      </c>
      <c r="AQ552">
        <v>0</v>
      </c>
      <c r="AR552">
        <v>0</v>
      </c>
      <c r="AS552">
        <v>1</v>
      </c>
      <c r="AT552">
        <v>1</v>
      </c>
      <c r="AU552">
        <v>0</v>
      </c>
      <c r="AV552">
        <v>0</v>
      </c>
      <c r="AW552">
        <v>0</v>
      </c>
      <c r="AX552">
        <v>0</v>
      </c>
      <c r="AY552">
        <v>0</v>
      </c>
      <c r="AZ552" s="21">
        <v>0</v>
      </c>
      <c r="BA552" s="21">
        <v>0</v>
      </c>
      <c r="BB552" s="21">
        <v>1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1</v>
      </c>
      <c r="BI552">
        <v>0</v>
      </c>
      <c r="BJ552">
        <v>0</v>
      </c>
      <c r="BK552">
        <v>0</v>
      </c>
      <c r="BL552">
        <v>1</v>
      </c>
      <c r="BM552">
        <v>0</v>
      </c>
      <c r="BN552">
        <v>0</v>
      </c>
      <c r="BO552">
        <v>0</v>
      </c>
      <c r="BP552">
        <v>0</v>
      </c>
      <c r="BQ552">
        <v>0</v>
      </c>
      <c r="BR552" s="21">
        <v>1</v>
      </c>
      <c r="BS552" s="21">
        <v>0</v>
      </c>
    </row>
    <row r="553" spans="1:71">
      <c r="A553" s="20" t="s">
        <v>4823</v>
      </c>
      <c r="B553">
        <v>98</v>
      </c>
      <c r="C553">
        <v>609</v>
      </c>
      <c r="D553">
        <v>2018</v>
      </c>
      <c r="E553">
        <v>-1.036</v>
      </c>
      <c r="F553">
        <f t="shared" si="33"/>
        <v>0.36868327402135231</v>
      </c>
      <c r="G553">
        <v>-2.81</v>
      </c>
      <c r="H553" s="27">
        <v>1</v>
      </c>
      <c r="I553">
        <v>1</v>
      </c>
      <c r="J553">
        <v>5200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2011</v>
      </c>
      <c r="V553">
        <v>2011</v>
      </c>
      <c r="W553">
        <f t="shared" si="31"/>
        <v>2011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 s="21">
        <v>0</v>
      </c>
      <c r="AO553" s="21">
        <v>0</v>
      </c>
      <c r="AP553" s="21">
        <v>1</v>
      </c>
      <c r="AQ553">
        <v>0</v>
      </c>
      <c r="AR553">
        <v>0</v>
      </c>
      <c r="AS553">
        <v>1</v>
      </c>
      <c r="AT553">
        <v>1</v>
      </c>
      <c r="AU553">
        <v>0</v>
      </c>
      <c r="AV553">
        <v>0</v>
      </c>
      <c r="AW553">
        <v>0</v>
      </c>
      <c r="AX553">
        <v>0</v>
      </c>
      <c r="AY553">
        <v>0</v>
      </c>
      <c r="AZ553" s="21">
        <v>0</v>
      </c>
      <c r="BA553" s="21">
        <v>0</v>
      </c>
      <c r="BB553" s="21">
        <v>1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1</v>
      </c>
      <c r="BI553">
        <v>0</v>
      </c>
      <c r="BJ553">
        <v>0</v>
      </c>
      <c r="BK553">
        <v>0</v>
      </c>
      <c r="BL553">
        <v>1</v>
      </c>
      <c r="BM553">
        <v>0</v>
      </c>
      <c r="BN553">
        <v>0</v>
      </c>
      <c r="BO553">
        <v>0</v>
      </c>
      <c r="BP553">
        <v>0</v>
      </c>
      <c r="BQ553">
        <v>0</v>
      </c>
      <c r="BR553" s="21">
        <v>1</v>
      </c>
      <c r="BS553" s="21">
        <v>0</v>
      </c>
    </row>
    <row r="554" spans="1:71">
      <c r="A554" s="20" t="s">
        <v>4823</v>
      </c>
      <c r="B554">
        <v>98</v>
      </c>
      <c r="C554">
        <v>610</v>
      </c>
      <c r="D554">
        <v>2018</v>
      </c>
      <c r="E554">
        <v>-1.0509999999999999</v>
      </c>
      <c r="F554">
        <f t="shared" si="33"/>
        <v>0.37402135231316724</v>
      </c>
      <c r="G554">
        <v>-2.81</v>
      </c>
      <c r="H554" s="27">
        <v>1</v>
      </c>
      <c r="I554">
        <v>1</v>
      </c>
      <c r="J554">
        <v>5200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2012</v>
      </c>
      <c r="V554">
        <v>2012</v>
      </c>
      <c r="W554">
        <f t="shared" si="31"/>
        <v>2012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 s="21">
        <v>0</v>
      </c>
      <c r="AO554" s="21">
        <v>0</v>
      </c>
      <c r="AP554" s="21">
        <v>1</v>
      </c>
      <c r="AQ554">
        <v>0</v>
      </c>
      <c r="AR554">
        <v>0</v>
      </c>
      <c r="AS554">
        <v>1</v>
      </c>
      <c r="AT554">
        <v>1</v>
      </c>
      <c r="AU554">
        <v>0</v>
      </c>
      <c r="AV554">
        <v>0</v>
      </c>
      <c r="AW554">
        <v>0</v>
      </c>
      <c r="AX554">
        <v>0</v>
      </c>
      <c r="AY554">
        <v>0</v>
      </c>
      <c r="AZ554" s="21">
        <v>0</v>
      </c>
      <c r="BA554" s="21">
        <v>0</v>
      </c>
      <c r="BB554" s="21">
        <v>1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1</v>
      </c>
      <c r="BI554">
        <v>0</v>
      </c>
      <c r="BJ554">
        <v>0</v>
      </c>
      <c r="BK554">
        <v>0</v>
      </c>
      <c r="BL554">
        <v>1</v>
      </c>
      <c r="BM554">
        <v>0</v>
      </c>
      <c r="BN554">
        <v>0</v>
      </c>
      <c r="BO554">
        <v>0</v>
      </c>
      <c r="BP554">
        <v>0</v>
      </c>
      <c r="BQ554">
        <v>0</v>
      </c>
      <c r="BR554" s="21">
        <v>1</v>
      </c>
      <c r="BS554" s="21">
        <v>0</v>
      </c>
    </row>
    <row r="555" spans="1:71">
      <c r="A555" s="20" t="s">
        <v>4823</v>
      </c>
      <c r="B555">
        <v>98</v>
      </c>
      <c r="C555">
        <v>611</v>
      </c>
      <c r="D555">
        <v>2018</v>
      </c>
      <c r="E555">
        <v>-0.93400000000000005</v>
      </c>
      <c r="F555">
        <f t="shared" si="33"/>
        <v>0.33238434163701069</v>
      </c>
      <c r="G555">
        <v>-2.81</v>
      </c>
      <c r="H555" s="27">
        <v>1</v>
      </c>
      <c r="I555">
        <v>1</v>
      </c>
      <c r="J555">
        <v>5200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2000</v>
      </c>
      <c r="V555">
        <v>2012</v>
      </c>
      <c r="W555">
        <f t="shared" si="31"/>
        <v>2006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1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 s="21">
        <v>0</v>
      </c>
      <c r="AO555" s="21">
        <v>0</v>
      </c>
      <c r="AP555" s="21">
        <v>1</v>
      </c>
      <c r="AQ555">
        <v>0</v>
      </c>
      <c r="AR555">
        <v>1</v>
      </c>
      <c r="AS555">
        <v>1</v>
      </c>
      <c r="AT555">
        <v>1</v>
      </c>
      <c r="AU555">
        <v>0</v>
      </c>
      <c r="AV555">
        <v>0</v>
      </c>
      <c r="AW555">
        <v>0</v>
      </c>
      <c r="AX555">
        <v>0</v>
      </c>
      <c r="AY555">
        <v>0</v>
      </c>
      <c r="AZ555" s="21">
        <v>0</v>
      </c>
      <c r="BA555" s="21">
        <v>0</v>
      </c>
      <c r="BB555" s="21">
        <v>1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 s="21">
        <v>0</v>
      </c>
      <c r="BS555" s="21">
        <v>0</v>
      </c>
    </row>
    <row r="556" spans="1:71">
      <c r="A556" s="45" t="s">
        <v>5000</v>
      </c>
      <c r="B556">
        <v>4</v>
      </c>
      <c r="C556">
        <v>14</v>
      </c>
      <c r="D556">
        <v>2017</v>
      </c>
      <c r="E556" s="14">
        <v>-1.24</v>
      </c>
      <c r="F556" s="14">
        <v>0.1</v>
      </c>
      <c r="G556" s="14">
        <f t="shared" ref="G556:G586" si="34">E556/F556</f>
        <v>-12.399999999999999</v>
      </c>
      <c r="H556" s="27">
        <v>0</v>
      </c>
      <c r="I556">
        <v>1</v>
      </c>
      <c r="J556">
        <v>319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2005</v>
      </c>
      <c r="V556">
        <v>2015</v>
      </c>
      <c r="W556">
        <f t="shared" si="31"/>
        <v>2010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0</v>
      </c>
      <c r="AO556">
        <v>1</v>
      </c>
      <c r="AP556">
        <v>0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0</v>
      </c>
      <c r="AW556">
        <v>1</v>
      </c>
      <c r="AX556">
        <v>0</v>
      </c>
      <c r="AY556">
        <v>1</v>
      </c>
      <c r="AZ556">
        <v>1</v>
      </c>
      <c r="BA556">
        <v>1</v>
      </c>
      <c r="BB556">
        <v>1</v>
      </c>
      <c r="BC556">
        <v>0</v>
      </c>
      <c r="BD556">
        <v>1</v>
      </c>
      <c r="BE556">
        <v>0</v>
      </c>
      <c r="BF556">
        <v>0</v>
      </c>
      <c r="BG556">
        <v>1</v>
      </c>
      <c r="BH556">
        <v>0</v>
      </c>
      <c r="BI556">
        <v>0</v>
      </c>
      <c r="BJ556">
        <v>0</v>
      </c>
      <c r="BK556">
        <v>1</v>
      </c>
      <c r="BL556">
        <v>1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</row>
    <row r="557" spans="1:71">
      <c r="A557" s="45" t="s">
        <v>5000</v>
      </c>
      <c r="B557">
        <v>4</v>
      </c>
      <c r="C557">
        <v>15</v>
      </c>
      <c r="D557">
        <v>2017</v>
      </c>
      <c r="E557" s="14">
        <v>-1.01</v>
      </c>
      <c r="F557" s="14">
        <v>0.12</v>
      </c>
      <c r="G557" s="14">
        <f t="shared" si="34"/>
        <v>-8.4166666666666679</v>
      </c>
      <c r="H557" s="27">
        <v>0</v>
      </c>
      <c r="I557">
        <v>1</v>
      </c>
      <c r="J557">
        <v>319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2005</v>
      </c>
      <c r="V557">
        <v>2015</v>
      </c>
      <c r="W557">
        <f t="shared" si="31"/>
        <v>2010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0</v>
      </c>
      <c r="AO557">
        <v>1</v>
      </c>
      <c r="AP557">
        <v>0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0</v>
      </c>
      <c r="AW557">
        <v>1</v>
      </c>
      <c r="AX557">
        <v>0</v>
      </c>
      <c r="AY557">
        <v>1</v>
      </c>
      <c r="AZ557">
        <v>1</v>
      </c>
      <c r="BA557">
        <v>1</v>
      </c>
      <c r="BB557">
        <v>1</v>
      </c>
      <c r="BC557">
        <v>0</v>
      </c>
      <c r="BD557">
        <v>1</v>
      </c>
      <c r="BE557">
        <v>0</v>
      </c>
      <c r="BF557">
        <v>0</v>
      </c>
      <c r="BG557">
        <v>1</v>
      </c>
      <c r="BH557">
        <v>0</v>
      </c>
      <c r="BI557">
        <v>0</v>
      </c>
      <c r="BJ557">
        <v>0</v>
      </c>
      <c r="BK557">
        <v>1</v>
      </c>
      <c r="BL557">
        <v>1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</row>
    <row r="558" spans="1:71">
      <c r="A558" s="45" t="s">
        <v>5000</v>
      </c>
      <c r="B558">
        <v>4</v>
      </c>
      <c r="C558">
        <v>16</v>
      </c>
      <c r="D558">
        <v>2017</v>
      </c>
      <c r="E558" s="14">
        <v>-1.62</v>
      </c>
      <c r="F558" s="14">
        <v>0.21</v>
      </c>
      <c r="G558" s="14">
        <f t="shared" si="34"/>
        <v>-7.7142857142857153</v>
      </c>
      <c r="H558" s="27">
        <v>0</v>
      </c>
      <c r="I558">
        <v>1</v>
      </c>
      <c r="J558">
        <v>319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2005</v>
      </c>
      <c r="V558">
        <v>2015</v>
      </c>
      <c r="W558">
        <f t="shared" si="31"/>
        <v>2010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0</v>
      </c>
      <c r="AO558">
        <v>1</v>
      </c>
      <c r="AP558">
        <v>0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0</v>
      </c>
      <c r="AW558">
        <v>1</v>
      </c>
      <c r="AX558">
        <v>0</v>
      </c>
      <c r="AY558">
        <v>1</v>
      </c>
      <c r="AZ558">
        <v>1</v>
      </c>
      <c r="BA558">
        <v>1</v>
      </c>
      <c r="BB558">
        <v>1</v>
      </c>
      <c r="BC558">
        <v>0</v>
      </c>
      <c r="BD558">
        <v>1</v>
      </c>
      <c r="BE558">
        <v>0</v>
      </c>
      <c r="BF558">
        <v>0</v>
      </c>
      <c r="BG558">
        <v>1</v>
      </c>
      <c r="BH558">
        <v>0</v>
      </c>
      <c r="BI558">
        <v>0</v>
      </c>
      <c r="BJ558">
        <v>0</v>
      </c>
      <c r="BK558">
        <v>1</v>
      </c>
      <c r="BL558">
        <v>1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</row>
    <row r="559" spans="1:71">
      <c r="A559" s="45" t="s">
        <v>5000</v>
      </c>
      <c r="B559">
        <v>4</v>
      </c>
      <c r="C559">
        <v>17</v>
      </c>
      <c r="D559">
        <v>2017</v>
      </c>
      <c r="E559" s="14">
        <v>-0.95</v>
      </c>
      <c r="F559" s="14">
        <v>0.01</v>
      </c>
      <c r="G559" s="14">
        <f t="shared" si="34"/>
        <v>-95</v>
      </c>
      <c r="H559" s="27">
        <v>0</v>
      </c>
      <c r="I559">
        <v>1</v>
      </c>
      <c r="J559">
        <v>319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2005</v>
      </c>
      <c r="V559">
        <v>2015</v>
      </c>
      <c r="W559">
        <f t="shared" si="31"/>
        <v>2010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0</v>
      </c>
      <c r="AO559">
        <v>1</v>
      </c>
      <c r="AP559">
        <v>0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0</v>
      </c>
      <c r="AW559">
        <v>1</v>
      </c>
      <c r="AX559">
        <v>0</v>
      </c>
      <c r="AY559">
        <v>1</v>
      </c>
      <c r="AZ559">
        <v>1</v>
      </c>
      <c r="BA559">
        <v>1</v>
      </c>
      <c r="BB559">
        <v>1</v>
      </c>
      <c r="BC559">
        <v>0</v>
      </c>
      <c r="BD559">
        <v>1</v>
      </c>
      <c r="BE559">
        <v>0</v>
      </c>
      <c r="BF559">
        <v>0</v>
      </c>
      <c r="BG559">
        <v>1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</row>
    <row r="560" spans="1:71">
      <c r="A560" s="45" t="s">
        <v>5000</v>
      </c>
      <c r="B560">
        <v>4</v>
      </c>
      <c r="C560">
        <v>18</v>
      </c>
      <c r="D560">
        <v>2017</v>
      </c>
      <c r="E560" s="14">
        <v>-0.72</v>
      </c>
      <c r="F560" s="14">
        <v>0.03</v>
      </c>
      <c r="G560" s="14">
        <f t="shared" si="34"/>
        <v>-24</v>
      </c>
      <c r="H560" s="27">
        <v>0</v>
      </c>
      <c r="I560">
        <v>1</v>
      </c>
      <c r="J560">
        <v>319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2005</v>
      </c>
      <c r="V560">
        <v>2015</v>
      </c>
      <c r="W560">
        <f t="shared" si="31"/>
        <v>2010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0</v>
      </c>
      <c r="AO560">
        <v>1</v>
      </c>
      <c r="AP560">
        <v>0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0</v>
      </c>
      <c r="AW560">
        <v>1</v>
      </c>
      <c r="AX560">
        <v>0</v>
      </c>
      <c r="AY560">
        <v>1</v>
      </c>
      <c r="AZ560">
        <v>1</v>
      </c>
      <c r="BA560">
        <v>1</v>
      </c>
      <c r="BB560">
        <v>1</v>
      </c>
      <c r="BC560">
        <v>0</v>
      </c>
      <c r="BD560">
        <v>1</v>
      </c>
      <c r="BE560">
        <v>0</v>
      </c>
      <c r="BF560">
        <v>0</v>
      </c>
      <c r="BG560">
        <v>1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</row>
    <row r="561" spans="1:71">
      <c r="A561" s="45" t="s">
        <v>5000</v>
      </c>
      <c r="B561">
        <v>4</v>
      </c>
      <c r="C561">
        <v>19</v>
      </c>
      <c r="D561">
        <v>2017</v>
      </c>
      <c r="E561" s="14">
        <v>-0.16</v>
      </c>
      <c r="F561" s="14">
        <v>0.17</v>
      </c>
      <c r="G561" s="14">
        <f t="shared" si="34"/>
        <v>-0.94117647058823528</v>
      </c>
      <c r="H561" s="27">
        <v>0</v>
      </c>
      <c r="I561">
        <v>1</v>
      </c>
      <c r="J561">
        <v>319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2005</v>
      </c>
      <c r="V561">
        <v>2015</v>
      </c>
      <c r="W561">
        <f t="shared" si="31"/>
        <v>2010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0</v>
      </c>
      <c r="AO561">
        <v>1</v>
      </c>
      <c r="AP561">
        <v>0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0</v>
      </c>
      <c r="AW561">
        <v>1</v>
      </c>
      <c r="AX561">
        <v>0</v>
      </c>
      <c r="AY561">
        <v>1</v>
      </c>
      <c r="AZ561">
        <v>1</v>
      </c>
      <c r="BA561">
        <v>1</v>
      </c>
      <c r="BB561">
        <v>1</v>
      </c>
      <c r="BC561">
        <v>0</v>
      </c>
      <c r="BD561">
        <v>1</v>
      </c>
      <c r="BE561">
        <v>0</v>
      </c>
      <c r="BF561">
        <v>0</v>
      </c>
      <c r="BG561">
        <v>1</v>
      </c>
      <c r="BH561">
        <v>0</v>
      </c>
      <c r="BI561">
        <v>0</v>
      </c>
      <c r="BJ561">
        <v>0</v>
      </c>
      <c r="BK561">
        <v>1</v>
      </c>
      <c r="BL561">
        <v>1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</row>
    <row r="562" spans="1:71">
      <c r="A562" s="45" t="s">
        <v>5000</v>
      </c>
      <c r="B562">
        <v>4</v>
      </c>
      <c r="C562">
        <v>20</v>
      </c>
      <c r="D562">
        <v>2017</v>
      </c>
      <c r="E562" s="14">
        <v>-1.1000000000000001</v>
      </c>
      <c r="F562" s="14">
        <v>0.1</v>
      </c>
      <c r="G562" s="14">
        <f t="shared" si="34"/>
        <v>-11</v>
      </c>
      <c r="H562" s="27">
        <v>0</v>
      </c>
      <c r="I562">
        <v>1</v>
      </c>
      <c r="J562">
        <v>319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2005</v>
      </c>
      <c r="V562">
        <v>2015</v>
      </c>
      <c r="W562">
        <f t="shared" si="31"/>
        <v>2010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0</v>
      </c>
      <c r="AO562">
        <v>1</v>
      </c>
      <c r="AP562">
        <v>0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0</v>
      </c>
      <c r="AW562">
        <v>1</v>
      </c>
      <c r="AX562">
        <v>0</v>
      </c>
      <c r="AY562">
        <v>1</v>
      </c>
      <c r="AZ562">
        <v>1</v>
      </c>
      <c r="BA562">
        <v>1</v>
      </c>
      <c r="BB562">
        <v>1</v>
      </c>
      <c r="BC562">
        <v>0</v>
      </c>
      <c r="BD562">
        <v>1</v>
      </c>
      <c r="BE562">
        <v>0</v>
      </c>
      <c r="BF562">
        <v>0</v>
      </c>
      <c r="BG562">
        <v>1</v>
      </c>
      <c r="BH562">
        <v>0</v>
      </c>
      <c r="BI562">
        <v>0</v>
      </c>
      <c r="BJ562">
        <v>0</v>
      </c>
      <c r="BK562">
        <v>1</v>
      </c>
      <c r="BL562">
        <v>1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</row>
    <row r="563" spans="1:71">
      <c r="A563" s="45" t="s">
        <v>5000</v>
      </c>
      <c r="B563">
        <v>4</v>
      </c>
      <c r="C563">
        <v>21</v>
      </c>
      <c r="D563">
        <v>2017</v>
      </c>
      <c r="E563" s="14">
        <v>-0.86</v>
      </c>
      <c r="F563" s="14">
        <v>0.12</v>
      </c>
      <c r="G563" s="14">
        <f t="shared" si="34"/>
        <v>-7.166666666666667</v>
      </c>
      <c r="H563" s="27">
        <v>0</v>
      </c>
      <c r="I563">
        <v>1</v>
      </c>
      <c r="J563">
        <v>319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2005</v>
      </c>
      <c r="V563">
        <v>2015</v>
      </c>
      <c r="W563">
        <f t="shared" si="31"/>
        <v>2010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1</v>
      </c>
      <c r="AP563">
        <v>0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0</v>
      </c>
      <c r="AW563">
        <v>1</v>
      </c>
      <c r="AX563">
        <v>0</v>
      </c>
      <c r="AY563">
        <v>1</v>
      </c>
      <c r="AZ563">
        <v>1</v>
      </c>
      <c r="BA563">
        <v>1</v>
      </c>
      <c r="BB563">
        <v>1</v>
      </c>
      <c r="BC563">
        <v>0</v>
      </c>
      <c r="BD563">
        <v>1</v>
      </c>
      <c r="BE563">
        <v>0</v>
      </c>
      <c r="BF563">
        <v>0</v>
      </c>
      <c r="BG563">
        <v>1</v>
      </c>
      <c r="BH563">
        <v>0</v>
      </c>
      <c r="BI563">
        <v>0</v>
      </c>
      <c r="BJ563">
        <v>0</v>
      </c>
      <c r="BK563">
        <v>1</v>
      </c>
      <c r="BL563">
        <v>1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</row>
    <row r="564" spans="1:71">
      <c r="A564" s="45" t="s">
        <v>5000</v>
      </c>
      <c r="B564">
        <v>4</v>
      </c>
      <c r="C564">
        <v>22</v>
      </c>
      <c r="D564">
        <v>2017</v>
      </c>
      <c r="E564" s="14">
        <v>-1.4</v>
      </c>
      <c r="F564" s="14">
        <v>0.2</v>
      </c>
      <c r="G564" s="14">
        <f t="shared" si="34"/>
        <v>-6.9999999999999991</v>
      </c>
      <c r="H564" s="27">
        <v>0</v>
      </c>
      <c r="I564">
        <v>1</v>
      </c>
      <c r="J564">
        <v>319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2005</v>
      </c>
      <c r="V564">
        <v>2015</v>
      </c>
      <c r="W564">
        <f t="shared" si="31"/>
        <v>2010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0</v>
      </c>
      <c r="AO564">
        <v>1</v>
      </c>
      <c r="AP564">
        <v>0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0</v>
      </c>
      <c r="AW564">
        <v>1</v>
      </c>
      <c r="AX564">
        <v>0</v>
      </c>
      <c r="AY564">
        <v>1</v>
      </c>
      <c r="AZ564">
        <v>1</v>
      </c>
      <c r="BA564">
        <v>1</v>
      </c>
      <c r="BB564">
        <v>1</v>
      </c>
      <c r="BC564">
        <v>0</v>
      </c>
      <c r="BD564">
        <v>1</v>
      </c>
      <c r="BE564">
        <v>0</v>
      </c>
      <c r="BF564">
        <v>0</v>
      </c>
      <c r="BG564">
        <v>1</v>
      </c>
      <c r="BH564">
        <v>0</v>
      </c>
      <c r="BI564">
        <v>0</v>
      </c>
      <c r="BJ564">
        <v>0</v>
      </c>
      <c r="BK564">
        <v>1</v>
      </c>
      <c r="BL564">
        <v>1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</row>
    <row r="565" spans="1:71">
      <c r="A565" s="45" t="s">
        <v>5000</v>
      </c>
      <c r="B565">
        <v>4</v>
      </c>
      <c r="C565">
        <v>23</v>
      </c>
      <c r="D565">
        <v>2017</v>
      </c>
      <c r="E565" s="14">
        <v>-0.81</v>
      </c>
      <c r="F565" s="14">
        <v>0.05</v>
      </c>
      <c r="G565" s="14">
        <f t="shared" si="34"/>
        <v>-16.2</v>
      </c>
      <c r="H565" s="27">
        <v>0</v>
      </c>
      <c r="I565">
        <v>1</v>
      </c>
      <c r="J565">
        <v>319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2005</v>
      </c>
      <c r="V565">
        <v>2015</v>
      </c>
      <c r="W565">
        <f t="shared" si="31"/>
        <v>2010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1</v>
      </c>
      <c r="AP565">
        <v>0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0</v>
      </c>
      <c r="AW565">
        <v>1</v>
      </c>
      <c r="AX565">
        <v>0</v>
      </c>
      <c r="AY565">
        <v>1</v>
      </c>
      <c r="AZ565">
        <v>1</v>
      </c>
      <c r="BA565">
        <v>1</v>
      </c>
      <c r="BB565">
        <v>1</v>
      </c>
      <c r="BC565">
        <v>0</v>
      </c>
      <c r="BD565">
        <v>1</v>
      </c>
      <c r="BE565">
        <v>0</v>
      </c>
      <c r="BF565">
        <v>0</v>
      </c>
      <c r="BG565">
        <v>1</v>
      </c>
      <c r="BH565">
        <v>0</v>
      </c>
      <c r="BI565">
        <v>0</v>
      </c>
      <c r="BJ565">
        <v>0</v>
      </c>
      <c r="BK565">
        <v>1</v>
      </c>
      <c r="BL565">
        <v>1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</row>
    <row r="566" spans="1:71">
      <c r="A566" s="45" t="s">
        <v>5000</v>
      </c>
      <c r="B566">
        <v>4</v>
      </c>
      <c r="C566">
        <v>24</v>
      </c>
      <c r="D566">
        <v>2017</v>
      </c>
      <c r="E566" s="14">
        <v>-0.56000000000000005</v>
      </c>
      <c r="F566" s="14">
        <v>0.09</v>
      </c>
      <c r="G566" s="14">
        <f t="shared" si="34"/>
        <v>-6.2222222222222232</v>
      </c>
      <c r="H566" s="27">
        <v>0</v>
      </c>
      <c r="I566">
        <v>1</v>
      </c>
      <c r="J566">
        <v>319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2005</v>
      </c>
      <c r="V566">
        <v>2015</v>
      </c>
      <c r="W566">
        <f t="shared" si="31"/>
        <v>2010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1</v>
      </c>
      <c r="AP566">
        <v>0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0</v>
      </c>
      <c r="AW566">
        <v>1</v>
      </c>
      <c r="AX566">
        <v>0</v>
      </c>
      <c r="AY566">
        <v>1</v>
      </c>
      <c r="AZ566">
        <v>1</v>
      </c>
      <c r="BA566">
        <v>1</v>
      </c>
      <c r="BB566">
        <v>1</v>
      </c>
      <c r="BC566">
        <v>0</v>
      </c>
      <c r="BD566">
        <v>1</v>
      </c>
      <c r="BE566">
        <v>0</v>
      </c>
      <c r="BF566">
        <v>0</v>
      </c>
      <c r="BG566">
        <v>1</v>
      </c>
      <c r="BH566">
        <v>0</v>
      </c>
      <c r="BI566">
        <v>0</v>
      </c>
      <c r="BJ566">
        <v>0</v>
      </c>
      <c r="BK566">
        <v>1</v>
      </c>
      <c r="BL566">
        <v>1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</row>
    <row r="567" spans="1:71">
      <c r="A567" s="45" t="s">
        <v>5000</v>
      </c>
      <c r="B567">
        <v>4</v>
      </c>
      <c r="C567">
        <v>25</v>
      </c>
      <c r="D567">
        <v>2017</v>
      </c>
      <c r="E567" s="14">
        <v>7.0000000000000007E-2</v>
      </c>
      <c r="F567" s="14">
        <v>0.3</v>
      </c>
      <c r="G567" s="14">
        <f t="shared" si="34"/>
        <v>0.23333333333333336</v>
      </c>
      <c r="H567" s="27">
        <v>0</v>
      </c>
      <c r="I567">
        <v>1</v>
      </c>
      <c r="J567">
        <v>319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2005</v>
      </c>
      <c r="V567">
        <v>2015</v>
      </c>
      <c r="W567">
        <f t="shared" si="31"/>
        <v>2010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</v>
      </c>
      <c r="AN567">
        <v>0</v>
      </c>
      <c r="AO567">
        <v>1</v>
      </c>
      <c r="AP567">
        <v>0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0</v>
      </c>
      <c r="AW567">
        <v>1</v>
      </c>
      <c r="AX567">
        <v>0</v>
      </c>
      <c r="AY567">
        <v>1</v>
      </c>
      <c r="AZ567">
        <v>1</v>
      </c>
      <c r="BA567">
        <v>1</v>
      </c>
      <c r="BB567">
        <v>1</v>
      </c>
      <c r="BC567">
        <v>0</v>
      </c>
      <c r="BD567">
        <v>1</v>
      </c>
      <c r="BE567">
        <v>0</v>
      </c>
      <c r="BF567">
        <v>0</v>
      </c>
      <c r="BG567">
        <v>1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</row>
    <row r="568" spans="1:71">
      <c r="A568" s="45" t="s">
        <v>5000</v>
      </c>
      <c r="B568">
        <v>4</v>
      </c>
      <c r="C568">
        <v>26</v>
      </c>
      <c r="D568">
        <v>2017</v>
      </c>
      <c r="E568" s="14">
        <v>-1.07</v>
      </c>
      <c r="F568" s="14">
        <v>0.1</v>
      </c>
      <c r="G568" s="14">
        <f t="shared" si="34"/>
        <v>-10.7</v>
      </c>
      <c r="H568" s="27">
        <v>0</v>
      </c>
      <c r="I568">
        <v>1</v>
      </c>
      <c r="J568">
        <v>319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2005</v>
      </c>
      <c r="V568">
        <v>2015</v>
      </c>
      <c r="W568">
        <f t="shared" si="31"/>
        <v>2010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1</v>
      </c>
      <c r="AP568">
        <v>0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0</v>
      </c>
      <c r="AW568">
        <v>1</v>
      </c>
      <c r="AX568">
        <v>0</v>
      </c>
      <c r="AY568">
        <v>1</v>
      </c>
      <c r="AZ568">
        <v>1</v>
      </c>
      <c r="BA568">
        <v>1</v>
      </c>
      <c r="BB568">
        <v>1</v>
      </c>
      <c r="BC568">
        <v>0</v>
      </c>
      <c r="BD568">
        <v>1</v>
      </c>
      <c r="BE568">
        <v>0</v>
      </c>
      <c r="BF568">
        <v>0</v>
      </c>
      <c r="BG568">
        <v>1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</row>
    <row r="569" spans="1:71">
      <c r="A569" s="45" t="s">
        <v>5000</v>
      </c>
      <c r="B569">
        <v>4</v>
      </c>
      <c r="C569">
        <v>27</v>
      </c>
      <c r="D569">
        <v>2017</v>
      </c>
      <c r="E569" s="14">
        <v>-0.79</v>
      </c>
      <c r="F569" s="14">
        <v>0.12</v>
      </c>
      <c r="G569" s="14">
        <f t="shared" si="34"/>
        <v>-6.5833333333333339</v>
      </c>
      <c r="H569" s="27">
        <v>0</v>
      </c>
      <c r="I569">
        <v>1</v>
      </c>
      <c r="J569">
        <v>319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2005</v>
      </c>
      <c r="V569">
        <v>2015</v>
      </c>
      <c r="W569">
        <f t="shared" si="31"/>
        <v>2010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</v>
      </c>
      <c r="AO569">
        <v>1</v>
      </c>
      <c r="AP569">
        <v>0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0</v>
      </c>
      <c r="AW569">
        <v>1</v>
      </c>
      <c r="AX569">
        <v>0</v>
      </c>
      <c r="AY569">
        <v>1</v>
      </c>
      <c r="AZ569">
        <v>1</v>
      </c>
      <c r="BA569">
        <v>1</v>
      </c>
      <c r="BB569">
        <v>1</v>
      </c>
      <c r="BC569">
        <v>0</v>
      </c>
      <c r="BD569">
        <v>1</v>
      </c>
      <c r="BE569">
        <v>0</v>
      </c>
      <c r="BF569">
        <v>0</v>
      </c>
      <c r="BG569">
        <v>1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</row>
    <row r="570" spans="1:71">
      <c r="A570" s="45" t="s">
        <v>5000</v>
      </c>
      <c r="B570">
        <v>4</v>
      </c>
      <c r="C570">
        <v>28</v>
      </c>
      <c r="D570">
        <v>2017</v>
      </c>
      <c r="E570" s="14">
        <v>-1.44</v>
      </c>
      <c r="F570" s="14">
        <v>0.21</v>
      </c>
      <c r="G570" s="14">
        <f t="shared" si="34"/>
        <v>-6.8571428571428568</v>
      </c>
      <c r="H570" s="27">
        <v>0</v>
      </c>
      <c r="I570">
        <v>1</v>
      </c>
      <c r="J570">
        <v>319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2005</v>
      </c>
      <c r="V570">
        <v>2015</v>
      </c>
      <c r="W570">
        <f t="shared" si="31"/>
        <v>2010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0</v>
      </c>
      <c r="AO570">
        <v>1</v>
      </c>
      <c r="AP570">
        <v>0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0</v>
      </c>
      <c r="AW570">
        <v>1</v>
      </c>
      <c r="AX570">
        <v>0</v>
      </c>
      <c r="AY570">
        <v>1</v>
      </c>
      <c r="AZ570">
        <v>1</v>
      </c>
      <c r="BA570">
        <v>1</v>
      </c>
      <c r="BB570">
        <v>1</v>
      </c>
      <c r="BC570">
        <v>0</v>
      </c>
      <c r="BD570">
        <v>1</v>
      </c>
      <c r="BE570">
        <v>0</v>
      </c>
      <c r="BF570">
        <v>0</v>
      </c>
      <c r="BG570">
        <v>1</v>
      </c>
      <c r="BH570">
        <v>0</v>
      </c>
      <c r="BI570">
        <v>0</v>
      </c>
      <c r="BJ570">
        <v>0</v>
      </c>
      <c r="BK570">
        <v>1</v>
      </c>
      <c r="BL570">
        <v>1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</row>
    <row r="571" spans="1:71">
      <c r="A571" s="45" t="s">
        <v>5000</v>
      </c>
      <c r="B571">
        <v>4</v>
      </c>
      <c r="C571">
        <v>29</v>
      </c>
      <c r="D571">
        <v>2017</v>
      </c>
      <c r="E571" s="14">
        <v>-0.75</v>
      </c>
      <c r="F571" s="14">
        <v>0.05</v>
      </c>
      <c r="G571" s="14">
        <f t="shared" si="34"/>
        <v>-15</v>
      </c>
      <c r="H571" s="27">
        <v>0</v>
      </c>
      <c r="I571">
        <v>1</v>
      </c>
      <c r="J571">
        <v>319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2005</v>
      </c>
      <c r="V571">
        <v>2015</v>
      </c>
      <c r="W571">
        <f t="shared" si="31"/>
        <v>2010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</v>
      </c>
      <c r="AN571">
        <v>0</v>
      </c>
      <c r="AO571">
        <v>1</v>
      </c>
      <c r="AP571">
        <v>0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0</v>
      </c>
      <c r="AW571">
        <v>1</v>
      </c>
      <c r="AX571">
        <v>0</v>
      </c>
      <c r="AY571">
        <v>1</v>
      </c>
      <c r="AZ571">
        <v>1</v>
      </c>
      <c r="BA571">
        <v>1</v>
      </c>
      <c r="BB571">
        <v>1</v>
      </c>
      <c r="BC571">
        <v>0</v>
      </c>
      <c r="BD571">
        <v>1</v>
      </c>
      <c r="BE571">
        <v>0</v>
      </c>
      <c r="BF571">
        <v>0</v>
      </c>
      <c r="BG571">
        <v>1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</row>
    <row r="572" spans="1:71">
      <c r="A572" s="45" t="s">
        <v>5000</v>
      </c>
      <c r="B572">
        <v>4</v>
      </c>
      <c r="C572">
        <v>30</v>
      </c>
      <c r="D572">
        <v>2017</v>
      </c>
      <c r="E572" s="14">
        <v>-0.39</v>
      </c>
      <c r="F572" s="14">
        <v>0.1</v>
      </c>
      <c r="G572" s="14">
        <f t="shared" si="34"/>
        <v>-3.9</v>
      </c>
      <c r="H572" s="27">
        <v>0</v>
      </c>
      <c r="I572">
        <v>1</v>
      </c>
      <c r="J572">
        <v>319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2005</v>
      </c>
      <c r="V572">
        <v>2015</v>
      </c>
      <c r="W572">
        <f t="shared" si="31"/>
        <v>2010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0</v>
      </c>
      <c r="AO572">
        <v>1</v>
      </c>
      <c r="AP572">
        <v>0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0</v>
      </c>
      <c r="AW572">
        <v>1</v>
      </c>
      <c r="AX572">
        <v>0</v>
      </c>
      <c r="AY572">
        <v>1</v>
      </c>
      <c r="AZ572">
        <v>1</v>
      </c>
      <c r="BA572">
        <v>1</v>
      </c>
      <c r="BB572">
        <v>1</v>
      </c>
      <c r="BC572">
        <v>0</v>
      </c>
      <c r="BD572">
        <v>1</v>
      </c>
      <c r="BE572">
        <v>0</v>
      </c>
      <c r="BF572">
        <v>0</v>
      </c>
      <c r="BG572">
        <v>1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</row>
    <row r="573" spans="1:71">
      <c r="A573" s="45" t="s">
        <v>5000</v>
      </c>
      <c r="B573">
        <v>4</v>
      </c>
      <c r="C573">
        <v>31</v>
      </c>
      <c r="D573">
        <v>2017</v>
      </c>
      <c r="E573" s="14">
        <v>0.05</v>
      </c>
      <c r="F573" s="14">
        <v>0.34</v>
      </c>
      <c r="G573" s="14">
        <f t="shared" si="34"/>
        <v>0.14705882352941177</v>
      </c>
      <c r="H573" s="27">
        <v>0</v>
      </c>
      <c r="I573">
        <v>1</v>
      </c>
      <c r="J573">
        <v>319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2005</v>
      </c>
      <c r="V573">
        <v>2015</v>
      </c>
      <c r="W573">
        <f t="shared" si="31"/>
        <v>2010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0</v>
      </c>
      <c r="AO573">
        <v>1</v>
      </c>
      <c r="AP573">
        <v>0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0</v>
      </c>
      <c r="AW573">
        <v>1</v>
      </c>
      <c r="AX573">
        <v>0</v>
      </c>
      <c r="AY573">
        <v>1</v>
      </c>
      <c r="AZ573">
        <v>1</v>
      </c>
      <c r="BA573">
        <v>1</v>
      </c>
      <c r="BB573">
        <v>1</v>
      </c>
      <c r="BC573">
        <v>0</v>
      </c>
      <c r="BD573">
        <v>1</v>
      </c>
      <c r="BE573">
        <v>0</v>
      </c>
      <c r="BF573">
        <v>0</v>
      </c>
      <c r="BG573">
        <v>1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</row>
    <row r="574" spans="1:71">
      <c r="A574" s="45" t="s">
        <v>5000</v>
      </c>
      <c r="B574">
        <v>4</v>
      </c>
      <c r="C574">
        <v>32</v>
      </c>
      <c r="D574">
        <v>2017</v>
      </c>
      <c r="E574" s="14">
        <v>-0.86</v>
      </c>
      <c r="F574" s="14">
        <v>0.04</v>
      </c>
      <c r="G574" s="14">
        <f t="shared" si="34"/>
        <v>-21.5</v>
      </c>
      <c r="H574" s="27">
        <v>0</v>
      </c>
      <c r="I574">
        <v>1</v>
      </c>
      <c r="J574">
        <v>319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2005</v>
      </c>
      <c r="V574">
        <v>2015</v>
      </c>
      <c r="W574">
        <f t="shared" si="31"/>
        <v>2010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0</v>
      </c>
      <c r="AO574">
        <v>1</v>
      </c>
      <c r="AP574">
        <v>0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0</v>
      </c>
      <c r="AW574">
        <v>1</v>
      </c>
      <c r="AX574">
        <v>0</v>
      </c>
      <c r="AY574">
        <v>1</v>
      </c>
      <c r="AZ574">
        <v>1</v>
      </c>
      <c r="BA574">
        <v>1</v>
      </c>
      <c r="BB574">
        <v>1</v>
      </c>
      <c r="BC574">
        <v>0</v>
      </c>
      <c r="BD574">
        <v>1</v>
      </c>
      <c r="BE574">
        <v>0</v>
      </c>
      <c r="BF574">
        <v>0</v>
      </c>
      <c r="BG574">
        <v>1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</row>
    <row r="575" spans="1:71">
      <c r="A575" s="45" t="s">
        <v>5000</v>
      </c>
      <c r="B575">
        <v>4</v>
      </c>
      <c r="C575">
        <v>33</v>
      </c>
      <c r="D575">
        <v>2017</v>
      </c>
      <c r="E575" s="14">
        <v>-0.99</v>
      </c>
      <c r="F575" s="14">
        <v>0.04</v>
      </c>
      <c r="G575" s="14">
        <f t="shared" si="34"/>
        <v>-24.75</v>
      </c>
      <c r="H575" s="27">
        <v>0</v>
      </c>
      <c r="I575">
        <v>1</v>
      </c>
      <c r="J575">
        <v>319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2005</v>
      </c>
      <c r="V575">
        <v>2015</v>
      </c>
      <c r="W575">
        <f t="shared" si="31"/>
        <v>2010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0</v>
      </c>
      <c r="AO575">
        <v>1</v>
      </c>
      <c r="AP575">
        <v>0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0</v>
      </c>
      <c r="AW575">
        <v>1</v>
      </c>
      <c r="AX575">
        <v>0</v>
      </c>
      <c r="AY575">
        <v>1</v>
      </c>
      <c r="AZ575">
        <v>1</v>
      </c>
      <c r="BA575">
        <v>1</v>
      </c>
      <c r="BB575">
        <v>1</v>
      </c>
      <c r="BC575">
        <v>0</v>
      </c>
      <c r="BD575">
        <v>1</v>
      </c>
      <c r="BE575">
        <v>0</v>
      </c>
      <c r="BF575">
        <v>0</v>
      </c>
      <c r="BG575">
        <v>1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</row>
    <row r="576" spans="1:71">
      <c r="A576" s="45" t="s">
        <v>5000</v>
      </c>
      <c r="B576">
        <v>4</v>
      </c>
      <c r="C576">
        <v>34</v>
      </c>
      <c r="D576">
        <v>2017</v>
      </c>
      <c r="E576" s="14">
        <v>-1.06</v>
      </c>
      <c r="F576" s="14">
        <v>0.08</v>
      </c>
      <c r="G576" s="14">
        <f t="shared" si="34"/>
        <v>-13.25</v>
      </c>
      <c r="H576" s="27">
        <v>0</v>
      </c>
      <c r="I576">
        <v>1</v>
      </c>
      <c r="J576">
        <v>319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2005</v>
      </c>
      <c r="V576">
        <v>2015</v>
      </c>
      <c r="W576">
        <f t="shared" si="31"/>
        <v>2010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0</v>
      </c>
      <c r="AO576">
        <v>1</v>
      </c>
      <c r="AP576">
        <v>0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0</v>
      </c>
      <c r="AW576">
        <v>1</v>
      </c>
      <c r="AX576">
        <v>0</v>
      </c>
      <c r="AY576">
        <v>1</v>
      </c>
      <c r="AZ576">
        <v>1</v>
      </c>
      <c r="BA576">
        <v>1</v>
      </c>
      <c r="BB576">
        <v>1</v>
      </c>
      <c r="BC576">
        <v>0</v>
      </c>
      <c r="BD576">
        <v>1</v>
      </c>
      <c r="BE576">
        <v>0</v>
      </c>
      <c r="BF576">
        <v>0</v>
      </c>
      <c r="BG576">
        <v>1</v>
      </c>
      <c r="BH576">
        <v>0</v>
      </c>
      <c r="BI576">
        <v>0</v>
      </c>
      <c r="BJ576">
        <v>0</v>
      </c>
      <c r="BK576">
        <v>1</v>
      </c>
      <c r="BL576">
        <v>1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</row>
    <row r="577" spans="1:71">
      <c r="A577" s="45" t="s">
        <v>5000</v>
      </c>
      <c r="B577">
        <v>4</v>
      </c>
      <c r="C577">
        <v>35</v>
      </c>
      <c r="D577">
        <v>2017</v>
      </c>
      <c r="E577" s="14">
        <v>-0.99</v>
      </c>
      <c r="F577" s="14">
        <v>0.04</v>
      </c>
      <c r="G577" s="14">
        <f t="shared" si="34"/>
        <v>-24.75</v>
      </c>
      <c r="H577" s="27">
        <v>0</v>
      </c>
      <c r="I577">
        <v>1</v>
      </c>
      <c r="J577">
        <v>319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2005</v>
      </c>
      <c r="V577">
        <v>2015</v>
      </c>
      <c r="W577">
        <f t="shared" si="31"/>
        <v>2010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1</v>
      </c>
      <c r="AP577">
        <v>0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0</v>
      </c>
      <c r="AW577">
        <v>1</v>
      </c>
      <c r="AX577">
        <v>0</v>
      </c>
      <c r="AY577">
        <v>1</v>
      </c>
      <c r="AZ577">
        <v>1</v>
      </c>
      <c r="BA577">
        <v>1</v>
      </c>
      <c r="BB577">
        <v>1</v>
      </c>
      <c r="BC577">
        <v>0</v>
      </c>
      <c r="BD577">
        <v>1</v>
      </c>
      <c r="BE577">
        <v>0</v>
      </c>
      <c r="BF577">
        <v>0</v>
      </c>
      <c r="BG577">
        <v>1</v>
      </c>
      <c r="BH577">
        <v>0</v>
      </c>
      <c r="BI577">
        <v>0</v>
      </c>
      <c r="BJ577">
        <v>0</v>
      </c>
      <c r="BK577">
        <v>1</v>
      </c>
      <c r="BL577">
        <v>1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</row>
    <row r="578" spans="1:71">
      <c r="A578" s="45" t="s">
        <v>5000</v>
      </c>
      <c r="B578">
        <v>4</v>
      </c>
      <c r="C578">
        <v>36</v>
      </c>
      <c r="D578">
        <v>2017</v>
      </c>
      <c r="E578" s="14">
        <v>-0.78</v>
      </c>
      <c r="F578" s="14">
        <v>0.05</v>
      </c>
      <c r="G578" s="14">
        <f t="shared" si="34"/>
        <v>-15.6</v>
      </c>
      <c r="H578" s="27">
        <v>0</v>
      </c>
      <c r="I578">
        <v>1</v>
      </c>
      <c r="J578">
        <v>319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2005</v>
      </c>
      <c r="V578">
        <v>2015</v>
      </c>
      <c r="W578">
        <f t="shared" ref="W578:W641" si="35">ROUND(AVERAGE(U578:V578), 0)</f>
        <v>2010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1</v>
      </c>
      <c r="AP578">
        <v>0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0</v>
      </c>
      <c r="AW578">
        <v>1</v>
      </c>
      <c r="AX578">
        <v>0</v>
      </c>
      <c r="AY578">
        <v>1</v>
      </c>
      <c r="AZ578">
        <v>1</v>
      </c>
      <c r="BA578">
        <v>1</v>
      </c>
      <c r="BB578">
        <v>1</v>
      </c>
      <c r="BC578">
        <v>0</v>
      </c>
      <c r="BD578">
        <v>1</v>
      </c>
      <c r="BE578">
        <v>0</v>
      </c>
      <c r="BF578">
        <v>0</v>
      </c>
      <c r="BG578">
        <v>1</v>
      </c>
      <c r="BH578">
        <v>0</v>
      </c>
      <c r="BI578">
        <v>0</v>
      </c>
      <c r="BJ578">
        <v>0</v>
      </c>
      <c r="BK578">
        <v>1</v>
      </c>
      <c r="BL578">
        <v>1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</row>
    <row r="579" spans="1:71">
      <c r="A579" s="45" t="s">
        <v>5000</v>
      </c>
      <c r="B579">
        <v>4</v>
      </c>
      <c r="C579">
        <v>37</v>
      </c>
      <c r="D579">
        <v>2017</v>
      </c>
      <c r="E579" s="14">
        <v>-0.83</v>
      </c>
      <c r="F579" s="14">
        <v>0.18</v>
      </c>
      <c r="G579" s="14">
        <f t="shared" si="34"/>
        <v>-4.6111111111111107</v>
      </c>
      <c r="H579" s="27">
        <v>0</v>
      </c>
      <c r="I579">
        <v>1</v>
      </c>
      <c r="J579">
        <v>319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2005</v>
      </c>
      <c r="V579">
        <v>2015</v>
      </c>
      <c r="W579">
        <f t="shared" si="35"/>
        <v>2010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1</v>
      </c>
      <c r="AP579">
        <v>0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0</v>
      </c>
      <c r="AW579">
        <v>1</v>
      </c>
      <c r="AX579">
        <v>0</v>
      </c>
      <c r="AY579">
        <v>1</v>
      </c>
      <c r="AZ579">
        <v>1</v>
      </c>
      <c r="BA579">
        <v>1</v>
      </c>
      <c r="BB579">
        <v>1</v>
      </c>
      <c r="BC579">
        <v>0</v>
      </c>
      <c r="BD579">
        <v>1</v>
      </c>
      <c r="BE579">
        <v>0</v>
      </c>
      <c r="BF579">
        <v>0</v>
      </c>
      <c r="BG579">
        <v>1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</row>
    <row r="580" spans="1:71">
      <c r="A580" s="45" t="s">
        <v>5000</v>
      </c>
      <c r="B580">
        <v>4</v>
      </c>
      <c r="C580">
        <v>38</v>
      </c>
      <c r="D580">
        <v>2017</v>
      </c>
      <c r="E580" s="14">
        <v>-1.4</v>
      </c>
      <c r="F580" s="14">
        <v>0.19</v>
      </c>
      <c r="G580" s="14">
        <f t="shared" si="34"/>
        <v>-7.3684210526315788</v>
      </c>
      <c r="H580" s="27">
        <v>0</v>
      </c>
      <c r="I580">
        <v>1</v>
      </c>
      <c r="J580">
        <v>319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2005</v>
      </c>
      <c r="V580">
        <v>2015</v>
      </c>
      <c r="W580">
        <f t="shared" si="35"/>
        <v>2010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1</v>
      </c>
      <c r="AP580">
        <v>0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0</v>
      </c>
      <c r="AW580">
        <v>1</v>
      </c>
      <c r="AX580">
        <v>0</v>
      </c>
      <c r="AY580">
        <v>1</v>
      </c>
      <c r="AZ580">
        <v>1</v>
      </c>
      <c r="BA580">
        <v>1</v>
      </c>
      <c r="BB580">
        <v>1</v>
      </c>
      <c r="BC580">
        <v>0</v>
      </c>
      <c r="BD580">
        <v>1</v>
      </c>
      <c r="BE580">
        <v>0</v>
      </c>
      <c r="BF580">
        <v>0</v>
      </c>
      <c r="BG580">
        <v>1</v>
      </c>
      <c r="BH580">
        <v>0</v>
      </c>
      <c r="BI580">
        <v>0</v>
      </c>
      <c r="BJ580">
        <v>0</v>
      </c>
      <c r="BK580">
        <v>1</v>
      </c>
      <c r="BL580">
        <v>1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</row>
    <row r="581" spans="1:71">
      <c r="A581" s="20" t="s">
        <v>5103</v>
      </c>
      <c r="B581">
        <v>17</v>
      </c>
      <c r="C581">
        <v>92</v>
      </c>
      <c r="D581">
        <v>2017</v>
      </c>
      <c r="E581" s="14">
        <v>-0.86</v>
      </c>
      <c r="F581" s="14">
        <v>0.02</v>
      </c>
      <c r="G581" s="14">
        <f t="shared" si="34"/>
        <v>-43</v>
      </c>
      <c r="H581" s="27">
        <v>0</v>
      </c>
      <c r="I581">
        <v>1</v>
      </c>
      <c r="J581">
        <v>1884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1</v>
      </c>
      <c r="U581">
        <v>2000</v>
      </c>
      <c r="V581">
        <v>2012</v>
      </c>
      <c r="W581">
        <f t="shared" si="35"/>
        <v>2006</v>
      </c>
      <c r="X581">
        <v>0</v>
      </c>
      <c r="Y581">
        <v>1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1</v>
      </c>
      <c r="AQ581">
        <v>0</v>
      </c>
      <c r="AR581">
        <v>1</v>
      </c>
      <c r="AS581">
        <v>0</v>
      </c>
      <c r="AT581">
        <v>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1</v>
      </c>
      <c r="BB581">
        <v>1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</row>
    <row r="582" spans="1:71">
      <c r="A582" s="20" t="s">
        <v>5103</v>
      </c>
      <c r="B582">
        <v>17</v>
      </c>
      <c r="C582">
        <v>93</v>
      </c>
      <c r="D582">
        <v>2017</v>
      </c>
      <c r="E582" s="14">
        <v>-0.56999999999999995</v>
      </c>
      <c r="F582" s="14">
        <v>0.06</v>
      </c>
      <c r="G582" s="14">
        <f t="shared" si="34"/>
        <v>-9.5</v>
      </c>
      <c r="H582" s="27">
        <v>0</v>
      </c>
      <c r="I582">
        <v>1</v>
      </c>
      <c r="J582">
        <v>1884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1</v>
      </c>
      <c r="U582">
        <v>2000</v>
      </c>
      <c r="V582">
        <v>2012</v>
      </c>
      <c r="W582">
        <f t="shared" si="35"/>
        <v>2006</v>
      </c>
      <c r="X582">
        <v>0</v>
      </c>
      <c r="Y582">
        <v>1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1</v>
      </c>
      <c r="AQ582">
        <v>0</v>
      </c>
      <c r="AR582">
        <v>1</v>
      </c>
      <c r="AS582">
        <v>0</v>
      </c>
      <c r="AT582">
        <v>1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</row>
    <row r="583" spans="1:71">
      <c r="A583" s="20" t="s">
        <v>5103</v>
      </c>
      <c r="B583">
        <v>17</v>
      </c>
      <c r="C583">
        <v>94</v>
      </c>
      <c r="D583">
        <v>2017</v>
      </c>
      <c r="E583" s="14">
        <v>-0.56999999999999995</v>
      </c>
      <c r="F583" s="14">
        <v>0.06</v>
      </c>
      <c r="G583" s="14">
        <f t="shared" si="34"/>
        <v>-9.5</v>
      </c>
      <c r="H583" s="27">
        <v>0</v>
      </c>
      <c r="I583">
        <v>1</v>
      </c>
      <c r="J583">
        <v>1884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</v>
      </c>
      <c r="U583">
        <v>2000</v>
      </c>
      <c r="V583">
        <v>2012</v>
      </c>
      <c r="W583">
        <f t="shared" si="35"/>
        <v>2006</v>
      </c>
      <c r="X583">
        <v>0</v>
      </c>
      <c r="Y583">
        <v>1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</v>
      </c>
      <c r="AP583">
        <v>1</v>
      </c>
      <c r="AQ583">
        <v>0</v>
      </c>
      <c r="AR583">
        <v>1</v>
      </c>
      <c r="AS583">
        <v>0</v>
      </c>
      <c r="AT583">
        <v>1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1</v>
      </c>
      <c r="BQ583">
        <v>0</v>
      </c>
      <c r="BR583">
        <v>0</v>
      </c>
      <c r="BS583">
        <v>0</v>
      </c>
    </row>
    <row r="584" spans="1:71">
      <c r="A584" s="20" t="s">
        <v>5103</v>
      </c>
      <c r="B584">
        <v>17</v>
      </c>
      <c r="C584">
        <v>95</v>
      </c>
      <c r="D584">
        <v>2017</v>
      </c>
      <c r="E584" s="14">
        <v>-0.61</v>
      </c>
      <c r="F584" s="14">
        <v>0.05</v>
      </c>
      <c r="G584" s="14">
        <f t="shared" si="34"/>
        <v>-12.2</v>
      </c>
      <c r="H584" s="27">
        <v>0</v>
      </c>
      <c r="I584">
        <v>1</v>
      </c>
      <c r="J584">
        <v>1884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</v>
      </c>
      <c r="U584">
        <v>2000</v>
      </c>
      <c r="V584">
        <v>2012</v>
      </c>
      <c r="W584">
        <f t="shared" si="35"/>
        <v>2006</v>
      </c>
      <c r="X584">
        <v>0</v>
      </c>
      <c r="Y584">
        <v>1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1</v>
      </c>
      <c r="AQ584">
        <v>0</v>
      </c>
      <c r="AR584">
        <v>1</v>
      </c>
      <c r="AS584">
        <v>0</v>
      </c>
      <c r="AT584">
        <v>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1</v>
      </c>
      <c r="BQ584">
        <v>0</v>
      </c>
      <c r="BR584">
        <v>0</v>
      </c>
      <c r="BS584">
        <v>0</v>
      </c>
    </row>
    <row r="585" spans="1:71">
      <c r="A585" s="20" t="s">
        <v>4933</v>
      </c>
      <c r="B585">
        <v>30</v>
      </c>
      <c r="C585">
        <v>188</v>
      </c>
      <c r="D585" s="21">
        <v>2017</v>
      </c>
      <c r="E585" s="23">
        <v>-1.21</v>
      </c>
      <c r="F585" s="23">
        <v>0.27</v>
      </c>
      <c r="G585" s="14">
        <f t="shared" si="34"/>
        <v>-4.481481481481481</v>
      </c>
      <c r="H585" s="27">
        <v>0</v>
      </c>
      <c r="I585" s="21">
        <v>1</v>
      </c>
      <c r="J585" s="21">
        <v>144</v>
      </c>
      <c r="K585" s="21">
        <v>1</v>
      </c>
      <c r="L585" s="21">
        <v>0</v>
      </c>
      <c r="M585" s="21">
        <v>0</v>
      </c>
      <c r="N585" s="21">
        <v>0</v>
      </c>
      <c r="O585" s="21">
        <v>0</v>
      </c>
      <c r="P585">
        <v>0</v>
      </c>
      <c r="Q585" s="21">
        <v>0</v>
      </c>
      <c r="R585" s="21">
        <v>0</v>
      </c>
      <c r="S585" s="21">
        <v>0</v>
      </c>
      <c r="T585" s="21">
        <v>1</v>
      </c>
      <c r="U585" s="21">
        <v>2007</v>
      </c>
      <c r="V585" s="21">
        <v>2014</v>
      </c>
      <c r="W585">
        <f t="shared" si="35"/>
        <v>2011</v>
      </c>
      <c r="X585" s="21">
        <v>1</v>
      </c>
      <c r="Y585" s="21">
        <v>0</v>
      </c>
      <c r="Z585" s="21">
        <v>0</v>
      </c>
      <c r="AA585" s="21">
        <v>0</v>
      </c>
      <c r="AB585" s="21">
        <v>0</v>
      </c>
      <c r="AC585" s="21">
        <v>1</v>
      </c>
      <c r="AD585" s="21">
        <v>0</v>
      </c>
      <c r="AE585" s="21">
        <v>0</v>
      </c>
      <c r="AF585" s="21">
        <v>0</v>
      </c>
      <c r="AG585" s="21">
        <v>0</v>
      </c>
      <c r="AH585" s="21">
        <v>1</v>
      </c>
      <c r="AI585" s="21">
        <v>0</v>
      </c>
      <c r="AJ585" s="21">
        <v>0</v>
      </c>
      <c r="AK585" s="21">
        <v>0</v>
      </c>
      <c r="AL585" s="21">
        <v>0</v>
      </c>
      <c r="AM585" s="21">
        <v>0</v>
      </c>
      <c r="AN585" s="21">
        <v>0</v>
      </c>
      <c r="AO585" s="21">
        <v>0</v>
      </c>
      <c r="AP585" s="21">
        <v>1</v>
      </c>
      <c r="AQ585" s="21">
        <v>0</v>
      </c>
      <c r="AR585" s="21">
        <v>1</v>
      </c>
      <c r="AS585" s="21">
        <v>1</v>
      </c>
      <c r="AT585" s="21">
        <v>1</v>
      </c>
      <c r="AU585" s="21">
        <v>1</v>
      </c>
      <c r="AV585" s="21">
        <v>0</v>
      </c>
      <c r="AW585" s="21">
        <v>1</v>
      </c>
      <c r="AX585" s="21">
        <v>0</v>
      </c>
      <c r="AY585" s="21">
        <v>0</v>
      </c>
      <c r="AZ585" s="21">
        <v>0</v>
      </c>
      <c r="BA585" s="21">
        <v>0</v>
      </c>
      <c r="BB585" s="21">
        <v>1</v>
      </c>
      <c r="BC585" s="21">
        <v>0</v>
      </c>
      <c r="BD585" s="21">
        <v>0</v>
      </c>
      <c r="BE585" s="21">
        <v>0</v>
      </c>
      <c r="BF585" s="21">
        <v>1</v>
      </c>
      <c r="BG585" s="21">
        <v>1</v>
      </c>
      <c r="BH585" s="21">
        <v>0</v>
      </c>
      <c r="BI585" s="21">
        <v>0</v>
      </c>
      <c r="BJ585" s="21">
        <v>0</v>
      </c>
      <c r="BK585" s="21">
        <v>0</v>
      </c>
      <c r="BL585" s="21">
        <v>0</v>
      </c>
      <c r="BM585" s="21">
        <v>0</v>
      </c>
      <c r="BN585" s="21">
        <v>0</v>
      </c>
      <c r="BO585" s="21">
        <v>1</v>
      </c>
      <c r="BP585" s="21">
        <v>0</v>
      </c>
      <c r="BQ585" s="21">
        <v>0</v>
      </c>
      <c r="BR585" s="21">
        <v>0</v>
      </c>
      <c r="BS585" s="21">
        <v>0</v>
      </c>
    </row>
    <row r="586" spans="1:71">
      <c r="A586" s="20" t="s">
        <v>4933</v>
      </c>
      <c r="B586">
        <v>30</v>
      </c>
      <c r="C586">
        <v>189</v>
      </c>
      <c r="D586" s="21">
        <v>2017</v>
      </c>
      <c r="E586" s="23">
        <v>-1.19</v>
      </c>
      <c r="F586" s="23">
        <v>0.28000000000000003</v>
      </c>
      <c r="G586" s="14">
        <f t="shared" si="34"/>
        <v>-4.2499999999999991</v>
      </c>
      <c r="H586" s="27">
        <v>0</v>
      </c>
      <c r="I586" s="21">
        <v>1</v>
      </c>
      <c r="J586" s="21">
        <v>144</v>
      </c>
      <c r="K586" s="21">
        <v>1</v>
      </c>
      <c r="L586" s="21">
        <v>0</v>
      </c>
      <c r="M586" s="21">
        <v>0</v>
      </c>
      <c r="N586" s="21">
        <v>0</v>
      </c>
      <c r="O586" s="21">
        <v>0</v>
      </c>
      <c r="P586">
        <v>0</v>
      </c>
      <c r="Q586" s="21">
        <v>0</v>
      </c>
      <c r="R586" s="21">
        <v>0</v>
      </c>
      <c r="S586" s="21">
        <v>1</v>
      </c>
      <c r="T586" s="21">
        <v>1</v>
      </c>
      <c r="U586" s="21">
        <v>2007</v>
      </c>
      <c r="V586" s="21">
        <v>2014</v>
      </c>
      <c r="W586">
        <f t="shared" si="35"/>
        <v>2011</v>
      </c>
      <c r="X586" s="21">
        <v>1</v>
      </c>
      <c r="Y586" s="21">
        <v>0</v>
      </c>
      <c r="Z586" s="21">
        <v>0</v>
      </c>
      <c r="AA586" s="21">
        <v>0</v>
      </c>
      <c r="AB586" s="21">
        <v>0</v>
      </c>
      <c r="AC586" s="21">
        <v>1</v>
      </c>
      <c r="AD586" s="21">
        <v>0</v>
      </c>
      <c r="AE586" s="21">
        <v>0</v>
      </c>
      <c r="AF586" s="21">
        <v>0</v>
      </c>
      <c r="AG586" s="21">
        <v>0</v>
      </c>
      <c r="AH586" s="21">
        <v>1</v>
      </c>
      <c r="AI586" s="21">
        <v>0</v>
      </c>
      <c r="AJ586" s="21">
        <v>0</v>
      </c>
      <c r="AK586" s="21">
        <v>0</v>
      </c>
      <c r="AL586" s="21">
        <v>0</v>
      </c>
      <c r="AM586" s="21">
        <v>0</v>
      </c>
      <c r="AN586" s="21">
        <v>0</v>
      </c>
      <c r="AO586" s="21">
        <v>0</v>
      </c>
      <c r="AP586" s="21">
        <v>1</v>
      </c>
      <c r="AQ586" s="21">
        <v>0</v>
      </c>
      <c r="AR586" s="21">
        <v>1</v>
      </c>
      <c r="AS586" s="21">
        <v>1</v>
      </c>
      <c r="AT586" s="21">
        <v>1</v>
      </c>
      <c r="AU586" s="21">
        <v>1</v>
      </c>
      <c r="AV586" s="21">
        <v>0</v>
      </c>
      <c r="AW586" s="21">
        <v>1</v>
      </c>
      <c r="AX586" s="21">
        <v>0</v>
      </c>
      <c r="AY586" s="21">
        <v>0</v>
      </c>
      <c r="AZ586" s="21">
        <v>0</v>
      </c>
      <c r="BA586" s="21">
        <v>0</v>
      </c>
      <c r="BB586" s="21">
        <v>1</v>
      </c>
      <c r="BC586" s="21">
        <v>0</v>
      </c>
      <c r="BD586" s="21">
        <v>0</v>
      </c>
      <c r="BE586" s="21">
        <v>0</v>
      </c>
      <c r="BF586" s="21">
        <v>1</v>
      </c>
      <c r="BG586" s="21">
        <v>1</v>
      </c>
      <c r="BH586" s="21">
        <v>0</v>
      </c>
      <c r="BI586" s="21">
        <v>0</v>
      </c>
      <c r="BJ586" s="21">
        <v>0</v>
      </c>
      <c r="BK586" s="21">
        <v>0</v>
      </c>
      <c r="BL586" s="21">
        <v>0</v>
      </c>
      <c r="BM586" s="21">
        <v>0</v>
      </c>
      <c r="BN586" s="21">
        <v>0</v>
      </c>
      <c r="BO586" s="21">
        <v>1</v>
      </c>
      <c r="BP586" s="21">
        <v>0</v>
      </c>
      <c r="BQ586" s="21">
        <v>0</v>
      </c>
      <c r="BR586" s="21">
        <v>0</v>
      </c>
      <c r="BS586" s="21">
        <v>0</v>
      </c>
    </row>
    <row r="587" spans="1:71">
      <c r="A587" s="20" t="s">
        <v>4897</v>
      </c>
      <c r="B587">
        <v>40</v>
      </c>
      <c r="C587">
        <v>248</v>
      </c>
      <c r="D587" s="21">
        <v>2017</v>
      </c>
      <c r="E587" s="23">
        <v>-0.32300000000000001</v>
      </c>
      <c r="F587" s="14">
        <f t="shared" ref="F587:F598" si="36">E587/G587</f>
        <v>9.6706586826347307E-2</v>
      </c>
      <c r="G587">
        <v>-3.34</v>
      </c>
      <c r="H587" s="27">
        <v>0</v>
      </c>
      <c r="I587" s="21">
        <v>1</v>
      </c>
      <c r="J587" s="21">
        <v>288</v>
      </c>
      <c r="K587" s="21">
        <v>1</v>
      </c>
      <c r="L587" s="21">
        <v>0</v>
      </c>
      <c r="M587" s="21">
        <v>0</v>
      </c>
      <c r="N587" s="21">
        <v>0</v>
      </c>
      <c r="O587" s="21">
        <v>0</v>
      </c>
      <c r="P587">
        <v>0</v>
      </c>
      <c r="Q587" s="21">
        <v>1</v>
      </c>
      <c r="R587" s="21">
        <v>0</v>
      </c>
      <c r="S587" s="21">
        <v>0</v>
      </c>
      <c r="T587" s="21">
        <v>1</v>
      </c>
      <c r="U587" s="21">
        <v>2002</v>
      </c>
      <c r="V587" s="21">
        <v>2013</v>
      </c>
      <c r="W587">
        <f t="shared" si="35"/>
        <v>2008</v>
      </c>
      <c r="X587" s="21">
        <v>1</v>
      </c>
      <c r="Y587" s="21">
        <v>0</v>
      </c>
      <c r="Z587" s="21">
        <v>0</v>
      </c>
      <c r="AA587" s="21">
        <v>0</v>
      </c>
      <c r="AB587" s="21">
        <v>0</v>
      </c>
      <c r="AC587" s="21">
        <v>1</v>
      </c>
      <c r="AD587" s="21">
        <v>0</v>
      </c>
      <c r="AE587" s="21">
        <v>0</v>
      </c>
      <c r="AF587" s="21">
        <v>0</v>
      </c>
      <c r="AG587" s="21">
        <v>0</v>
      </c>
      <c r="AH587" s="21">
        <v>0</v>
      </c>
      <c r="AI587" s="21">
        <v>1</v>
      </c>
      <c r="AJ587" s="21">
        <v>0</v>
      </c>
      <c r="AK587" s="21">
        <v>0</v>
      </c>
      <c r="AL587" s="21">
        <v>0</v>
      </c>
      <c r="AM587" s="21">
        <v>0</v>
      </c>
      <c r="AN587" s="21">
        <v>0</v>
      </c>
      <c r="AO587" s="21">
        <v>0</v>
      </c>
      <c r="AP587" s="21">
        <v>1</v>
      </c>
      <c r="AQ587" s="21">
        <v>0</v>
      </c>
      <c r="AR587" s="21">
        <v>1</v>
      </c>
      <c r="AS587" s="21">
        <v>0</v>
      </c>
      <c r="AT587" s="21">
        <v>1</v>
      </c>
      <c r="AU587" s="21">
        <v>1</v>
      </c>
      <c r="AV587" s="21">
        <v>1</v>
      </c>
      <c r="AW587" s="21">
        <v>1</v>
      </c>
      <c r="AX587" s="21">
        <v>1</v>
      </c>
      <c r="AY587" s="21">
        <v>1</v>
      </c>
      <c r="AZ587" s="21">
        <v>1</v>
      </c>
      <c r="BA587" s="21">
        <v>1</v>
      </c>
      <c r="BB587" s="21">
        <v>1</v>
      </c>
      <c r="BC587" s="21">
        <v>0</v>
      </c>
      <c r="BD587" s="21">
        <v>0</v>
      </c>
      <c r="BE587" s="21">
        <v>0</v>
      </c>
      <c r="BF587" s="21">
        <v>1</v>
      </c>
      <c r="BG587" s="21">
        <v>1</v>
      </c>
      <c r="BH587" s="21">
        <v>0</v>
      </c>
      <c r="BI587" s="21">
        <v>0</v>
      </c>
      <c r="BJ587" s="21">
        <v>0</v>
      </c>
      <c r="BK587" s="21">
        <v>0</v>
      </c>
      <c r="BL587" s="21">
        <v>0</v>
      </c>
      <c r="BM587" s="21">
        <v>0</v>
      </c>
      <c r="BN587" s="21">
        <v>0</v>
      </c>
      <c r="BO587" s="21">
        <v>0</v>
      </c>
      <c r="BP587" s="21">
        <v>0</v>
      </c>
      <c r="BQ587" s="21">
        <v>0</v>
      </c>
      <c r="BR587" s="21">
        <v>0</v>
      </c>
      <c r="BS587" s="21">
        <v>0</v>
      </c>
    </row>
    <row r="588" spans="1:71">
      <c r="A588" s="20" t="s">
        <v>4897</v>
      </c>
      <c r="B588">
        <v>40</v>
      </c>
      <c r="C588">
        <v>249</v>
      </c>
      <c r="D588" s="21">
        <v>2017</v>
      </c>
      <c r="E588" s="23">
        <v>-0.33</v>
      </c>
      <c r="F588" s="14">
        <f t="shared" si="36"/>
        <v>6.0885608856088562E-2</v>
      </c>
      <c r="G588">
        <v>-5.42</v>
      </c>
      <c r="H588" s="27">
        <v>0</v>
      </c>
      <c r="I588" s="21">
        <v>1</v>
      </c>
      <c r="J588" s="21">
        <v>288</v>
      </c>
      <c r="K588" s="21">
        <v>1</v>
      </c>
      <c r="L588" s="21">
        <v>0</v>
      </c>
      <c r="M588" s="21">
        <v>0</v>
      </c>
      <c r="N588" s="21">
        <v>0</v>
      </c>
      <c r="O588" s="21">
        <v>0</v>
      </c>
      <c r="P588">
        <v>0</v>
      </c>
      <c r="Q588" s="21">
        <v>1</v>
      </c>
      <c r="R588" s="21">
        <v>0</v>
      </c>
      <c r="S588" s="21">
        <v>0</v>
      </c>
      <c r="T588" s="21">
        <v>1</v>
      </c>
      <c r="U588" s="21">
        <v>2002</v>
      </c>
      <c r="V588" s="21">
        <v>2013</v>
      </c>
      <c r="W588">
        <f t="shared" si="35"/>
        <v>2008</v>
      </c>
      <c r="X588" s="21">
        <v>1</v>
      </c>
      <c r="Y588" s="21">
        <v>0</v>
      </c>
      <c r="Z588" s="21">
        <v>0</v>
      </c>
      <c r="AA588" s="21">
        <v>0</v>
      </c>
      <c r="AB588" s="21">
        <v>0</v>
      </c>
      <c r="AC588" s="21">
        <v>1</v>
      </c>
      <c r="AD588" s="21">
        <v>0</v>
      </c>
      <c r="AE588" s="21">
        <v>0</v>
      </c>
      <c r="AF588" s="21">
        <v>0</v>
      </c>
      <c r="AG588" s="21">
        <v>0</v>
      </c>
      <c r="AH588" s="21">
        <v>0</v>
      </c>
      <c r="AI588" s="21">
        <v>1</v>
      </c>
      <c r="AJ588" s="21">
        <v>0</v>
      </c>
      <c r="AK588" s="21">
        <v>0</v>
      </c>
      <c r="AL588" s="21">
        <v>0</v>
      </c>
      <c r="AM588" s="21">
        <v>0</v>
      </c>
      <c r="AN588" s="21">
        <v>0</v>
      </c>
      <c r="AO588" s="21">
        <v>0</v>
      </c>
      <c r="AP588" s="21">
        <v>1</v>
      </c>
      <c r="AQ588" s="21">
        <v>0</v>
      </c>
      <c r="AR588" s="21">
        <v>1</v>
      </c>
      <c r="AS588" s="21">
        <v>0</v>
      </c>
      <c r="AT588" s="21">
        <v>1</v>
      </c>
      <c r="AU588" s="21">
        <v>1</v>
      </c>
      <c r="AV588" s="21">
        <v>1</v>
      </c>
      <c r="AW588" s="21">
        <v>1</v>
      </c>
      <c r="AX588" s="21">
        <v>1</v>
      </c>
      <c r="AY588" s="21">
        <v>1</v>
      </c>
      <c r="AZ588" s="21">
        <v>1</v>
      </c>
      <c r="BA588" s="21">
        <v>1</v>
      </c>
      <c r="BB588" s="21">
        <v>1</v>
      </c>
      <c r="BC588" s="21">
        <v>0</v>
      </c>
      <c r="BD588" s="21">
        <v>0</v>
      </c>
      <c r="BE588" s="21">
        <v>0</v>
      </c>
      <c r="BF588" s="21">
        <v>1</v>
      </c>
      <c r="BG588" s="21">
        <v>1</v>
      </c>
      <c r="BH588" s="21">
        <v>0</v>
      </c>
      <c r="BI588" s="21">
        <v>0</v>
      </c>
      <c r="BJ588" s="21">
        <v>0</v>
      </c>
      <c r="BK588" s="21">
        <v>1</v>
      </c>
      <c r="BL588" s="21">
        <v>0</v>
      </c>
      <c r="BM588" s="21">
        <v>0</v>
      </c>
      <c r="BN588" s="21">
        <v>0</v>
      </c>
      <c r="BO588" s="21">
        <v>0</v>
      </c>
      <c r="BP588" s="21">
        <v>0</v>
      </c>
      <c r="BQ588" s="21">
        <v>0</v>
      </c>
      <c r="BR588" s="21">
        <v>0</v>
      </c>
      <c r="BS588" s="21">
        <v>0</v>
      </c>
    </row>
    <row r="589" spans="1:71">
      <c r="A589" s="20" t="s">
        <v>4897</v>
      </c>
      <c r="B589">
        <v>40</v>
      </c>
      <c r="C589">
        <v>250</v>
      </c>
      <c r="D589" s="21">
        <v>2017</v>
      </c>
      <c r="E589" s="23">
        <v>-0.33</v>
      </c>
      <c r="F589" s="14">
        <f t="shared" si="36"/>
        <v>6.043956043956044E-2</v>
      </c>
      <c r="G589">
        <v>-5.46</v>
      </c>
      <c r="H589" s="27">
        <v>0</v>
      </c>
      <c r="I589" s="21">
        <v>1</v>
      </c>
      <c r="J589" s="21">
        <v>288</v>
      </c>
      <c r="K589" s="21">
        <v>1</v>
      </c>
      <c r="L589" s="21">
        <v>0</v>
      </c>
      <c r="M589" s="21">
        <v>0</v>
      </c>
      <c r="N589" s="21">
        <v>0</v>
      </c>
      <c r="O589" s="21">
        <v>0</v>
      </c>
      <c r="P589">
        <v>0</v>
      </c>
      <c r="Q589" s="21">
        <v>1</v>
      </c>
      <c r="R589" s="21">
        <v>0</v>
      </c>
      <c r="S589" s="21">
        <v>0</v>
      </c>
      <c r="T589" s="21">
        <v>1</v>
      </c>
      <c r="U589" s="21">
        <v>2002</v>
      </c>
      <c r="V589" s="21">
        <v>2013</v>
      </c>
      <c r="W589">
        <f t="shared" si="35"/>
        <v>2008</v>
      </c>
      <c r="X589" s="21">
        <v>1</v>
      </c>
      <c r="Y589" s="21">
        <v>0</v>
      </c>
      <c r="Z589" s="21">
        <v>0</v>
      </c>
      <c r="AA589" s="21">
        <v>0</v>
      </c>
      <c r="AB589" s="21">
        <v>0</v>
      </c>
      <c r="AC589" s="21">
        <v>1</v>
      </c>
      <c r="AD589" s="21">
        <v>0</v>
      </c>
      <c r="AE589" s="21">
        <v>0</v>
      </c>
      <c r="AF589" s="21">
        <v>0</v>
      </c>
      <c r="AG589" s="21">
        <v>0</v>
      </c>
      <c r="AH589" s="21">
        <v>0</v>
      </c>
      <c r="AI589" s="21">
        <v>1</v>
      </c>
      <c r="AJ589" s="21">
        <v>0</v>
      </c>
      <c r="AK589" s="21">
        <v>0</v>
      </c>
      <c r="AL589" s="21">
        <v>0</v>
      </c>
      <c r="AM589" s="21">
        <v>0</v>
      </c>
      <c r="AN589" s="21">
        <v>0</v>
      </c>
      <c r="AO589" s="21">
        <v>0</v>
      </c>
      <c r="AP589" s="21">
        <v>1</v>
      </c>
      <c r="AQ589" s="21">
        <v>0</v>
      </c>
      <c r="AR589" s="21">
        <v>1</v>
      </c>
      <c r="AS589" s="21">
        <v>0</v>
      </c>
      <c r="AT589" s="21">
        <v>1</v>
      </c>
      <c r="AU589" s="21">
        <v>1</v>
      </c>
      <c r="AV589" s="21">
        <v>1</v>
      </c>
      <c r="AW589" s="21">
        <v>1</v>
      </c>
      <c r="AX589" s="21">
        <v>1</v>
      </c>
      <c r="AY589" s="21">
        <v>1</v>
      </c>
      <c r="AZ589" s="21">
        <v>1</v>
      </c>
      <c r="BA589" s="21">
        <v>1</v>
      </c>
      <c r="BB589" s="21">
        <v>1</v>
      </c>
      <c r="BC589" s="21">
        <v>0</v>
      </c>
      <c r="BD589" s="21">
        <v>0</v>
      </c>
      <c r="BE589" s="21">
        <v>0</v>
      </c>
      <c r="BF589" s="21">
        <v>1</v>
      </c>
      <c r="BG589" s="21">
        <v>1</v>
      </c>
      <c r="BH589" s="21">
        <v>0</v>
      </c>
      <c r="BI589" s="21">
        <v>0</v>
      </c>
      <c r="BJ589" s="21">
        <v>0</v>
      </c>
      <c r="BK589" s="21">
        <v>1</v>
      </c>
      <c r="BL589" s="21">
        <v>0</v>
      </c>
      <c r="BM589" s="21">
        <v>0</v>
      </c>
      <c r="BN589" s="21">
        <v>0</v>
      </c>
      <c r="BO589" s="21">
        <v>0</v>
      </c>
      <c r="BP589" s="21">
        <v>0</v>
      </c>
      <c r="BQ589" s="21">
        <v>0</v>
      </c>
      <c r="BR589" s="21">
        <v>0</v>
      </c>
      <c r="BS589" s="21">
        <v>0</v>
      </c>
    </row>
    <row r="590" spans="1:71">
      <c r="A590" s="20" t="s">
        <v>4897</v>
      </c>
      <c r="B590">
        <v>40</v>
      </c>
      <c r="C590">
        <v>251</v>
      </c>
      <c r="D590" s="21">
        <v>2017</v>
      </c>
      <c r="E590" s="23">
        <v>-0.31</v>
      </c>
      <c r="F590" s="14">
        <f t="shared" si="36"/>
        <v>6.1630218687872759E-2</v>
      </c>
      <c r="G590">
        <v>-5.03</v>
      </c>
      <c r="H590" s="27">
        <v>0</v>
      </c>
      <c r="I590" s="21">
        <v>1</v>
      </c>
      <c r="J590" s="21">
        <v>288</v>
      </c>
      <c r="K590" s="21">
        <v>1</v>
      </c>
      <c r="L590" s="21">
        <v>0</v>
      </c>
      <c r="M590" s="21">
        <v>0</v>
      </c>
      <c r="N590" s="21">
        <v>0</v>
      </c>
      <c r="O590" s="21">
        <v>0</v>
      </c>
      <c r="P590">
        <v>0</v>
      </c>
      <c r="Q590" s="21">
        <v>1</v>
      </c>
      <c r="R590" s="21">
        <v>0</v>
      </c>
      <c r="S590" s="21">
        <v>0</v>
      </c>
      <c r="T590" s="21">
        <v>1</v>
      </c>
      <c r="U590" s="21">
        <v>2002</v>
      </c>
      <c r="V590" s="21">
        <v>2013</v>
      </c>
      <c r="W590">
        <f t="shared" si="35"/>
        <v>2008</v>
      </c>
      <c r="X590" s="21">
        <v>1</v>
      </c>
      <c r="Y590" s="21">
        <v>0</v>
      </c>
      <c r="Z590" s="21">
        <v>0</v>
      </c>
      <c r="AA590" s="21">
        <v>0</v>
      </c>
      <c r="AB590" s="21">
        <v>0</v>
      </c>
      <c r="AC590" s="21">
        <v>1</v>
      </c>
      <c r="AD590" s="21">
        <v>0</v>
      </c>
      <c r="AE590" s="21">
        <v>0</v>
      </c>
      <c r="AF590" s="21">
        <v>0</v>
      </c>
      <c r="AG590" s="21">
        <v>0</v>
      </c>
      <c r="AH590" s="21">
        <v>0</v>
      </c>
      <c r="AI590" s="21">
        <v>1</v>
      </c>
      <c r="AJ590" s="21">
        <v>0</v>
      </c>
      <c r="AK590" s="21">
        <v>0</v>
      </c>
      <c r="AL590" s="21">
        <v>0</v>
      </c>
      <c r="AM590" s="21">
        <v>0</v>
      </c>
      <c r="AN590" s="21">
        <v>0</v>
      </c>
      <c r="AO590" s="21">
        <v>0</v>
      </c>
      <c r="AP590" s="21">
        <v>1</v>
      </c>
      <c r="AQ590" s="21">
        <v>0</v>
      </c>
      <c r="AR590" s="21">
        <v>1</v>
      </c>
      <c r="AS590" s="21">
        <v>0</v>
      </c>
      <c r="AT590" s="21">
        <v>1</v>
      </c>
      <c r="AU590" s="21">
        <v>1</v>
      </c>
      <c r="AV590" s="21">
        <v>1</v>
      </c>
      <c r="AW590" s="21">
        <v>1</v>
      </c>
      <c r="AX590" s="21">
        <v>1</v>
      </c>
      <c r="AY590" s="21">
        <v>1</v>
      </c>
      <c r="AZ590" s="21">
        <v>1</v>
      </c>
      <c r="BA590" s="21">
        <v>1</v>
      </c>
      <c r="BB590" s="21">
        <v>1</v>
      </c>
      <c r="BC590" s="21">
        <v>0</v>
      </c>
      <c r="BD590" s="21">
        <v>0</v>
      </c>
      <c r="BE590" s="21">
        <v>0</v>
      </c>
      <c r="BF590" s="21">
        <v>1</v>
      </c>
      <c r="BG590" s="21">
        <v>1</v>
      </c>
      <c r="BH590" s="21">
        <v>0</v>
      </c>
      <c r="BI590" s="21">
        <v>0</v>
      </c>
      <c r="BJ590" s="21">
        <v>0</v>
      </c>
      <c r="BK590" s="21">
        <v>1</v>
      </c>
      <c r="BL590" s="21">
        <v>0</v>
      </c>
      <c r="BM590" s="21">
        <v>0</v>
      </c>
      <c r="BN590" s="21">
        <v>0</v>
      </c>
      <c r="BO590" s="21">
        <v>0</v>
      </c>
      <c r="BP590" s="21">
        <v>0</v>
      </c>
      <c r="BQ590" s="21">
        <v>0</v>
      </c>
      <c r="BR590" s="21">
        <v>0</v>
      </c>
      <c r="BS590" s="21">
        <v>0</v>
      </c>
    </row>
    <row r="591" spans="1:71">
      <c r="A591" s="20" t="s">
        <v>4897</v>
      </c>
      <c r="B591">
        <v>40</v>
      </c>
      <c r="C591">
        <v>252</v>
      </c>
      <c r="D591" s="21">
        <v>2017</v>
      </c>
      <c r="E591" s="23">
        <v>-0.32</v>
      </c>
      <c r="F591" s="14">
        <f t="shared" si="36"/>
        <v>6.0263653483992471E-2</v>
      </c>
      <c r="G591">
        <v>-5.31</v>
      </c>
      <c r="H591" s="27">
        <v>0</v>
      </c>
      <c r="I591" s="21">
        <v>1</v>
      </c>
      <c r="J591" s="21">
        <v>288</v>
      </c>
      <c r="K591" s="21">
        <v>1</v>
      </c>
      <c r="L591" s="21">
        <v>0</v>
      </c>
      <c r="M591" s="21">
        <v>0</v>
      </c>
      <c r="N591" s="21">
        <v>0</v>
      </c>
      <c r="O591" s="21">
        <v>0</v>
      </c>
      <c r="P591">
        <v>0</v>
      </c>
      <c r="Q591" s="21">
        <v>1</v>
      </c>
      <c r="R591" s="21">
        <v>0</v>
      </c>
      <c r="S591" s="21">
        <v>0</v>
      </c>
      <c r="T591" s="21">
        <v>1</v>
      </c>
      <c r="U591" s="21">
        <v>2002</v>
      </c>
      <c r="V591" s="21">
        <v>2013</v>
      </c>
      <c r="W591">
        <f t="shared" si="35"/>
        <v>2008</v>
      </c>
      <c r="X591" s="21">
        <v>1</v>
      </c>
      <c r="Y591" s="21">
        <v>0</v>
      </c>
      <c r="Z591" s="21">
        <v>0</v>
      </c>
      <c r="AA591" s="21">
        <v>0</v>
      </c>
      <c r="AB591" s="21">
        <v>0</v>
      </c>
      <c r="AC591" s="21">
        <v>1</v>
      </c>
      <c r="AD591" s="21">
        <v>0</v>
      </c>
      <c r="AE591" s="21">
        <v>0</v>
      </c>
      <c r="AF591" s="21">
        <v>0</v>
      </c>
      <c r="AG591" s="21">
        <v>0</v>
      </c>
      <c r="AH591" s="21">
        <v>0</v>
      </c>
      <c r="AI591" s="21">
        <v>1</v>
      </c>
      <c r="AJ591" s="21">
        <v>0</v>
      </c>
      <c r="AK591" s="21">
        <v>0</v>
      </c>
      <c r="AL591" s="21">
        <v>0</v>
      </c>
      <c r="AM591" s="21">
        <v>0</v>
      </c>
      <c r="AN591" s="21">
        <v>0</v>
      </c>
      <c r="AO591" s="21">
        <v>0</v>
      </c>
      <c r="AP591" s="21">
        <v>1</v>
      </c>
      <c r="AQ591" s="21">
        <v>0</v>
      </c>
      <c r="AR591" s="21">
        <v>1</v>
      </c>
      <c r="AS591" s="21">
        <v>0</v>
      </c>
      <c r="AT591" s="21">
        <v>1</v>
      </c>
      <c r="AU591" s="21">
        <v>1</v>
      </c>
      <c r="AV591" s="21">
        <v>1</v>
      </c>
      <c r="AW591" s="21">
        <v>1</v>
      </c>
      <c r="AX591" s="21">
        <v>1</v>
      </c>
      <c r="AY591" s="21">
        <v>1</v>
      </c>
      <c r="AZ591" s="21">
        <v>1</v>
      </c>
      <c r="BA591" s="21">
        <v>1</v>
      </c>
      <c r="BB591" s="21">
        <v>1</v>
      </c>
      <c r="BC591" s="21">
        <v>0</v>
      </c>
      <c r="BD591" s="21">
        <v>0</v>
      </c>
      <c r="BE591" s="21">
        <v>0</v>
      </c>
      <c r="BF591" s="21">
        <v>1</v>
      </c>
      <c r="BG591" s="21">
        <v>1</v>
      </c>
      <c r="BH591" s="21">
        <v>0</v>
      </c>
      <c r="BI591" s="21">
        <v>0</v>
      </c>
      <c r="BJ591" s="21">
        <v>0</v>
      </c>
      <c r="BK591" s="21">
        <v>1</v>
      </c>
      <c r="BL591" s="21">
        <v>0</v>
      </c>
      <c r="BM591" s="21">
        <v>0</v>
      </c>
      <c r="BN591" s="21">
        <v>0</v>
      </c>
      <c r="BO591" s="21">
        <v>0</v>
      </c>
      <c r="BP591" s="21">
        <v>0</v>
      </c>
      <c r="BQ591" s="21">
        <v>0</v>
      </c>
      <c r="BR591" s="21">
        <v>0</v>
      </c>
      <c r="BS591" s="21">
        <v>0</v>
      </c>
    </row>
    <row r="592" spans="1:71">
      <c r="A592" s="20" t="s">
        <v>4897</v>
      </c>
      <c r="B592">
        <v>40</v>
      </c>
      <c r="C592">
        <v>253</v>
      </c>
      <c r="D592" s="21">
        <v>2017</v>
      </c>
      <c r="E592" s="23">
        <v>-0.31</v>
      </c>
      <c r="F592" s="14">
        <f t="shared" si="36"/>
        <v>8.8825214899713456E-2</v>
      </c>
      <c r="G592">
        <v>-3.49</v>
      </c>
      <c r="H592" s="27">
        <v>0</v>
      </c>
      <c r="I592" s="21">
        <v>1</v>
      </c>
      <c r="J592" s="21">
        <v>288</v>
      </c>
      <c r="K592" s="21">
        <v>1</v>
      </c>
      <c r="L592" s="21">
        <v>0</v>
      </c>
      <c r="M592" s="21">
        <v>0</v>
      </c>
      <c r="N592" s="21">
        <v>0</v>
      </c>
      <c r="O592" s="21">
        <v>0</v>
      </c>
      <c r="P592">
        <v>0</v>
      </c>
      <c r="Q592" s="21">
        <v>1</v>
      </c>
      <c r="R592" s="21">
        <v>0</v>
      </c>
      <c r="S592" s="21">
        <v>0</v>
      </c>
      <c r="T592" s="21">
        <v>1</v>
      </c>
      <c r="U592" s="21">
        <v>2002</v>
      </c>
      <c r="V592" s="21">
        <v>2013</v>
      </c>
      <c r="W592">
        <f t="shared" si="35"/>
        <v>2008</v>
      </c>
      <c r="X592" s="21">
        <v>1</v>
      </c>
      <c r="Y592" s="21">
        <v>0</v>
      </c>
      <c r="Z592" s="21">
        <v>0</v>
      </c>
      <c r="AA592" s="21">
        <v>0</v>
      </c>
      <c r="AB592" s="21">
        <v>0</v>
      </c>
      <c r="AC592" s="21">
        <v>1</v>
      </c>
      <c r="AD592" s="21">
        <v>0</v>
      </c>
      <c r="AE592" s="21">
        <v>0</v>
      </c>
      <c r="AF592" s="21">
        <v>0</v>
      </c>
      <c r="AG592" s="21">
        <v>0</v>
      </c>
      <c r="AH592" s="21">
        <v>0</v>
      </c>
      <c r="AI592" s="21">
        <v>1</v>
      </c>
      <c r="AJ592" s="21">
        <v>0</v>
      </c>
      <c r="AK592" s="21">
        <v>0</v>
      </c>
      <c r="AL592" s="21">
        <v>0</v>
      </c>
      <c r="AM592" s="21">
        <v>0</v>
      </c>
      <c r="AN592" s="21">
        <v>0</v>
      </c>
      <c r="AO592" s="21">
        <v>0</v>
      </c>
      <c r="AP592" s="21">
        <v>1</v>
      </c>
      <c r="AQ592" s="21">
        <v>0</v>
      </c>
      <c r="AR592" s="21">
        <v>1</v>
      </c>
      <c r="AS592" s="21">
        <v>0</v>
      </c>
      <c r="AT592" s="21">
        <v>1</v>
      </c>
      <c r="AU592" s="21">
        <v>1</v>
      </c>
      <c r="AV592" s="21">
        <v>1</v>
      </c>
      <c r="AW592" s="21">
        <v>1</v>
      </c>
      <c r="AX592" s="21">
        <v>1</v>
      </c>
      <c r="AY592" s="21">
        <v>1</v>
      </c>
      <c r="AZ592" s="21">
        <v>1</v>
      </c>
      <c r="BA592" s="21">
        <v>1</v>
      </c>
      <c r="BB592" s="21">
        <v>1</v>
      </c>
      <c r="BC592" s="21">
        <v>0</v>
      </c>
      <c r="BD592" s="21">
        <v>0</v>
      </c>
      <c r="BE592" s="21">
        <v>0</v>
      </c>
      <c r="BF592" s="21">
        <v>1</v>
      </c>
      <c r="BG592" s="21">
        <v>1</v>
      </c>
      <c r="BH592" s="21">
        <v>0</v>
      </c>
      <c r="BI592" s="21">
        <v>0</v>
      </c>
      <c r="BJ592" s="21">
        <v>0</v>
      </c>
      <c r="BK592" s="21">
        <v>1</v>
      </c>
      <c r="BL592" s="21">
        <v>0</v>
      </c>
      <c r="BM592" s="21">
        <v>0</v>
      </c>
      <c r="BN592" s="21">
        <v>0</v>
      </c>
      <c r="BO592" s="21">
        <v>0</v>
      </c>
      <c r="BP592" s="21">
        <v>0</v>
      </c>
      <c r="BQ592" s="21">
        <v>0</v>
      </c>
      <c r="BR592" s="21">
        <v>0</v>
      </c>
      <c r="BS592" s="21">
        <v>0</v>
      </c>
    </row>
    <row r="593" spans="1:71">
      <c r="A593" s="20" t="s">
        <v>4897</v>
      </c>
      <c r="B593">
        <v>40</v>
      </c>
      <c r="C593">
        <v>254</v>
      </c>
      <c r="D593" s="21">
        <v>2017</v>
      </c>
      <c r="E593" s="23">
        <v>-0.12</v>
      </c>
      <c r="F593" s="14">
        <f t="shared" si="36"/>
        <v>5.9405940594059403E-2</v>
      </c>
      <c r="G593">
        <v>-2.02</v>
      </c>
      <c r="H593" s="27">
        <v>0</v>
      </c>
      <c r="I593" s="21">
        <v>1</v>
      </c>
      <c r="J593" s="21">
        <v>168</v>
      </c>
      <c r="K593" s="21">
        <v>1</v>
      </c>
      <c r="L593" s="21">
        <v>0</v>
      </c>
      <c r="M593" s="21">
        <v>0</v>
      </c>
      <c r="N593" s="21">
        <v>0</v>
      </c>
      <c r="O593" s="21">
        <v>0</v>
      </c>
      <c r="P593">
        <v>0</v>
      </c>
      <c r="Q593" s="21">
        <v>1</v>
      </c>
      <c r="R593" s="21">
        <v>0</v>
      </c>
      <c r="S593" s="21">
        <v>0</v>
      </c>
      <c r="T593" s="21">
        <v>1</v>
      </c>
      <c r="U593" s="21">
        <v>2007</v>
      </c>
      <c r="V593" s="21">
        <v>2013</v>
      </c>
      <c r="W593">
        <f t="shared" si="35"/>
        <v>2010</v>
      </c>
      <c r="X593" s="21">
        <v>1</v>
      </c>
      <c r="Y593" s="21">
        <v>0</v>
      </c>
      <c r="Z593" s="21">
        <v>0</v>
      </c>
      <c r="AA593" s="21">
        <v>0</v>
      </c>
      <c r="AB593" s="21">
        <v>0</v>
      </c>
      <c r="AC593" s="21">
        <v>1</v>
      </c>
      <c r="AD593" s="21">
        <v>0</v>
      </c>
      <c r="AE593" s="21">
        <v>0</v>
      </c>
      <c r="AF593" s="21">
        <v>0</v>
      </c>
      <c r="AG593" s="21">
        <v>0</v>
      </c>
      <c r="AH593" s="21">
        <v>0</v>
      </c>
      <c r="AI593" s="21">
        <v>1</v>
      </c>
      <c r="AJ593" s="21">
        <v>0</v>
      </c>
      <c r="AK593" s="21">
        <v>0</v>
      </c>
      <c r="AL593" s="21">
        <v>0</v>
      </c>
      <c r="AM593" s="21">
        <v>0</v>
      </c>
      <c r="AN593" s="21">
        <v>0</v>
      </c>
      <c r="AO593" s="21">
        <v>0</v>
      </c>
      <c r="AP593" s="21">
        <v>1</v>
      </c>
      <c r="AQ593" s="21">
        <v>0</v>
      </c>
      <c r="AR593" s="21">
        <v>1</v>
      </c>
      <c r="AS593" s="21">
        <v>0</v>
      </c>
      <c r="AT593" s="21">
        <v>1</v>
      </c>
      <c r="AU593" s="21">
        <v>1</v>
      </c>
      <c r="AV593" s="21">
        <v>1</v>
      </c>
      <c r="AW593" s="21">
        <v>1</v>
      </c>
      <c r="AX593" s="21">
        <v>1</v>
      </c>
      <c r="AY593" s="21">
        <v>1</v>
      </c>
      <c r="AZ593" s="21">
        <v>1</v>
      </c>
      <c r="BA593" s="21">
        <v>1</v>
      </c>
      <c r="BB593" s="21">
        <v>1</v>
      </c>
      <c r="BC593" s="21">
        <v>0</v>
      </c>
      <c r="BD593" s="21">
        <v>0</v>
      </c>
      <c r="BE593" s="21">
        <v>0</v>
      </c>
      <c r="BF593" s="21">
        <v>1</v>
      </c>
      <c r="BG593" s="21">
        <v>1</v>
      </c>
      <c r="BH593" s="21">
        <v>0</v>
      </c>
      <c r="BI593" s="21">
        <v>0</v>
      </c>
      <c r="BJ593" s="21">
        <v>0</v>
      </c>
      <c r="BK593" s="21">
        <v>0</v>
      </c>
      <c r="BL593" s="21">
        <v>0</v>
      </c>
      <c r="BM593" s="21">
        <v>0</v>
      </c>
      <c r="BN593" s="21">
        <v>0</v>
      </c>
      <c r="BO593" s="21">
        <v>0</v>
      </c>
      <c r="BP593" s="21">
        <v>0</v>
      </c>
      <c r="BQ593" s="21">
        <v>0</v>
      </c>
      <c r="BR593" s="21">
        <v>0</v>
      </c>
      <c r="BS593" s="21">
        <v>0</v>
      </c>
    </row>
    <row r="594" spans="1:71">
      <c r="A594" s="20" t="s">
        <v>4897</v>
      </c>
      <c r="B594">
        <v>40</v>
      </c>
      <c r="C594">
        <v>255</v>
      </c>
      <c r="D594" s="21">
        <v>2017</v>
      </c>
      <c r="E594" s="23">
        <v>-0.25</v>
      </c>
      <c r="F594" s="14">
        <f t="shared" si="36"/>
        <v>5.3078556263269641E-2</v>
      </c>
      <c r="G594">
        <v>-4.71</v>
      </c>
      <c r="H594" s="27">
        <v>0</v>
      </c>
      <c r="I594" s="21">
        <v>1</v>
      </c>
      <c r="J594" s="21">
        <v>168</v>
      </c>
      <c r="K594" s="21">
        <v>1</v>
      </c>
      <c r="L594" s="21">
        <v>0</v>
      </c>
      <c r="M594" s="21">
        <v>0</v>
      </c>
      <c r="N594" s="21">
        <v>0</v>
      </c>
      <c r="O594" s="21">
        <v>0</v>
      </c>
      <c r="P594">
        <v>0</v>
      </c>
      <c r="Q594" s="21">
        <v>1</v>
      </c>
      <c r="R594" s="21">
        <v>0</v>
      </c>
      <c r="S594" s="21">
        <v>0</v>
      </c>
      <c r="T594" s="21">
        <v>1</v>
      </c>
      <c r="U594" s="21">
        <v>2007</v>
      </c>
      <c r="V594" s="21">
        <v>2013</v>
      </c>
      <c r="W594">
        <f t="shared" si="35"/>
        <v>2010</v>
      </c>
      <c r="X594" s="21">
        <v>1</v>
      </c>
      <c r="Y594" s="21">
        <v>0</v>
      </c>
      <c r="Z594" s="21">
        <v>0</v>
      </c>
      <c r="AA594" s="21">
        <v>0</v>
      </c>
      <c r="AB594" s="21">
        <v>0</v>
      </c>
      <c r="AC594" s="21">
        <v>1</v>
      </c>
      <c r="AD594" s="21">
        <v>0</v>
      </c>
      <c r="AE594" s="21">
        <v>0</v>
      </c>
      <c r="AF594" s="21">
        <v>0</v>
      </c>
      <c r="AG594" s="21">
        <v>0</v>
      </c>
      <c r="AH594" s="21">
        <v>0</v>
      </c>
      <c r="AI594" s="21">
        <v>1</v>
      </c>
      <c r="AJ594" s="21">
        <v>0</v>
      </c>
      <c r="AK594" s="21">
        <v>0</v>
      </c>
      <c r="AL594" s="21">
        <v>0</v>
      </c>
      <c r="AM594" s="21">
        <v>0</v>
      </c>
      <c r="AN594" s="21">
        <v>0</v>
      </c>
      <c r="AO594" s="21">
        <v>0</v>
      </c>
      <c r="AP594" s="21">
        <v>1</v>
      </c>
      <c r="AQ594" s="21">
        <v>0</v>
      </c>
      <c r="AR594" s="21">
        <v>1</v>
      </c>
      <c r="AS594" s="21">
        <v>0</v>
      </c>
      <c r="AT594" s="21">
        <v>1</v>
      </c>
      <c r="AU594" s="21">
        <v>1</v>
      </c>
      <c r="AV594" s="21">
        <v>1</v>
      </c>
      <c r="AW594" s="21">
        <v>1</v>
      </c>
      <c r="AX594" s="21">
        <v>1</v>
      </c>
      <c r="AY594" s="21">
        <v>1</v>
      </c>
      <c r="AZ594" s="21">
        <v>1</v>
      </c>
      <c r="BA594" s="21">
        <v>1</v>
      </c>
      <c r="BB594" s="21">
        <v>1</v>
      </c>
      <c r="BC594" s="21">
        <v>0</v>
      </c>
      <c r="BD594" s="21">
        <v>0</v>
      </c>
      <c r="BE594" s="21">
        <v>0</v>
      </c>
      <c r="BF594" s="21">
        <v>1</v>
      </c>
      <c r="BG594" s="21">
        <v>1</v>
      </c>
      <c r="BH594" s="21">
        <v>0</v>
      </c>
      <c r="BI594" s="21">
        <v>0</v>
      </c>
      <c r="BJ594" s="21">
        <v>0</v>
      </c>
      <c r="BK594" s="21">
        <v>1</v>
      </c>
      <c r="BL594" s="21">
        <v>0</v>
      </c>
      <c r="BM594" s="21">
        <v>0</v>
      </c>
      <c r="BN594" s="21">
        <v>0</v>
      </c>
      <c r="BO594" s="21">
        <v>0</v>
      </c>
      <c r="BP594" s="21">
        <v>0</v>
      </c>
      <c r="BQ594" s="21">
        <v>0</v>
      </c>
      <c r="BR594" s="21">
        <v>0</v>
      </c>
      <c r="BS594" s="21">
        <v>0</v>
      </c>
    </row>
    <row r="595" spans="1:71">
      <c r="A595" s="20" t="s">
        <v>4897</v>
      </c>
      <c r="B595">
        <v>40</v>
      </c>
      <c r="C595">
        <v>256</v>
      </c>
      <c r="D595" s="21">
        <v>2017</v>
      </c>
      <c r="E595" s="23">
        <v>-0.28999999999999998</v>
      </c>
      <c r="F595" s="14">
        <f t="shared" si="36"/>
        <v>5.197132616487455E-2</v>
      </c>
      <c r="G595">
        <v>-5.58</v>
      </c>
      <c r="H595" s="27">
        <v>0</v>
      </c>
      <c r="I595" s="21">
        <v>1</v>
      </c>
      <c r="J595" s="21">
        <v>168</v>
      </c>
      <c r="K595" s="21">
        <v>1</v>
      </c>
      <c r="L595" s="21">
        <v>0</v>
      </c>
      <c r="M595" s="21">
        <v>0</v>
      </c>
      <c r="N595" s="21">
        <v>0</v>
      </c>
      <c r="O595" s="21">
        <v>0</v>
      </c>
      <c r="P595">
        <v>0</v>
      </c>
      <c r="Q595" s="21">
        <v>1</v>
      </c>
      <c r="R595" s="21">
        <v>0</v>
      </c>
      <c r="S595" s="21">
        <v>0</v>
      </c>
      <c r="T595" s="21">
        <v>1</v>
      </c>
      <c r="U595" s="21">
        <v>2007</v>
      </c>
      <c r="V595" s="21">
        <v>2013</v>
      </c>
      <c r="W595">
        <f t="shared" si="35"/>
        <v>2010</v>
      </c>
      <c r="X595" s="21">
        <v>1</v>
      </c>
      <c r="Y595" s="21">
        <v>0</v>
      </c>
      <c r="Z595" s="21">
        <v>0</v>
      </c>
      <c r="AA595" s="21">
        <v>0</v>
      </c>
      <c r="AB595" s="21">
        <v>0</v>
      </c>
      <c r="AC595" s="21">
        <v>1</v>
      </c>
      <c r="AD595" s="21">
        <v>0</v>
      </c>
      <c r="AE595" s="21">
        <v>0</v>
      </c>
      <c r="AF595" s="21">
        <v>0</v>
      </c>
      <c r="AG595" s="21">
        <v>0</v>
      </c>
      <c r="AH595" s="21">
        <v>0</v>
      </c>
      <c r="AI595" s="21">
        <v>1</v>
      </c>
      <c r="AJ595" s="21">
        <v>0</v>
      </c>
      <c r="AK595" s="21">
        <v>0</v>
      </c>
      <c r="AL595" s="21">
        <v>0</v>
      </c>
      <c r="AM595" s="21">
        <v>0</v>
      </c>
      <c r="AN595" s="21">
        <v>0</v>
      </c>
      <c r="AO595" s="21">
        <v>0</v>
      </c>
      <c r="AP595" s="21">
        <v>1</v>
      </c>
      <c r="AQ595" s="21">
        <v>0</v>
      </c>
      <c r="AR595" s="21">
        <v>1</v>
      </c>
      <c r="AS595" s="21">
        <v>0</v>
      </c>
      <c r="AT595" s="21">
        <v>1</v>
      </c>
      <c r="AU595" s="21">
        <v>1</v>
      </c>
      <c r="AV595" s="21">
        <v>1</v>
      </c>
      <c r="AW595" s="21">
        <v>1</v>
      </c>
      <c r="AX595" s="21">
        <v>1</v>
      </c>
      <c r="AY595" s="21">
        <v>1</v>
      </c>
      <c r="AZ595" s="21">
        <v>1</v>
      </c>
      <c r="BA595" s="21">
        <v>1</v>
      </c>
      <c r="BB595" s="21">
        <v>1</v>
      </c>
      <c r="BC595" s="21">
        <v>0</v>
      </c>
      <c r="BD595" s="21">
        <v>0</v>
      </c>
      <c r="BE595" s="21">
        <v>0</v>
      </c>
      <c r="BF595" s="21">
        <v>1</v>
      </c>
      <c r="BG595" s="21">
        <v>1</v>
      </c>
      <c r="BH595" s="21">
        <v>0</v>
      </c>
      <c r="BI595" s="21">
        <v>0</v>
      </c>
      <c r="BJ595" s="21">
        <v>0</v>
      </c>
      <c r="BK595" s="21">
        <v>1</v>
      </c>
      <c r="BL595" s="21">
        <v>0</v>
      </c>
      <c r="BM595" s="21">
        <v>0</v>
      </c>
      <c r="BN595" s="21">
        <v>0</v>
      </c>
      <c r="BO595" s="21">
        <v>0</v>
      </c>
      <c r="BP595" s="21">
        <v>0</v>
      </c>
      <c r="BQ595" s="21">
        <v>0</v>
      </c>
      <c r="BR595" s="21">
        <v>0</v>
      </c>
      <c r="BS595" s="21">
        <v>0</v>
      </c>
    </row>
    <row r="596" spans="1:71">
      <c r="A596" s="20" t="s">
        <v>4897</v>
      </c>
      <c r="B596">
        <v>40</v>
      </c>
      <c r="C596">
        <v>257</v>
      </c>
      <c r="D596" s="21">
        <v>2017</v>
      </c>
      <c r="E596" s="23">
        <v>-0.26</v>
      </c>
      <c r="F596" s="14">
        <f t="shared" si="36"/>
        <v>5.3608247422680416E-2</v>
      </c>
      <c r="G596">
        <v>-4.8499999999999996</v>
      </c>
      <c r="H596" s="27">
        <v>0</v>
      </c>
      <c r="I596" s="21">
        <v>1</v>
      </c>
      <c r="J596" s="21">
        <v>168</v>
      </c>
      <c r="K596" s="21">
        <v>1</v>
      </c>
      <c r="L596" s="21">
        <v>0</v>
      </c>
      <c r="M596" s="21">
        <v>0</v>
      </c>
      <c r="N596" s="21">
        <v>0</v>
      </c>
      <c r="O596" s="21">
        <v>0</v>
      </c>
      <c r="P596">
        <v>0</v>
      </c>
      <c r="Q596" s="21">
        <v>1</v>
      </c>
      <c r="R596" s="21">
        <v>0</v>
      </c>
      <c r="S596" s="21">
        <v>0</v>
      </c>
      <c r="T596" s="21">
        <v>1</v>
      </c>
      <c r="U596" s="21">
        <v>2007</v>
      </c>
      <c r="V596" s="21">
        <v>2013</v>
      </c>
      <c r="W596">
        <f t="shared" si="35"/>
        <v>2010</v>
      </c>
      <c r="X596" s="21">
        <v>1</v>
      </c>
      <c r="Y596" s="21">
        <v>0</v>
      </c>
      <c r="Z596" s="21">
        <v>0</v>
      </c>
      <c r="AA596" s="21">
        <v>0</v>
      </c>
      <c r="AB596" s="21">
        <v>0</v>
      </c>
      <c r="AC596" s="21">
        <v>1</v>
      </c>
      <c r="AD596" s="21">
        <v>0</v>
      </c>
      <c r="AE596" s="21">
        <v>0</v>
      </c>
      <c r="AF596" s="21">
        <v>0</v>
      </c>
      <c r="AG596" s="21">
        <v>0</v>
      </c>
      <c r="AH596" s="21">
        <v>0</v>
      </c>
      <c r="AI596" s="21">
        <v>1</v>
      </c>
      <c r="AJ596" s="21">
        <v>0</v>
      </c>
      <c r="AK596" s="21">
        <v>0</v>
      </c>
      <c r="AL596" s="21">
        <v>0</v>
      </c>
      <c r="AM596" s="21">
        <v>0</v>
      </c>
      <c r="AN596" s="21">
        <v>0</v>
      </c>
      <c r="AO596" s="21">
        <v>0</v>
      </c>
      <c r="AP596" s="21">
        <v>1</v>
      </c>
      <c r="AQ596" s="21">
        <v>0</v>
      </c>
      <c r="AR596" s="21">
        <v>1</v>
      </c>
      <c r="AS596" s="21">
        <v>0</v>
      </c>
      <c r="AT596" s="21">
        <v>1</v>
      </c>
      <c r="AU596" s="21">
        <v>1</v>
      </c>
      <c r="AV596" s="21">
        <v>1</v>
      </c>
      <c r="AW596" s="21">
        <v>1</v>
      </c>
      <c r="AX596" s="21">
        <v>1</v>
      </c>
      <c r="AY596" s="21">
        <v>1</v>
      </c>
      <c r="AZ596" s="21">
        <v>1</v>
      </c>
      <c r="BA596" s="21">
        <v>1</v>
      </c>
      <c r="BB596" s="21">
        <v>1</v>
      </c>
      <c r="BC596" s="21">
        <v>0</v>
      </c>
      <c r="BD596" s="21">
        <v>0</v>
      </c>
      <c r="BE596" s="21">
        <v>0</v>
      </c>
      <c r="BF596" s="21">
        <v>1</v>
      </c>
      <c r="BG596" s="21">
        <v>1</v>
      </c>
      <c r="BH596" s="21">
        <v>0</v>
      </c>
      <c r="BI596" s="21">
        <v>0</v>
      </c>
      <c r="BJ596" s="21">
        <v>0</v>
      </c>
      <c r="BK596" s="21">
        <v>1</v>
      </c>
      <c r="BL596" s="21">
        <v>0</v>
      </c>
      <c r="BM596" s="21">
        <v>0</v>
      </c>
      <c r="BN596" s="21">
        <v>0</v>
      </c>
      <c r="BO596" s="21">
        <v>0</v>
      </c>
      <c r="BP596" s="21">
        <v>0</v>
      </c>
      <c r="BQ596" s="21">
        <v>0</v>
      </c>
      <c r="BR596" s="21">
        <v>0</v>
      </c>
      <c r="BS596" s="21">
        <v>0</v>
      </c>
    </row>
    <row r="597" spans="1:71">
      <c r="A597" s="20" t="s">
        <v>4897</v>
      </c>
      <c r="B597">
        <v>40</v>
      </c>
      <c r="C597">
        <v>258</v>
      </c>
      <c r="D597" s="21">
        <v>2017</v>
      </c>
      <c r="E597" s="23">
        <v>-0.26</v>
      </c>
      <c r="F597" s="14">
        <f t="shared" si="36"/>
        <v>5.1896207584830344E-2</v>
      </c>
      <c r="G597">
        <v>-5.01</v>
      </c>
      <c r="H597" s="27">
        <v>0</v>
      </c>
      <c r="I597" s="21">
        <v>1</v>
      </c>
      <c r="J597" s="21">
        <v>168</v>
      </c>
      <c r="K597" s="21">
        <v>1</v>
      </c>
      <c r="L597" s="21">
        <v>0</v>
      </c>
      <c r="M597" s="21">
        <v>0</v>
      </c>
      <c r="N597" s="21">
        <v>0</v>
      </c>
      <c r="O597" s="21">
        <v>0</v>
      </c>
      <c r="P597">
        <v>0</v>
      </c>
      <c r="Q597" s="21">
        <v>1</v>
      </c>
      <c r="R597" s="21">
        <v>0</v>
      </c>
      <c r="S597" s="21">
        <v>0</v>
      </c>
      <c r="T597" s="21">
        <v>1</v>
      </c>
      <c r="U597" s="21">
        <v>2007</v>
      </c>
      <c r="V597" s="21">
        <v>2013</v>
      </c>
      <c r="W597">
        <f t="shared" si="35"/>
        <v>2010</v>
      </c>
      <c r="X597" s="21">
        <v>1</v>
      </c>
      <c r="Y597" s="21">
        <v>0</v>
      </c>
      <c r="Z597" s="21">
        <v>0</v>
      </c>
      <c r="AA597" s="21">
        <v>0</v>
      </c>
      <c r="AB597" s="21">
        <v>0</v>
      </c>
      <c r="AC597" s="21">
        <v>1</v>
      </c>
      <c r="AD597" s="21">
        <v>0</v>
      </c>
      <c r="AE597" s="21">
        <v>0</v>
      </c>
      <c r="AF597" s="21">
        <v>0</v>
      </c>
      <c r="AG597" s="21">
        <v>0</v>
      </c>
      <c r="AH597" s="21">
        <v>0</v>
      </c>
      <c r="AI597" s="21">
        <v>1</v>
      </c>
      <c r="AJ597" s="21">
        <v>0</v>
      </c>
      <c r="AK597" s="21">
        <v>0</v>
      </c>
      <c r="AL597" s="21">
        <v>0</v>
      </c>
      <c r="AM597" s="21">
        <v>0</v>
      </c>
      <c r="AN597" s="21">
        <v>0</v>
      </c>
      <c r="AO597" s="21">
        <v>0</v>
      </c>
      <c r="AP597" s="21">
        <v>1</v>
      </c>
      <c r="AQ597" s="21">
        <v>0</v>
      </c>
      <c r="AR597" s="21">
        <v>1</v>
      </c>
      <c r="AS597" s="21">
        <v>0</v>
      </c>
      <c r="AT597" s="21">
        <v>1</v>
      </c>
      <c r="AU597" s="21">
        <v>1</v>
      </c>
      <c r="AV597" s="21">
        <v>1</v>
      </c>
      <c r="AW597" s="21">
        <v>1</v>
      </c>
      <c r="AX597" s="21">
        <v>1</v>
      </c>
      <c r="AY597" s="21">
        <v>1</v>
      </c>
      <c r="AZ597" s="21">
        <v>1</v>
      </c>
      <c r="BA597" s="21">
        <v>1</v>
      </c>
      <c r="BB597" s="21">
        <v>1</v>
      </c>
      <c r="BC597" s="21">
        <v>0</v>
      </c>
      <c r="BD597" s="21">
        <v>0</v>
      </c>
      <c r="BE597" s="21">
        <v>0</v>
      </c>
      <c r="BF597" s="21">
        <v>1</v>
      </c>
      <c r="BG597" s="21">
        <v>1</v>
      </c>
      <c r="BH597" s="21">
        <v>0</v>
      </c>
      <c r="BI597" s="21">
        <v>0</v>
      </c>
      <c r="BJ597" s="21">
        <v>0</v>
      </c>
      <c r="BK597" s="21">
        <v>1</v>
      </c>
      <c r="BL597" s="21">
        <v>0</v>
      </c>
      <c r="BM597" s="21">
        <v>0</v>
      </c>
      <c r="BN597" s="21">
        <v>0</v>
      </c>
      <c r="BO597" s="21">
        <v>0</v>
      </c>
      <c r="BP597" s="21">
        <v>0</v>
      </c>
      <c r="BQ597" s="21">
        <v>0</v>
      </c>
      <c r="BR597" s="21">
        <v>0</v>
      </c>
      <c r="BS597" s="21">
        <v>0</v>
      </c>
    </row>
    <row r="598" spans="1:71">
      <c r="A598" s="20" t="s">
        <v>4897</v>
      </c>
      <c r="B598">
        <v>40</v>
      </c>
      <c r="C598">
        <v>259</v>
      </c>
      <c r="D598" s="21">
        <v>2017</v>
      </c>
      <c r="E598" s="23">
        <v>-0.37</v>
      </c>
      <c r="F598" s="14">
        <f t="shared" si="36"/>
        <v>6.5719360568383664E-2</v>
      </c>
      <c r="G598">
        <v>-5.63</v>
      </c>
      <c r="H598" s="27">
        <v>0</v>
      </c>
      <c r="I598" s="21">
        <v>1</v>
      </c>
      <c r="J598" s="21">
        <v>168</v>
      </c>
      <c r="K598" s="21">
        <v>1</v>
      </c>
      <c r="L598" s="21">
        <v>0</v>
      </c>
      <c r="M598" s="21">
        <v>0</v>
      </c>
      <c r="N598" s="21">
        <v>0</v>
      </c>
      <c r="O598" s="21">
        <v>0</v>
      </c>
      <c r="P598">
        <v>0</v>
      </c>
      <c r="Q598" s="21">
        <v>1</v>
      </c>
      <c r="R598" s="21">
        <v>0</v>
      </c>
      <c r="S598" s="21">
        <v>0</v>
      </c>
      <c r="T598" s="21">
        <v>1</v>
      </c>
      <c r="U598" s="21">
        <v>2007</v>
      </c>
      <c r="V598" s="21">
        <v>2013</v>
      </c>
      <c r="W598">
        <f t="shared" si="35"/>
        <v>2010</v>
      </c>
      <c r="X598" s="21">
        <v>1</v>
      </c>
      <c r="Y598" s="21">
        <v>0</v>
      </c>
      <c r="Z598" s="21">
        <v>0</v>
      </c>
      <c r="AA598" s="21">
        <v>0</v>
      </c>
      <c r="AB598" s="21">
        <v>0</v>
      </c>
      <c r="AC598" s="21">
        <v>1</v>
      </c>
      <c r="AD598" s="21">
        <v>0</v>
      </c>
      <c r="AE598" s="21">
        <v>0</v>
      </c>
      <c r="AF598" s="21">
        <v>0</v>
      </c>
      <c r="AG598" s="21">
        <v>0</v>
      </c>
      <c r="AH598" s="21">
        <v>0</v>
      </c>
      <c r="AI598" s="21">
        <v>1</v>
      </c>
      <c r="AJ598" s="21">
        <v>0</v>
      </c>
      <c r="AK598" s="21">
        <v>0</v>
      </c>
      <c r="AL598" s="21">
        <v>0</v>
      </c>
      <c r="AM598" s="21">
        <v>0</v>
      </c>
      <c r="AN598" s="21">
        <v>0</v>
      </c>
      <c r="AO598" s="21">
        <v>0</v>
      </c>
      <c r="AP598" s="21">
        <v>1</v>
      </c>
      <c r="AQ598" s="21">
        <v>0</v>
      </c>
      <c r="AR598" s="21">
        <v>1</v>
      </c>
      <c r="AS598" s="21">
        <v>0</v>
      </c>
      <c r="AT598" s="21">
        <v>1</v>
      </c>
      <c r="AU598" s="21">
        <v>1</v>
      </c>
      <c r="AV598" s="21">
        <v>1</v>
      </c>
      <c r="AW598" s="21">
        <v>1</v>
      </c>
      <c r="AX598" s="21">
        <v>1</v>
      </c>
      <c r="AY598" s="21">
        <v>1</v>
      </c>
      <c r="AZ598" s="21">
        <v>1</v>
      </c>
      <c r="BA598" s="21">
        <v>1</v>
      </c>
      <c r="BB598" s="21">
        <v>1</v>
      </c>
      <c r="BC598" s="21">
        <v>0</v>
      </c>
      <c r="BD598" s="21">
        <v>0</v>
      </c>
      <c r="BE598" s="21">
        <v>0</v>
      </c>
      <c r="BF598" s="21">
        <v>1</v>
      </c>
      <c r="BG598" s="21">
        <v>1</v>
      </c>
      <c r="BH598" s="21">
        <v>0</v>
      </c>
      <c r="BI598" s="21">
        <v>0</v>
      </c>
      <c r="BJ598" s="21">
        <v>0</v>
      </c>
      <c r="BK598" s="21">
        <v>1</v>
      </c>
      <c r="BL598" s="21">
        <v>0</v>
      </c>
      <c r="BM598" s="21">
        <v>0</v>
      </c>
      <c r="BN598" s="21">
        <v>0</v>
      </c>
      <c r="BO598" s="21">
        <v>0</v>
      </c>
      <c r="BP598" s="21">
        <v>0</v>
      </c>
      <c r="BQ598" s="21">
        <v>0</v>
      </c>
      <c r="BR598" s="21">
        <v>0</v>
      </c>
      <c r="BS598" s="21">
        <v>0</v>
      </c>
    </row>
    <row r="599" spans="1:71">
      <c r="A599" s="20" t="s">
        <v>5126</v>
      </c>
      <c r="B599">
        <v>80</v>
      </c>
      <c r="C599">
        <v>508</v>
      </c>
      <c r="D599">
        <v>2017</v>
      </c>
      <c r="E599">
        <v>-1.3160000000000001</v>
      </c>
      <c r="F599">
        <v>2.3400000000000001E-2</v>
      </c>
      <c r="G599">
        <f>E599/F599</f>
        <v>-56.239316239316238</v>
      </c>
      <c r="H599" s="27">
        <v>0</v>
      </c>
      <c r="I599">
        <v>1</v>
      </c>
      <c r="J599">
        <v>142415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1</v>
      </c>
      <c r="S599">
        <v>0</v>
      </c>
      <c r="T599">
        <v>1</v>
      </c>
      <c r="U599">
        <v>2000</v>
      </c>
      <c r="V599">
        <v>2013</v>
      </c>
      <c r="W599">
        <f t="shared" si="35"/>
        <v>2007</v>
      </c>
      <c r="X599">
        <v>1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 s="21">
        <v>1</v>
      </c>
      <c r="AO599" s="21">
        <v>1</v>
      </c>
      <c r="AP599" s="21">
        <v>1</v>
      </c>
      <c r="AQ599">
        <v>0</v>
      </c>
      <c r="AR599">
        <v>0</v>
      </c>
      <c r="AS599">
        <v>0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 s="21">
        <v>1</v>
      </c>
      <c r="BA599" s="21">
        <v>1</v>
      </c>
      <c r="BB599" s="21">
        <v>1</v>
      </c>
      <c r="BC599">
        <v>1</v>
      </c>
      <c r="BD599">
        <v>1</v>
      </c>
      <c r="BE599">
        <v>1</v>
      </c>
      <c r="BF599">
        <v>0</v>
      </c>
      <c r="BG599">
        <v>0</v>
      </c>
      <c r="BH599">
        <v>1</v>
      </c>
      <c r="BI599">
        <v>0</v>
      </c>
      <c r="BJ599">
        <v>1</v>
      </c>
      <c r="BK599">
        <v>1</v>
      </c>
      <c r="BL599">
        <v>0</v>
      </c>
      <c r="BM599">
        <v>1</v>
      </c>
      <c r="BN599">
        <v>0</v>
      </c>
      <c r="BO599">
        <v>0</v>
      </c>
      <c r="BP599">
        <v>0</v>
      </c>
      <c r="BQ599">
        <v>1</v>
      </c>
      <c r="BR599" s="21">
        <v>0</v>
      </c>
      <c r="BS599" s="21">
        <v>1</v>
      </c>
    </row>
    <row r="600" spans="1:71">
      <c r="A600" s="20" t="s">
        <v>5126</v>
      </c>
      <c r="B600">
        <v>80</v>
      </c>
      <c r="C600">
        <v>509</v>
      </c>
      <c r="D600">
        <v>2017</v>
      </c>
      <c r="E600">
        <v>-1.29</v>
      </c>
      <c r="F600">
        <v>2.35E-2</v>
      </c>
      <c r="G600">
        <f>E600/F600</f>
        <v>-54.893617021276597</v>
      </c>
      <c r="H600" s="27">
        <v>0</v>
      </c>
      <c r="I600">
        <v>1</v>
      </c>
      <c r="J600">
        <v>142415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1</v>
      </c>
      <c r="S600">
        <v>0</v>
      </c>
      <c r="T600">
        <v>1</v>
      </c>
      <c r="U600">
        <v>2000</v>
      </c>
      <c r="V600">
        <v>2013</v>
      </c>
      <c r="W600">
        <f t="shared" si="35"/>
        <v>2007</v>
      </c>
      <c r="X600">
        <v>1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 s="21">
        <v>1</v>
      </c>
      <c r="AO600" s="21">
        <v>1</v>
      </c>
      <c r="AP600" s="21">
        <v>1</v>
      </c>
      <c r="AQ600">
        <v>0</v>
      </c>
      <c r="AR600">
        <v>0</v>
      </c>
      <c r="AS600">
        <v>0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 s="21">
        <v>1</v>
      </c>
      <c r="BA600" s="21">
        <v>1</v>
      </c>
      <c r="BB600" s="21">
        <v>1</v>
      </c>
      <c r="BC600">
        <v>1</v>
      </c>
      <c r="BD600">
        <v>1</v>
      </c>
      <c r="BE600">
        <v>1</v>
      </c>
      <c r="BF600">
        <v>0</v>
      </c>
      <c r="BG600">
        <v>0</v>
      </c>
      <c r="BH600">
        <v>1</v>
      </c>
      <c r="BI600">
        <v>0</v>
      </c>
      <c r="BJ600">
        <v>1</v>
      </c>
      <c r="BK600">
        <v>1</v>
      </c>
      <c r="BL600">
        <v>0</v>
      </c>
      <c r="BM600">
        <v>1</v>
      </c>
      <c r="BN600">
        <v>0</v>
      </c>
      <c r="BO600">
        <v>0</v>
      </c>
      <c r="BP600">
        <v>0</v>
      </c>
      <c r="BQ600">
        <v>1</v>
      </c>
      <c r="BR600" s="21">
        <v>0</v>
      </c>
      <c r="BS600" s="21">
        <v>1</v>
      </c>
    </row>
    <row r="601" spans="1:71">
      <c r="A601" s="20" t="s">
        <v>5126</v>
      </c>
      <c r="B601">
        <v>80</v>
      </c>
      <c r="C601">
        <v>510</v>
      </c>
      <c r="D601">
        <v>2017</v>
      </c>
      <c r="E601">
        <v>-1.2949999999999999</v>
      </c>
      <c r="F601">
        <v>2.35E-2</v>
      </c>
      <c r="G601">
        <f>E601/F601</f>
        <v>-55.106382978723403</v>
      </c>
      <c r="H601" s="27">
        <v>0</v>
      </c>
      <c r="I601">
        <v>1</v>
      </c>
      <c r="J601">
        <v>142415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1</v>
      </c>
      <c r="S601">
        <v>0</v>
      </c>
      <c r="T601">
        <v>1</v>
      </c>
      <c r="U601">
        <v>2000</v>
      </c>
      <c r="V601">
        <v>2013</v>
      </c>
      <c r="W601">
        <f t="shared" si="35"/>
        <v>2007</v>
      </c>
      <c r="X601">
        <v>1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 s="21">
        <v>1</v>
      </c>
      <c r="AO601" s="21">
        <v>1</v>
      </c>
      <c r="AP601" s="21">
        <v>1</v>
      </c>
      <c r="AQ601">
        <v>0</v>
      </c>
      <c r="AR601">
        <v>0</v>
      </c>
      <c r="AS601">
        <v>0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 s="21">
        <v>1</v>
      </c>
      <c r="BA601" s="21">
        <v>1</v>
      </c>
      <c r="BB601" s="21">
        <v>1</v>
      </c>
      <c r="BC601">
        <v>1</v>
      </c>
      <c r="BD601">
        <v>1</v>
      </c>
      <c r="BE601">
        <v>1</v>
      </c>
      <c r="BF601">
        <v>0</v>
      </c>
      <c r="BG601">
        <v>0</v>
      </c>
      <c r="BH601">
        <v>1</v>
      </c>
      <c r="BI601">
        <v>0</v>
      </c>
      <c r="BJ601">
        <v>1</v>
      </c>
      <c r="BK601">
        <v>1</v>
      </c>
      <c r="BL601">
        <v>0</v>
      </c>
      <c r="BM601">
        <v>1</v>
      </c>
      <c r="BN601">
        <v>0</v>
      </c>
      <c r="BO601">
        <v>0</v>
      </c>
      <c r="BP601">
        <v>0</v>
      </c>
      <c r="BQ601">
        <v>1</v>
      </c>
      <c r="BR601" s="21">
        <v>0</v>
      </c>
      <c r="BS601" s="21">
        <v>1</v>
      </c>
    </row>
    <row r="602" spans="1:71">
      <c r="A602" s="20" t="s">
        <v>5126</v>
      </c>
      <c r="B602">
        <v>80</v>
      </c>
      <c r="C602">
        <v>511</v>
      </c>
      <c r="D602">
        <v>2017</v>
      </c>
      <c r="E602">
        <v>-1.3</v>
      </c>
      <c r="F602">
        <v>2.3300000000000001E-2</v>
      </c>
      <c r="G602">
        <f>E602/F602</f>
        <v>-55.793991416309012</v>
      </c>
      <c r="H602" s="27">
        <v>0</v>
      </c>
      <c r="I602">
        <v>1</v>
      </c>
      <c r="J602">
        <v>142415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1</v>
      </c>
      <c r="S602">
        <v>0</v>
      </c>
      <c r="T602">
        <v>1</v>
      </c>
      <c r="U602">
        <v>2000</v>
      </c>
      <c r="V602">
        <v>2013</v>
      </c>
      <c r="W602">
        <f t="shared" si="35"/>
        <v>2007</v>
      </c>
      <c r="X602">
        <v>1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 s="21">
        <v>1</v>
      </c>
      <c r="AO602" s="21">
        <v>1</v>
      </c>
      <c r="AP602" s="21">
        <v>1</v>
      </c>
      <c r="AQ602">
        <v>0</v>
      </c>
      <c r="AR602">
        <v>0</v>
      </c>
      <c r="AS602">
        <v>0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 s="21">
        <v>1</v>
      </c>
      <c r="BA602" s="21">
        <v>1</v>
      </c>
      <c r="BB602" s="21">
        <v>1</v>
      </c>
      <c r="BC602">
        <v>1</v>
      </c>
      <c r="BD602">
        <v>1</v>
      </c>
      <c r="BE602">
        <v>1</v>
      </c>
      <c r="BF602">
        <v>0</v>
      </c>
      <c r="BG602">
        <v>0</v>
      </c>
      <c r="BH602">
        <v>1</v>
      </c>
      <c r="BI602">
        <v>0</v>
      </c>
      <c r="BJ602">
        <v>1</v>
      </c>
      <c r="BK602">
        <v>1</v>
      </c>
      <c r="BL602">
        <v>0</v>
      </c>
      <c r="BM602">
        <v>1</v>
      </c>
      <c r="BN602">
        <v>0</v>
      </c>
      <c r="BO602">
        <v>0</v>
      </c>
      <c r="BP602">
        <v>0</v>
      </c>
      <c r="BQ602">
        <v>1</v>
      </c>
      <c r="BR602" s="21">
        <v>0</v>
      </c>
      <c r="BS602" s="21">
        <v>1</v>
      </c>
    </row>
    <row r="603" spans="1:71">
      <c r="A603" s="20" t="s">
        <v>5126</v>
      </c>
      <c r="B603">
        <v>80</v>
      </c>
      <c r="C603">
        <v>512</v>
      </c>
      <c r="D603">
        <v>2017</v>
      </c>
      <c r="E603">
        <v>-1.282</v>
      </c>
      <c r="F603">
        <v>2.35E-2</v>
      </c>
      <c r="G603">
        <f>E603/F603</f>
        <v>-54.553191489361701</v>
      </c>
      <c r="H603" s="27">
        <v>0</v>
      </c>
      <c r="I603">
        <v>1</v>
      </c>
      <c r="J603">
        <v>142415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1</v>
      </c>
      <c r="S603">
        <v>0</v>
      </c>
      <c r="T603">
        <v>1</v>
      </c>
      <c r="U603">
        <v>2000</v>
      </c>
      <c r="V603">
        <v>2013</v>
      </c>
      <c r="W603">
        <f t="shared" si="35"/>
        <v>2007</v>
      </c>
      <c r="X603">
        <v>1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 s="21">
        <v>1</v>
      </c>
      <c r="AO603" s="21">
        <v>1</v>
      </c>
      <c r="AP603" s="21">
        <v>1</v>
      </c>
      <c r="AQ603">
        <v>0</v>
      </c>
      <c r="AR603">
        <v>0</v>
      </c>
      <c r="AS603">
        <v>0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 s="21">
        <v>1</v>
      </c>
      <c r="BA603" s="21">
        <v>1</v>
      </c>
      <c r="BB603" s="21">
        <v>1</v>
      </c>
      <c r="BC603">
        <v>1</v>
      </c>
      <c r="BD603">
        <v>1</v>
      </c>
      <c r="BE603">
        <v>1</v>
      </c>
      <c r="BF603">
        <v>0</v>
      </c>
      <c r="BG603">
        <v>0</v>
      </c>
      <c r="BH603">
        <v>1</v>
      </c>
      <c r="BI603">
        <v>0</v>
      </c>
      <c r="BJ603">
        <v>1</v>
      </c>
      <c r="BK603">
        <v>1</v>
      </c>
      <c r="BL603">
        <v>0</v>
      </c>
      <c r="BM603">
        <v>1</v>
      </c>
      <c r="BN603">
        <v>0</v>
      </c>
      <c r="BO603">
        <v>0</v>
      </c>
      <c r="BP603">
        <v>0</v>
      </c>
      <c r="BQ603">
        <v>1</v>
      </c>
      <c r="BR603" s="21">
        <v>0</v>
      </c>
      <c r="BS603" s="21">
        <v>1</v>
      </c>
    </row>
    <row r="604" spans="1:71">
      <c r="A604" s="20" t="s">
        <v>5029</v>
      </c>
      <c r="B604">
        <v>85</v>
      </c>
      <c r="C604">
        <v>532</v>
      </c>
      <c r="D604">
        <v>2017</v>
      </c>
      <c r="E604">
        <v>-0.28999999999999998</v>
      </c>
      <c r="F604">
        <f>E604/G604</f>
        <v>0.10320284697508895</v>
      </c>
      <c r="G604">
        <v>-2.81</v>
      </c>
      <c r="H604" s="27">
        <v>1</v>
      </c>
      <c r="I604">
        <v>1</v>
      </c>
      <c r="J604">
        <v>415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2009</v>
      </c>
      <c r="V604">
        <v>2013</v>
      </c>
      <c r="W604">
        <f t="shared" si="35"/>
        <v>2011</v>
      </c>
      <c r="X604">
        <v>0</v>
      </c>
      <c r="Y604">
        <v>1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1</v>
      </c>
      <c r="AF604">
        <v>0</v>
      </c>
      <c r="AG604">
        <v>1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 s="21">
        <v>0</v>
      </c>
      <c r="AO604" s="21">
        <v>1</v>
      </c>
      <c r="AP604" s="21">
        <v>1</v>
      </c>
      <c r="AQ604">
        <v>1</v>
      </c>
      <c r="AR604">
        <v>0</v>
      </c>
      <c r="AS604">
        <v>1</v>
      </c>
      <c r="AT604">
        <v>1</v>
      </c>
      <c r="AU604">
        <v>0</v>
      </c>
      <c r="AV604">
        <v>0</v>
      </c>
      <c r="AW604">
        <v>0</v>
      </c>
      <c r="AX604">
        <v>0</v>
      </c>
      <c r="AY604">
        <v>0</v>
      </c>
      <c r="AZ604" s="21">
        <v>0</v>
      </c>
      <c r="BA604" s="21">
        <v>1</v>
      </c>
      <c r="BB604" s="21">
        <v>1</v>
      </c>
      <c r="BC604">
        <v>1</v>
      </c>
      <c r="BD604">
        <v>1</v>
      </c>
      <c r="BE604">
        <v>1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 s="21">
        <v>1</v>
      </c>
      <c r="BS604" s="21">
        <v>0</v>
      </c>
    </row>
    <row r="605" spans="1:71">
      <c r="A605" s="20" t="s">
        <v>5029</v>
      </c>
      <c r="B605">
        <v>85</v>
      </c>
      <c r="C605">
        <v>533</v>
      </c>
      <c r="D605">
        <v>2017</v>
      </c>
      <c r="E605">
        <v>-0.248</v>
      </c>
      <c r="F605">
        <f>E605/G605</f>
        <v>8.8256227758007122E-2</v>
      </c>
      <c r="G605">
        <v>-2.81</v>
      </c>
      <c r="H605" s="27">
        <v>1</v>
      </c>
      <c r="I605">
        <v>1</v>
      </c>
      <c r="J605">
        <v>119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2009</v>
      </c>
      <c r="V605">
        <v>2013</v>
      </c>
      <c r="W605">
        <f t="shared" si="35"/>
        <v>2011</v>
      </c>
      <c r="X605">
        <v>0</v>
      </c>
      <c r="Y605">
        <v>1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1</v>
      </c>
      <c r="AF605">
        <v>0</v>
      </c>
      <c r="AG605">
        <v>1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 s="21">
        <v>0</v>
      </c>
      <c r="AO605" s="21">
        <v>1</v>
      </c>
      <c r="AP605" s="21">
        <v>1</v>
      </c>
      <c r="AQ605">
        <v>1</v>
      </c>
      <c r="AR605">
        <v>0</v>
      </c>
      <c r="AS605">
        <v>1</v>
      </c>
      <c r="AT605">
        <v>1</v>
      </c>
      <c r="AU605">
        <v>0</v>
      </c>
      <c r="AV605">
        <v>0</v>
      </c>
      <c r="AW605">
        <v>0</v>
      </c>
      <c r="AX605">
        <v>0</v>
      </c>
      <c r="AY605">
        <v>0</v>
      </c>
      <c r="AZ605" s="21">
        <v>0</v>
      </c>
      <c r="BA605" s="21">
        <v>1</v>
      </c>
      <c r="BB605" s="21">
        <v>1</v>
      </c>
      <c r="BC605">
        <v>1</v>
      </c>
      <c r="BD605">
        <v>1</v>
      </c>
      <c r="BE605">
        <v>1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 s="21">
        <v>1</v>
      </c>
      <c r="BS605" s="21">
        <v>0</v>
      </c>
    </row>
    <row r="606" spans="1:71">
      <c r="A606" s="20" t="s">
        <v>5029</v>
      </c>
      <c r="B606">
        <v>85</v>
      </c>
      <c r="C606">
        <v>534</v>
      </c>
      <c r="D606">
        <v>2017</v>
      </c>
      <c r="E606">
        <v>-0.41699999999999998</v>
      </c>
      <c r="F606">
        <f>E606/G606</f>
        <v>0.1483985765124555</v>
      </c>
      <c r="G606">
        <v>-2.81</v>
      </c>
      <c r="H606" s="27">
        <v>1</v>
      </c>
      <c r="I606">
        <v>1</v>
      </c>
      <c r="J606">
        <v>296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2009</v>
      </c>
      <c r="V606">
        <v>2013</v>
      </c>
      <c r="W606">
        <f t="shared" si="35"/>
        <v>2011</v>
      </c>
      <c r="X606">
        <v>0</v>
      </c>
      <c r="Y606">
        <v>1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1</v>
      </c>
      <c r="AF606">
        <v>0</v>
      </c>
      <c r="AG606">
        <v>1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 s="21">
        <v>0</v>
      </c>
      <c r="AO606" s="21">
        <v>1</v>
      </c>
      <c r="AP606" s="21">
        <v>1</v>
      </c>
      <c r="AQ606">
        <v>1</v>
      </c>
      <c r="AR606">
        <v>0</v>
      </c>
      <c r="AS606">
        <v>1</v>
      </c>
      <c r="AT606">
        <v>1</v>
      </c>
      <c r="AU606">
        <v>0</v>
      </c>
      <c r="AV606">
        <v>0</v>
      </c>
      <c r="AW606">
        <v>0</v>
      </c>
      <c r="AX606">
        <v>0</v>
      </c>
      <c r="AY606">
        <v>0</v>
      </c>
      <c r="AZ606" s="21">
        <v>0</v>
      </c>
      <c r="BA606" s="21">
        <v>1</v>
      </c>
      <c r="BB606" s="21">
        <v>1</v>
      </c>
      <c r="BC606">
        <v>1</v>
      </c>
      <c r="BD606">
        <v>1</v>
      </c>
      <c r="BE606">
        <v>1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 s="21">
        <v>1</v>
      </c>
      <c r="BS606" s="21">
        <v>0</v>
      </c>
    </row>
    <row r="607" spans="1:71">
      <c r="A607" s="20" t="s">
        <v>4919</v>
      </c>
      <c r="B607">
        <v>118</v>
      </c>
      <c r="C607">
        <v>749</v>
      </c>
      <c r="D607">
        <v>2017</v>
      </c>
      <c r="E607">
        <v>-0.96540000000000004</v>
      </c>
      <c r="F607">
        <v>0.32079999999999997</v>
      </c>
      <c r="G607">
        <f t="shared" ref="G607:G614" si="37">E607/F607</f>
        <v>-3.0093516209476312</v>
      </c>
      <c r="H607" s="27">
        <v>0</v>
      </c>
      <c r="I607">
        <v>1</v>
      </c>
      <c r="J607">
        <v>231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2005</v>
      </c>
      <c r="V607">
        <v>2012</v>
      </c>
      <c r="W607">
        <f t="shared" si="35"/>
        <v>2009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 s="21">
        <v>0</v>
      </c>
      <c r="AO607" s="21">
        <v>1</v>
      </c>
      <c r="AP607" s="21">
        <v>0</v>
      </c>
      <c r="AQ607">
        <v>0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0</v>
      </c>
      <c r="AY607">
        <v>1</v>
      </c>
      <c r="AZ607" s="21">
        <v>1</v>
      </c>
      <c r="BA607" s="21">
        <v>1</v>
      </c>
      <c r="BB607" s="21">
        <v>1</v>
      </c>
      <c r="BC607">
        <v>0</v>
      </c>
      <c r="BD607">
        <v>0</v>
      </c>
      <c r="BE607">
        <v>1</v>
      </c>
      <c r="BF607">
        <v>0</v>
      </c>
      <c r="BG607">
        <v>1</v>
      </c>
      <c r="BH607">
        <v>0</v>
      </c>
      <c r="BI607">
        <v>0</v>
      </c>
      <c r="BJ607">
        <v>0</v>
      </c>
      <c r="BK607">
        <v>0</v>
      </c>
      <c r="BL607">
        <v>1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1</v>
      </c>
    </row>
    <row r="608" spans="1:71">
      <c r="A608" s="20" t="s">
        <v>4919</v>
      </c>
      <c r="B608">
        <v>118</v>
      </c>
      <c r="C608">
        <v>750</v>
      </c>
      <c r="D608">
        <v>2017</v>
      </c>
      <c r="E608">
        <v>-0.71989999999999998</v>
      </c>
      <c r="F608">
        <v>0.36270000000000002</v>
      </c>
      <c r="G608">
        <f t="shared" si="37"/>
        <v>-1.9848359525778878</v>
      </c>
      <c r="H608" s="27">
        <v>0</v>
      </c>
      <c r="I608">
        <v>1</v>
      </c>
      <c r="J608">
        <v>231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2005</v>
      </c>
      <c r="V608">
        <v>2012</v>
      </c>
      <c r="W608">
        <f t="shared" si="35"/>
        <v>2009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 s="21">
        <v>0</v>
      </c>
      <c r="AO608" s="21">
        <v>1</v>
      </c>
      <c r="AP608" s="21">
        <v>0</v>
      </c>
      <c r="AQ608">
        <v>0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0</v>
      </c>
      <c r="AY608">
        <v>1</v>
      </c>
      <c r="AZ608" s="21">
        <v>1</v>
      </c>
      <c r="BA608" s="21">
        <v>1</v>
      </c>
      <c r="BB608" s="21">
        <v>1</v>
      </c>
      <c r="BC608">
        <v>0</v>
      </c>
      <c r="BD608">
        <v>0</v>
      </c>
      <c r="BE608">
        <v>1</v>
      </c>
      <c r="BF608">
        <v>0</v>
      </c>
      <c r="BG608">
        <v>1</v>
      </c>
      <c r="BH608">
        <v>0</v>
      </c>
      <c r="BI608">
        <v>0</v>
      </c>
      <c r="BJ608">
        <v>0</v>
      </c>
      <c r="BK608">
        <v>0</v>
      </c>
      <c r="BL608">
        <v>1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1</v>
      </c>
    </row>
    <row r="609" spans="1:71">
      <c r="A609" s="20" t="s">
        <v>4919</v>
      </c>
      <c r="B609">
        <v>118</v>
      </c>
      <c r="C609">
        <v>751</v>
      </c>
      <c r="D609">
        <v>2017</v>
      </c>
      <c r="E609">
        <v>-0.93059999999999998</v>
      </c>
      <c r="F609">
        <v>0.3301</v>
      </c>
      <c r="G609">
        <f t="shared" si="37"/>
        <v>-2.8191457134201756</v>
      </c>
      <c r="H609" s="27">
        <v>0</v>
      </c>
      <c r="I609">
        <v>1</v>
      </c>
      <c r="J609">
        <v>231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2005</v>
      </c>
      <c r="V609">
        <v>2012</v>
      </c>
      <c r="W609">
        <f t="shared" si="35"/>
        <v>2009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 s="21">
        <v>0</v>
      </c>
      <c r="AO609" s="21">
        <v>1</v>
      </c>
      <c r="AP609" s="21">
        <v>0</v>
      </c>
      <c r="AQ609">
        <v>0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0</v>
      </c>
      <c r="AY609">
        <v>1</v>
      </c>
      <c r="AZ609" s="21">
        <v>1</v>
      </c>
      <c r="BA609" s="21">
        <v>1</v>
      </c>
      <c r="BB609" s="21">
        <v>1</v>
      </c>
      <c r="BC609">
        <v>0</v>
      </c>
      <c r="BD609">
        <v>0</v>
      </c>
      <c r="BE609">
        <v>1</v>
      </c>
      <c r="BF609">
        <v>0</v>
      </c>
      <c r="BG609">
        <v>1</v>
      </c>
      <c r="BH609">
        <v>0</v>
      </c>
      <c r="BI609">
        <v>0</v>
      </c>
      <c r="BJ609">
        <v>0</v>
      </c>
      <c r="BK609">
        <v>0</v>
      </c>
      <c r="BL609">
        <v>1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1</v>
      </c>
    </row>
    <row r="610" spans="1:71">
      <c r="A610" s="20" t="s">
        <v>4919</v>
      </c>
      <c r="B610">
        <v>118</v>
      </c>
      <c r="C610">
        <v>752</v>
      </c>
      <c r="D610">
        <v>2017</v>
      </c>
      <c r="E610">
        <v>-0.66679999999999995</v>
      </c>
      <c r="F610">
        <v>0.36720000000000003</v>
      </c>
      <c r="G610">
        <f t="shared" si="37"/>
        <v>-1.8159041394335509</v>
      </c>
      <c r="H610" s="27">
        <v>0</v>
      </c>
      <c r="I610">
        <v>1</v>
      </c>
      <c r="J610">
        <v>231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2005</v>
      </c>
      <c r="V610">
        <v>2012</v>
      </c>
      <c r="W610">
        <f t="shared" si="35"/>
        <v>2009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 s="21">
        <v>0</v>
      </c>
      <c r="AO610" s="21">
        <v>1</v>
      </c>
      <c r="AP610" s="21">
        <v>0</v>
      </c>
      <c r="AQ610">
        <v>0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0</v>
      </c>
      <c r="AY610">
        <v>1</v>
      </c>
      <c r="AZ610" s="21">
        <v>1</v>
      </c>
      <c r="BA610" s="21">
        <v>1</v>
      </c>
      <c r="BB610" s="21">
        <v>1</v>
      </c>
      <c r="BC610">
        <v>0</v>
      </c>
      <c r="BD610">
        <v>0</v>
      </c>
      <c r="BE610">
        <v>1</v>
      </c>
      <c r="BF610">
        <v>0</v>
      </c>
      <c r="BG610">
        <v>1</v>
      </c>
      <c r="BH610">
        <v>0</v>
      </c>
      <c r="BI610">
        <v>0</v>
      </c>
      <c r="BJ610">
        <v>0</v>
      </c>
      <c r="BK610">
        <v>0</v>
      </c>
      <c r="BL610">
        <v>1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1</v>
      </c>
    </row>
    <row r="611" spans="1:71">
      <c r="A611" s="20" t="s">
        <v>4919</v>
      </c>
      <c r="B611">
        <v>118</v>
      </c>
      <c r="C611">
        <v>753</v>
      </c>
      <c r="D611">
        <v>2017</v>
      </c>
      <c r="E611">
        <v>-0.8085</v>
      </c>
      <c r="F611">
        <v>0.19889999999999999</v>
      </c>
      <c r="G611">
        <f t="shared" si="37"/>
        <v>-4.0648567119155352</v>
      </c>
      <c r="H611" s="27">
        <v>0</v>
      </c>
      <c r="I611">
        <v>1</v>
      </c>
      <c r="J611">
        <v>231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2005</v>
      </c>
      <c r="V611">
        <v>2012</v>
      </c>
      <c r="W611">
        <f t="shared" si="35"/>
        <v>2009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 s="21">
        <v>0</v>
      </c>
      <c r="AO611" s="21">
        <v>1</v>
      </c>
      <c r="AP611" s="21">
        <v>0</v>
      </c>
      <c r="AQ611">
        <v>0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0</v>
      </c>
      <c r="AY611">
        <v>1</v>
      </c>
      <c r="AZ611" s="21">
        <v>1</v>
      </c>
      <c r="BA611" s="21">
        <v>1</v>
      </c>
      <c r="BB611" s="21">
        <v>1</v>
      </c>
      <c r="BC611">
        <v>0</v>
      </c>
      <c r="BD611">
        <v>0</v>
      </c>
      <c r="BE611">
        <v>1</v>
      </c>
      <c r="BF611">
        <v>0</v>
      </c>
      <c r="BG611">
        <v>1</v>
      </c>
      <c r="BH611">
        <v>0</v>
      </c>
      <c r="BI611">
        <v>0</v>
      </c>
      <c r="BJ611">
        <v>0</v>
      </c>
      <c r="BK611">
        <v>0</v>
      </c>
      <c r="BL611">
        <v>1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1</v>
      </c>
    </row>
    <row r="612" spans="1:71">
      <c r="A612" s="20" t="s">
        <v>4919</v>
      </c>
      <c r="B612">
        <v>118</v>
      </c>
      <c r="C612">
        <v>754</v>
      </c>
      <c r="D612">
        <v>2017</v>
      </c>
      <c r="E612">
        <v>-0.40689999999999998</v>
      </c>
      <c r="F612">
        <v>0.23480000000000001</v>
      </c>
      <c r="G612">
        <f t="shared" si="37"/>
        <v>-1.7329642248722315</v>
      </c>
      <c r="H612" s="27">
        <v>0</v>
      </c>
      <c r="I612">
        <v>1</v>
      </c>
      <c r="J612">
        <v>231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2005</v>
      </c>
      <c r="V612">
        <v>2012</v>
      </c>
      <c r="W612">
        <f t="shared" si="35"/>
        <v>2009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 s="21">
        <v>0</v>
      </c>
      <c r="AO612" s="21">
        <v>1</v>
      </c>
      <c r="AP612" s="21">
        <v>0</v>
      </c>
      <c r="AQ612">
        <v>0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0</v>
      </c>
      <c r="AY612">
        <v>1</v>
      </c>
      <c r="AZ612" s="21">
        <v>1</v>
      </c>
      <c r="BA612" s="21">
        <v>1</v>
      </c>
      <c r="BB612" s="21">
        <v>1</v>
      </c>
      <c r="BC612">
        <v>0</v>
      </c>
      <c r="BD612">
        <v>0</v>
      </c>
      <c r="BE612">
        <v>1</v>
      </c>
      <c r="BF612">
        <v>0</v>
      </c>
      <c r="BG612">
        <v>1</v>
      </c>
      <c r="BH612">
        <v>0</v>
      </c>
      <c r="BI612">
        <v>0</v>
      </c>
      <c r="BJ612">
        <v>0</v>
      </c>
      <c r="BK612">
        <v>0</v>
      </c>
      <c r="BL612">
        <v>1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1</v>
      </c>
    </row>
    <row r="613" spans="1:71">
      <c r="A613" s="18" t="s">
        <v>4919</v>
      </c>
      <c r="B613">
        <v>118</v>
      </c>
      <c r="C613">
        <v>755</v>
      </c>
      <c r="D613">
        <v>2017</v>
      </c>
      <c r="E613">
        <v>-0.82410000000000005</v>
      </c>
      <c r="F613">
        <v>0.18729999999999999</v>
      </c>
      <c r="G613">
        <f t="shared" si="37"/>
        <v>-4.3998932194340634</v>
      </c>
      <c r="H613" s="27">
        <v>0</v>
      </c>
      <c r="I613">
        <v>1</v>
      </c>
      <c r="J613">
        <v>231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2005</v>
      </c>
      <c r="V613">
        <v>2012</v>
      </c>
      <c r="W613">
        <f t="shared" si="35"/>
        <v>2009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</v>
      </c>
      <c r="AN613" s="21">
        <v>0</v>
      </c>
      <c r="AO613" s="21">
        <v>1</v>
      </c>
      <c r="AP613" s="21">
        <v>0</v>
      </c>
      <c r="AQ613">
        <v>0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0</v>
      </c>
      <c r="AY613">
        <v>1</v>
      </c>
      <c r="AZ613" s="21">
        <v>1</v>
      </c>
      <c r="BA613" s="21">
        <v>1</v>
      </c>
      <c r="BB613" s="21">
        <v>1</v>
      </c>
      <c r="BC613">
        <v>0</v>
      </c>
      <c r="BD613">
        <v>0</v>
      </c>
      <c r="BE613">
        <v>1</v>
      </c>
      <c r="BF613">
        <v>0</v>
      </c>
      <c r="BG613">
        <v>1</v>
      </c>
      <c r="BH613">
        <v>0</v>
      </c>
      <c r="BI613">
        <v>0</v>
      </c>
      <c r="BJ613">
        <v>0</v>
      </c>
      <c r="BK613">
        <v>0</v>
      </c>
      <c r="BL613">
        <v>1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1</v>
      </c>
    </row>
    <row r="614" spans="1:71">
      <c r="A614" s="18" t="s">
        <v>4919</v>
      </c>
      <c r="B614">
        <v>118</v>
      </c>
      <c r="C614">
        <v>756</v>
      </c>
      <c r="D614">
        <v>2017</v>
      </c>
      <c r="E614">
        <v>-0.42320000000000002</v>
      </c>
      <c r="F614">
        <v>0.21920000000000001</v>
      </c>
      <c r="G614">
        <f t="shared" si="37"/>
        <v>-1.9306569343065694</v>
      </c>
      <c r="H614" s="27">
        <v>0</v>
      </c>
      <c r="I614">
        <v>1</v>
      </c>
      <c r="J614">
        <v>231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2005</v>
      </c>
      <c r="V614">
        <v>2012</v>
      </c>
      <c r="W614">
        <f t="shared" si="35"/>
        <v>2009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 s="21">
        <v>0</v>
      </c>
      <c r="AO614" s="21">
        <v>1</v>
      </c>
      <c r="AP614" s="21">
        <v>0</v>
      </c>
      <c r="AQ614">
        <v>0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0</v>
      </c>
      <c r="AY614">
        <v>1</v>
      </c>
      <c r="AZ614" s="21">
        <v>1</v>
      </c>
      <c r="BA614" s="21">
        <v>1</v>
      </c>
      <c r="BB614" s="21">
        <v>1</v>
      </c>
      <c r="BC614">
        <v>0</v>
      </c>
      <c r="BD614">
        <v>0</v>
      </c>
      <c r="BE614">
        <v>1</v>
      </c>
      <c r="BF614">
        <v>0</v>
      </c>
      <c r="BG614">
        <v>1</v>
      </c>
      <c r="BH614">
        <v>0</v>
      </c>
      <c r="BI614">
        <v>0</v>
      </c>
      <c r="BJ614">
        <v>0</v>
      </c>
      <c r="BK614">
        <v>0</v>
      </c>
      <c r="BL614">
        <v>1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1</v>
      </c>
    </row>
    <row r="615" spans="1:71">
      <c r="A615" s="18" t="s">
        <v>5152</v>
      </c>
      <c r="B615" s="29">
        <v>119</v>
      </c>
      <c r="C615">
        <v>757</v>
      </c>
      <c r="D615" s="29">
        <v>2017</v>
      </c>
      <c r="E615" s="29">
        <v>-1.1180000000000001</v>
      </c>
      <c r="F615" s="29">
        <f>E615/G615</f>
        <v>5.6265727226975343E-2</v>
      </c>
      <c r="G615">
        <v>-19.87</v>
      </c>
      <c r="H615" s="41">
        <v>0</v>
      </c>
      <c r="I615" s="42">
        <v>1</v>
      </c>
      <c r="J615">
        <v>2299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2008</v>
      </c>
      <c r="V615">
        <v>2012</v>
      </c>
      <c r="W615">
        <f t="shared" si="35"/>
        <v>2010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 s="21">
        <v>0</v>
      </c>
      <c r="AO615" s="21">
        <v>0</v>
      </c>
      <c r="AP615" s="21">
        <v>1</v>
      </c>
      <c r="AQ615">
        <v>0</v>
      </c>
      <c r="AR615">
        <v>1</v>
      </c>
      <c r="AS615">
        <v>0</v>
      </c>
      <c r="AT615">
        <v>1</v>
      </c>
      <c r="AU615">
        <v>0</v>
      </c>
      <c r="AV615">
        <v>0</v>
      </c>
      <c r="AW615">
        <v>0</v>
      </c>
      <c r="AX615">
        <v>0</v>
      </c>
      <c r="AY615">
        <v>0</v>
      </c>
      <c r="AZ615" s="21">
        <v>0</v>
      </c>
      <c r="BA615" s="21">
        <v>0</v>
      </c>
      <c r="BB615" s="21">
        <v>1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1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</row>
    <row r="616" spans="1:71">
      <c r="A616" s="18" t="s">
        <v>5152</v>
      </c>
      <c r="B616" s="29">
        <v>119</v>
      </c>
      <c r="C616">
        <v>758</v>
      </c>
      <c r="D616" s="29">
        <v>2017</v>
      </c>
      <c r="E616" s="29">
        <v>-1.115</v>
      </c>
      <c r="F616" s="29">
        <f>E616/G616</f>
        <v>5.5610972568578554E-2</v>
      </c>
      <c r="G616">
        <v>-20.05</v>
      </c>
      <c r="H616" s="41">
        <v>0</v>
      </c>
      <c r="I616" s="42">
        <v>1</v>
      </c>
      <c r="J616">
        <v>2095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2008</v>
      </c>
      <c r="V616">
        <v>2012</v>
      </c>
      <c r="W616">
        <f t="shared" si="35"/>
        <v>2010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 s="21">
        <v>0</v>
      </c>
      <c r="AO616" s="21">
        <v>0</v>
      </c>
      <c r="AP616" s="21">
        <v>1</v>
      </c>
      <c r="AQ616">
        <v>0</v>
      </c>
      <c r="AR616">
        <v>1</v>
      </c>
      <c r="AS616">
        <v>0</v>
      </c>
      <c r="AT616">
        <v>1</v>
      </c>
      <c r="AU616">
        <v>0</v>
      </c>
      <c r="AV616">
        <v>0</v>
      </c>
      <c r="AW616">
        <v>0</v>
      </c>
      <c r="AX616">
        <v>0</v>
      </c>
      <c r="AY616">
        <v>0</v>
      </c>
      <c r="AZ616" s="21">
        <v>0</v>
      </c>
      <c r="BA616" s="21">
        <v>0</v>
      </c>
      <c r="BB616" s="21">
        <v>1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1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</row>
    <row r="617" spans="1:71">
      <c r="A617" s="20" t="s">
        <v>5152</v>
      </c>
      <c r="B617">
        <v>119</v>
      </c>
      <c r="C617">
        <v>759</v>
      </c>
      <c r="D617">
        <v>2017</v>
      </c>
      <c r="E617">
        <v>-1.115</v>
      </c>
      <c r="F617">
        <f>E617/G617</f>
        <v>5.5225359088657749E-2</v>
      </c>
      <c r="G617">
        <v>-20.190000000000001</v>
      </c>
      <c r="H617" s="27">
        <v>0</v>
      </c>
      <c r="I617">
        <v>1</v>
      </c>
      <c r="J617">
        <v>2095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2008</v>
      </c>
      <c r="V617">
        <v>2012</v>
      </c>
      <c r="W617">
        <f t="shared" si="35"/>
        <v>2010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 s="21">
        <v>0</v>
      </c>
      <c r="AO617" s="21">
        <v>0</v>
      </c>
      <c r="AP617" s="21">
        <v>1</v>
      </c>
      <c r="AQ617">
        <v>0</v>
      </c>
      <c r="AR617">
        <v>1</v>
      </c>
      <c r="AS617">
        <v>0</v>
      </c>
      <c r="AT617">
        <v>1</v>
      </c>
      <c r="AU617">
        <v>0</v>
      </c>
      <c r="AV617">
        <v>0</v>
      </c>
      <c r="AW617">
        <v>0</v>
      </c>
      <c r="AX617">
        <v>0</v>
      </c>
      <c r="AY617">
        <v>0</v>
      </c>
      <c r="AZ617" s="21">
        <v>0</v>
      </c>
      <c r="BA617" s="21">
        <v>0</v>
      </c>
      <c r="BB617" s="21">
        <v>1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1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</row>
    <row r="618" spans="1:71">
      <c r="A618" s="20" t="s">
        <v>5152</v>
      </c>
      <c r="B618">
        <v>119</v>
      </c>
      <c r="C618">
        <v>760</v>
      </c>
      <c r="D618">
        <v>2017</v>
      </c>
      <c r="E618">
        <v>-1.1180000000000001</v>
      </c>
      <c r="F618">
        <f>E618/G618</f>
        <v>5.5019685039370082E-2</v>
      </c>
      <c r="G618">
        <v>-20.32</v>
      </c>
      <c r="H618" s="27">
        <v>0</v>
      </c>
      <c r="I618">
        <v>1</v>
      </c>
      <c r="J618">
        <v>2095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2008</v>
      </c>
      <c r="V618">
        <v>2012</v>
      </c>
      <c r="W618">
        <f t="shared" si="35"/>
        <v>2010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 s="21">
        <v>0</v>
      </c>
      <c r="AO618" s="21">
        <v>0</v>
      </c>
      <c r="AP618" s="21">
        <v>1</v>
      </c>
      <c r="AQ618">
        <v>0</v>
      </c>
      <c r="AR618">
        <v>1</v>
      </c>
      <c r="AS618">
        <v>0</v>
      </c>
      <c r="AT618">
        <v>1</v>
      </c>
      <c r="AU618">
        <v>0</v>
      </c>
      <c r="AV618">
        <v>0</v>
      </c>
      <c r="AW618">
        <v>0</v>
      </c>
      <c r="AX618">
        <v>0</v>
      </c>
      <c r="AY618">
        <v>0</v>
      </c>
      <c r="AZ618" s="21">
        <v>0</v>
      </c>
      <c r="BA618" s="21">
        <v>0</v>
      </c>
      <c r="BB618" s="21">
        <v>1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1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</row>
    <row r="619" spans="1:71">
      <c r="A619" s="20" t="s">
        <v>5399</v>
      </c>
      <c r="B619">
        <v>130</v>
      </c>
      <c r="C619">
        <v>799</v>
      </c>
      <c r="D619">
        <v>2017</v>
      </c>
      <c r="E619">
        <v>-0.91</v>
      </c>
      <c r="F619">
        <v>7.0000000000000007E-2</v>
      </c>
      <c r="G619">
        <f>E619/F619</f>
        <v>-13</v>
      </c>
      <c r="H619" s="27">
        <v>0</v>
      </c>
      <c r="I619">
        <v>1</v>
      </c>
      <c r="J619">
        <v>112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2009</v>
      </c>
      <c r="V619">
        <v>2012</v>
      </c>
      <c r="W619">
        <f t="shared" si="35"/>
        <v>2011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</v>
      </c>
      <c r="AN619" s="21">
        <v>1</v>
      </c>
      <c r="AO619" s="21">
        <v>0</v>
      </c>
      <c r="AP619" s="21">
        <v>0</v>
      </c>
      <c r="AQ619">
        <v>0</v>
      </c>
      <c r="AR619">
        <v>1</v>
      </c>
      <c r="AS619">
        <v>1</v>
      </c>
      <c r="AT619">
        <v>1</v>
      </c>
      <c r="AU619">
        <v>1</v>
      </c>
      <c r="AV619">
        <v>0</v>
      </c>
      <c r="AW619">
        <v>1</v>
      </c>
      <c r="AX619">
        <v>0</v>
      </c>
      <c r="AY619">
        <v>1</v>
      </c>
      <c r="AZ619">
        <v>1</v>
      </c>
      <c r="BA619">
        <v>1</v>
      </c>
      <c r="BB619">
        <v>1</v>
      </c>
      <c r="BC619">
        <v>0</v>
      </c>
      <c r="BD619">
        <v>0</v>
      </c>
      <c r="BE619">
        <v>0</v>
      </c>
      <c r="BF619">
        <v>1</v>
      </c>
      <c r="BG619">
        <v>1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</row>
    <row r="620" spans="1:71">
      <c r="A620" s="20" t="s">
        <v>5149</v>
      </c>
      <c r="B620">
        <v>9</v>
      </c>
      <c r="C620">
        <v>56</v>
      </c>
      <c r="D620">
        <v>2016</v>
      </c>
      <c r="E620" s="14">
        <v>-0.1</v>
      </c>
      <c r="F620" s="14">
        <f t="shared" ref="F620:F630" si="38">E620/G620</f>
        <v>7.5301204819277117E-3</v>
      </c>
      <c r="G620" s="14">
        <v>-13.28</v>
      </c>
      <c r="H620" s="27">
        <v>0</v>
      </c>
      <c r="I620">
        <v>1</v>
      </c>
      <c r="J620">
        <v>466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1998</v>
      </c>
      <c r="V620">
        <v>2010</v>
      </c>
      <c r="W620">
        <f t="shared" si="35"/>
        <v>2004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1</v>
      </c>
      <c r="AG620">
        <v>0</v>
      </c>
      <c r="AH620">
        <v>1</v>
      </c>
      <c r="AI620">
        <v>1</v>
      </c>
      <c r="AJ620">
        <v>0</v>
      </c>
      <c r="AK620">
        <v>1</v>
      </c>
      <c r="AL620">
        <v>0</v>
      </c>
      <c r="AM620">
        <v>1</v>
      </c>
      <c r="AN620">
        <v>0</v>
      </c>
      <c r="AO620">
        <v>0</v>
      </c>
      <c r="AP620">
        <v>1</v>
      </c>
      <c r="AQ620">
        <v>0</v>
      </c>
      <c r="AR620">
        <v>0</v>
      </c>
      <c r="AS620">
        <v>0</v>
      </c>
      <c r="AT620">
        <v>1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1</v>
      </c>
      <c r="BB620">
        <v>1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1</v>
      </c>
      <c r="BP620">
        <v>0</v>
      </c>
      <c r="BQ620">
        <v>0</v>
      </c>
      <c r="BR620">
        <v>0</v>
      </c>
      <c r="BS620">
        <v>0</v>
      </c>
    </row>
    <row r="621" spans="1:71">
      <c r="A621" s="20" t="s">
        <v>5149</v>
      </c>
      <c r="B621">
        <v>9</v>
      </c>
      <c r="C621">
        <v>57</v>
      </c>
      <c r="D621">
        <v>2016</v>
      </c>
      <c r="E621" s="14">
        <v>-0.11</v>
      </c>
      <c r="F621" s="14">
        <f t="shared" si="38"/>
        <v>6.516587677725119E-3</v>
      </c>
      <c r="G621" s="14">
        <v>-16.88</v>
      </c>
      <c r="H621" s="27">
        <v>0</v>
      </c>
      <c r="I621">
        <v>0</v>
      </c>
      <c r="J621">
        <v>466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1998</v>
      </c>
      <c r="V621">
        <v>2010</v>
      </c>
      <c r="W621">
        <f t="shared" si="35"/>
        <v>2004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1</v>
      </c>
      <c r="AG621">
        <v>0</v>
      </c>
      <c r="AH621">
        <v>1</v>
      </c>
      <c r="AI621">
        <v>1</v>
      </c>
      <c r="AJ621">
        <v>0</v>
      </c>
      <c r="AK621">
        <v>1</v>
      </c>
      <c r="AL621">
        <v>0</v>
      </c>
      <c r="AM621">
        <v>1</v>
      </c>
      <c r="AN621">
        <v>0</v>
      </c>
      <c r="AO621">
        <v>0</v>
      </c>
      <c r="AP621">
        <v>1</v>
      </c>
      <c r="AQ621">
        <v>0</v>
      </c>
      <c r="AR621">
        <v>0</v>
      </c>
      <c r="AS621">
        <v>0</v>
      </c>
      <c r="AT621">
        <v>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1</v>
      </c>
      <c r="BB621">
        <v>1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1</v>
      </c>
      <c r="BP621">
        <v>0</v>
      </c>
      <c r="BQ621">
        <v>0</v>
      </c>
      <c r="BR621">
        <v>0</v>
      </c>
      <c r="BS621">
        <v>0</v>
      </c>
    </row>
    <row r="622" spans="1:71">
      <c r="A622" s="20" t="s">
        <v>5149</v>
      </c>
      <c r="B622">
        <v>9</v>
      </c>
      <c r="C622">
        <v>58</v>
      </c>
      <c r="D622">
        <v>2016</v>
      </c>
      <c r="E622" s="14">
        <v>-0.13</v>
      </c>
      <c r="F622" s="14">
        <f t="shared" si="38"/>
        <v>1.1786038077969177E-2</v>
      </c>
      <c r="G622" s="14">
        <v>-11.03</v>
      </c>
      <c r="H622" s="27">
        <v>0</v>
      </c>
      <c r="I622">
        <v>1</v>
      </c>
      <c r="J622">
        <v>466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1998</v>
      </c>
      <c r="V622">
        <v>2010</v>
      </c>
      <c r="W622">
        <f t="shared" si="35"/>
        <v>2004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0</v>
      </c>
      <c r="AF622">
        <v>1</v>
      </c>
      <c r="AG622">
        <v>0</v>
      </c>
      <c r="AH622">
        <v>1</v>
      </c>
      <c r="AI622">
        <v>1</v>
      </c>
      <c r="AJ622">
        <v>0</v>
      </c>
      <c r="AK622">
        <v>1</v>
      </c>
      <c r="AL622">
        <v>0</v>
      </c>
      <c r="AM622">
        <v>1</v>
      </c>
      <c r="AN622">
        <v>0</v>
      </c>
      <c r="AO622">
        <v>0</v>
      </c>
      <c r="AP622">
        <v>1</v>
      </c>
      <c r="AQ622">
        <v>0</v>
      </c>
      <c r="AR622">
        <v>0</v>
      </c>
      <c r="AS622">
        <v>0</v>
      </c>
      <c r="AT622">
        <v>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</v>
      </c>
      <c r="BB622">
        <v>1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1</v>
      </c>
      <c r="BP622">
        <v>0</v>
      </c>
      <c r="BQ622">
        <v>0</v>
      </c>
      <c r="BR622">
        <v>0</v>
      </c>
      <c r="BS622">
        <v>0</v>
      </c>
    </row>
    <row r="623" spans="1:71">
      <c r="A623" s="20" t="s">
        <v>5149</v>
      </c>
      <c r="B623">
        <v>9</v>
      </c>
      <c r="C623">
        <v>59</v>
      </c>
      <c r="D623">
        <v>2016</v>
      </c>
      <c r="E623" s="14">
        <v>-0.12</v>
      </c>
      <c r="F623" s="14">
        <f t="shared" si="38"/>
        <v>1.0638297872340425E-2</v>
      </c>
      <c r="G623" s="14">
        <v>-11.28</v>
      </c>
      <c r="H623" s="27">
        <v>0</v>
      </c>
      <c r="I623">
        <v>0</v>
      </c>
      <c r="J623">
        <v>466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1998</v>
      </c>
      <c r="V623">
        <v>2010</v>
      </c>
      <c r="W623">
        <f t="shared" si="35"/>
        <v>2004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1</v>
      </c>
      <c r="AG623">
        <v>0</v>
      </c>
      <c r="AH623">
        <v>1</v>
      </c>
      <c r="AI623">
        <v>1</v>
      </c>
      <c r="AJ623">
        <v>0</v>
      </c>
      <c r="AK623">
        <v>1</v>
      </c>
      <c r="AL623">
        <v>0</v>
      </c>
      <c r="AM623">
        <v>1</v>
      </c>
      <c r="AN623">
        <v>0</v>
      </c>
      <c r="AO623">
        <v>0</v>
      </c>
      <c r="AP623">
        <v>1</v>
      </c>
      <c r="AQ623">
        <v>0</v>
      </c>
      <c r="AR623">
        <v>0</v>
      </c>
      <c r="AS623">
        <v>0</v>
      </c>
      <c r="AT623">
        <v>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1</v>
      </c>
      <c r="BB623">
        <v>1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1</v>
      </c>
      <c r="BP623">
        <v>0</v>
      </c>
      <c r="BQ623">
        <v>0</v>
      </c>
      <c r="BR623">
        <v>0</v>
      </c>
      <c r="BS623">
        <v>0</v>
      </c>
    </row>
    <row r="624" spans="1:71">
      <c r="A624" s="20" t="s">
        <v>5149</v>
      </c>
      <c r="B624">
        <v>9</v>
      </c>
      <c r="C624">
        <v>60</v>
      </c>
      <c r="D624">
        <v>2016</v>
      </c>
      <c r="E624" s="14">
        <v>-0.125</v>
      </c>
      <c r="F624" s="14">
        <f t="shared" si="38"/>
        <v>8.0697224015493872E-3</v>
      </c>
      <c r="G624" s="14">
        <v>-15.49</v>
      </c>
      <c r="H624" s="27">
        <v>0</v>
      </c>
      <c r="I624">
        <v>1</v>
      </c>
      <c r="J624">
        <v>466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1998</v>
      </c>
      <c r="V624">
        <v>2010</v>
      </c>
      <c r="W624">
        <f t="shared" si="35"/>
        <v>2004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0</v>
      </c>
      <c r="AE624">
        <v>0</v>
      </c>
      <c r="AF624">
        <v>1</v>
      </c>
      <c r="AG624">
        <v>0</v>
      </c>
      <c r="AH624">
        <v>1</v>
      </c>
      <c r="AI624">
        <v>1</v>
      </c>
      <c r="AJ624">
        <v>0</v>
      </c>
      <c r="AK624">
        <v>1</v>
      </c>
      <c r="AL624">
        <v>0</v>
      </c>
      <c r="AM624">
        <v>1</v>
      </c>
      <c r="AN624">
        <v>0</v>
      </c>
      <c r="AO624">
        <v>0</v>
      </c>
      <c r="AP624">
        <v>1</v>
      </c>
      <c r="AQ624">
        <v>0</v>
      </c>
      <c r="AR624">
        <v>0</v>
      </c>
      <c r="AS624">
        <v>0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</v>
      </c>
      <c r="BB624">
        <v>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1</v>
      </c>
      <c r="BP624">
        <v>0</v>
      </c>
      <c r="BQ624">
        <v>0</v>
      </c>
      <c r="BR624">
        <v>0</v>
      </c>
      <c r="BS624">
        <v>0</v>
      </c>
    </row>
    <row r="625" spans="1:71">
      <c r="A625" s="18" t="s">
        <v>5149</v>
      </c>
      <c r="B625">
        <v>9</v>
      </c>
      <c r="C625">
        <v>61</v>
      </c>
      <c r="D625">
        <v>2016</v>
      </c>
      <c r="E625" s="14">
        <v>-0.13300000000000001</v>
      </c>
      <c r="F625" s="14">
        <f t="shared" si="38"/>
        <v>8.5695876288659802E-3</v>
      </c>
      <c r="G625" s="14">
        <v>-15.52</v>
      </c>
      <c r="H625" s="27">
        <v>0</v>
      </c>
      <c r="I625">
        <v>1</v>
      </c>
      <c r="J625">
        <v>466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1998</v>
      </c>
      <c r="V625">
        <v>2010</v>
      </c>
      <c r="W625">
        <f t="shared" si="35"/>
        <v>2004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1</v>
      </c>
      <c r="AG625">
        <v>0</v>
      </c>
      <c r="AH625">
        <v>1</v>
      </c>
      <c r="AI625">
        <v>1</v>
      </c>
      <c r="AJ625">
        <v>0</v>
      </c>
      <c r="AK625">
        <v>1</v>
      </c>
      <c r="AL625">
        <v>0</v>
      </c>
      <c r="AM625">
        <v>1</v>
      </c>
      <c r="AN625">
        <v>0</v>
      </c>
      <c r="AO625">
        <v>0</v>
      </c>
      <c r="AP625">
        <v>1</v>
      </c>
      <c r="AQ625">
        <v>0</v>
      </c>
      <c r="AR625">
        <v>0</v>
      </c>
      <c r="AS625">
        <v>0</v>
      </c>
      <c r="AT625">
        <v>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</v>
      </c>
      <c r="BB625">
        <v>1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1</v>
      </c>
      <c r="BP625">
        <v>0</v>
      </c>
      <c r="BQ625">
        <v>0</v>
      </c>
      <c r="BR625">
        <v>0</v>
      </c>
      <c r="BS625">
        <v>0</v>
      </c>
    </row>
    <row r="626" spans="1:71">
      <c r="A626" s="18" t="s">
        <v>5149</v>
      </c>
      <c r="B626">
        <v>9</v>
      </c>
      <c r="C626">
        <v>62</v>
      </c>
      <c r="D626">
        <v>2016</v>
      </c>
      <c r="E626" s="14">
        <v>-9.2999999999999999E-2</v>
      </c>
      <c r="F626" s="14">
        <f t="shared" si="38"/>
        <v>1.3229018492176387E-2</v>
      </c>
      <c r="G626" s="14">
        <v>-7.03</v>
      </c>
      <c r="H626" s="27">
        <v>0</v>
      </c>
      <c r="I626">
        <v>1</v>
      </c>
      <c r="J626">
        <v>466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1998</v>
      </c>
      <c r="V626">
        <v>2010</v>
      </c>
      <c r="W626">
        <f t="shared" si="35"/>
        <v>2004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1</v>
      </c>
      <c r="AG626">
        <v>0</v>
      </c>
      <c r="AH626">
        <v>1</v>
      </c>
      <c r="AI626">
        <v>1</v>
      </c>
      <c r="AJ626">
        <v>0</v>
      </c>
      <c r="AK626">
        <v>1</v>
      </c>
      <c r="AL626">
        <v>0</v>
      </c>
      <c r="AM626">
        <v>1</v>
      </c>
      <c r="AN626">
        <v>0</v>
      </c>
      <c r="AO626">
        <v>0</v>
      </c>
      <c r="AP626">
        <v>1</v>
      </c>
      <c r="AQ626">
        <v>0</v>
      </c>
      <c r="AR626">
        <v>0</v>
      </c>
      <c r="AS626">
        <v>0</v>
      </c>
      <c r="AT626">
        <v>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</v>
      </c>
      <c r="BB626">
        <v>1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1</v>
      </c>
      <c r="BP626">
        <v>0</v>
      </c>
      <c r="BQ626">
        <v>0</v>
      </c>
      <c r="BR626">
        <v>0</v>
      </c>
      <c r="BS626">
        <v>0</v>
      </c>
    </row>
    <row r="627" spans="1:71">
      <c r="A627" s="18" t="s">
        <v>5149</v>
      </c>
      <c r="B627">
        <v>9</v>
      </c>
      <c r="C627">
        <v>63</v>
      </c>
      <c r="D627">
        <v>2016</v>
      </c>
      <c r="E627" s="14">
        <v>-0.14000000000000001</v>
      </c>
      <c r="F627" s="14">
        <f t="shared" si="38"/>
        <v>2.2727272727272728E-2</v>
      </c>
      <c r="G627" s="14">
        <v>-6.16</v>
      </c>
      <c r="H627" s="27">
        <v>0</v>
      </c>
      <c r="I627">
        <v>1</v>
      </c>
      <c r="J627">
        <v>466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1998</v>
      </c>
      <c r="V627">
        <v>2010</v>
      </c>
      <c r="W627">
        <f t="shared" si="35"/>
        <v>2004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1</v>
      </c>
      <c r="AG627">
        <v>0</v>
      </c>
      <c r="AH627">
        <v>1</v>
      </c>
      <c r="AI627">
        <v>1</v>
      </c>
      <c r="AJ627">
        <v>0</v>
      </c>
      <c r="AK627">
        <v>1</v>
      </c>
      <c r="AL627">
        <v>0</v>
      </c>
      <c r="AM627">
        <v>1</v>
      </c>
      <c r="AN627">
        <v>0</v>
      </c>
      <c r="AO627">
        <v>0</v>
      </c>
      <c r="AP627">
        <v>1</v>
      </c>
      <c r="AQ627">
        <v>0</v>
      </c>
      <c r="AR627">
        <v>0</v>
      </c>
      <c r="AS627">
        <v>0</v>
      </c>
      <c r="AT627">
        <v>1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</v>
      </c>
      <c r="BB627">
        <v>1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1</v>
      </c>
      <c r="BP627">
        <v>0</v>
      </c>
      <c r="BQ627">
        <v>0</v>
      </c>
      <c r="BR627">
        <v>0</v>
      </c>
      <c r="BS627">
        <v>0</v>
      </c>
    </row>
    <row r="628" spans="1:71">
      <c r="A628" s="20" t="s">
        <v>5149</v>
      </c>
      <c r="B628">
        <v>9</v>
      </c>
      <c r="C628">
        <v>64</v>
      </c>
      <c r="D628">
        <v>2016</v>
      </c>
      <c r="E628" s="14">
        <v>-0.182</v>
      </c>
      <c r="F628" s="14">
        <f t="shared" si="38"/>
        <v>1.8273092369477911E-2</v>
      </c>
      <c r="G628" s="14">
        <v>-9.9600000000000009</v>
      </c>
      <c r="H628" s="27">
        <v>0</v>
      </c>
      <c r="I628">
        <v>1</v>
      </c>
      <c r="J628">
        <v>466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1998</v>
      </c>
      <c r="V628">
        <v>2010</v>
      </c>
      <c r="W628">
        <f t="shared" si="35"/>
        <v>2004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0</v>
      </c>
      <c r="AE628">
        <v>0</v>
      </c>
      <c r="AF628">
        <v>1</v>
      </c>
      <c r="AG628">
        <v>0</v>
      </c>
      <c r="AH628">
        <v>1</v>
      </c>
      <c r="AI628">
        <v>1</v>
      </c>
      <c r="AJ628">
        <v>0</v>
      </c>
      <c r="AK628">
        <v>1</v>
      </c>
      <c r="AL628">
        <v>0</v>
      </c>
      <c r="AM628">
        <v>1</v>
      </c>
      <c r="AN628">
        <v>0</v>
      </c>
      <c r="AO628">
        <v>0</v>
      </c>
      <c r="AP628">
        <v>1</v>
      </c>
      <c r="AQ628">
        <v>0</v>
      </c>
      <c r="AR628">
        <v>0</v>
      </c>
      <c r="AS628">
        <v>0</v>
      </c>
      <c r="AT628">
        <v>1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</v>
      </c>
      <c r="BB628">
        <v>1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1</v>
      </c>
      <c r="BP628">
        <v>0</v>
      </c>
      <c r="BQ628">
        <v>0</v>
      </c>
      <c r="BR628">
        <v>0</v>
      </c>
      <c r="BS628">
        <v>0</v>
      </c>
    </row>
    <row r="629" spans="1:71">
      <c r="A629" s="20" t="s">
        <v>5149</v>
      </c>
      <c r="B629">
        <v>9</v>
      </c>
      <c r="C629">
        <v>65</v>
      </c>
      <c r="D629">
        <v>2016</v>
      </c>
      <c r="E629" s="14">
        <v>-0.1</v>
      </c>
      <c r="F629" s="14">
        <f t="shared" si="38"/>
        <v>1.2870012870012871E-2</v>
      </c>
      <c r="G629" s="14">
        <v>-7.77</v>
      </c>
      <c r="H629" s="27">
        <v>0</v>
      </c>
      <c r="I629">
        <v>1</v>
      </c>
      <c r="J629">
        <v>466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1998</v>
      </c>
      <c r="V629">
        <v>2010</v>
      </c>
      <c r="W629">
        <f t="shared" si="35"/>
        <v>2004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0</v>
      </c>
      <c r="AF629">
        <v>1</v>
      </c>
      <c r="AG629">
        <v>0</v>
      </c>
      <c r="AH629">
        <v>1</v>
      </c>
      <c r="AI629">
        <v>1</v>
      </c>
      <c r="AJ629">
        <v>0</v>
      </c>
      <c r="AK629">
        <v>1</v>
      </c>
      <c r="AL629">
        <v>0</v>
      </c>
      <c r="AM629">
        <v>1</v>
      </c>
      <c r="AN629">
        <v>0</v>
      </c>
      <c r="AO629">
        <v>0</v>
      </c>
      <c r="AP629">
        <v>1</v>
      </c>
      <c r="AQ629">
        <v>0</v>
      </c>
      <c r="AR629">
        <v>0</v>
      </c>
      <c r="AS629">
        <v>0</v>
      </c>
      <c r="AT629">
        <v>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1</v>
      </c>
      <c r="BB629">
        <v>1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1</v>
      </c>
      <c r="BP629">
        <v>0</v>
      </c>
      <c r="BQ629">
        <v>0</v>
      </c>
      <c r="BR629">
        <v>0</v>
      </c>
      <c r="BS629">
        <v>0</v>
      </c>
    </row>
    <row r="630" spans="1:71">
      <c r="A630" s="20" t="s">
        <v>5093</v>
      </c>
      <c r="B630">
        <v>38</v>
      </c>
      <c r="C630">
        <v>231</v>
      </c>
      <c r="D630" s="21">
        <v>2016</v>
      </c>
      <c r="E630" s="23">
        <v>-1.59</v>
      </c>
      <c r="F630" s="14">
        <f t="shared" si="38"/>
        <v>5.7297297297297302E-2</v>
      </c>
      <c r="G630" s="23">
        <v>-27.75</v>
      </c>
      <c r="H630" s="27">
        <v>0</v>
      </c>
      <c r="I630" s="21">
        <v>1</v>
      </c>
      <c r="J630" s="21">
        <v>130114</v>
      </c>
      <c r="K630" s="21">
        <v>1</v>
      </c>
      <c r="L630" s="21">
        <v>0</v>
      </c>
      <c r="M630" s="21">
        <v>0</v>
      </c>
      <c r="N630" s="21">
        <v>0</v>
      </c>
      <c r="O630" s="21">
        <v>0</v>
      </c>
      <c r="P630">
        <v>0</v>
      </c>
      <c r="Q630" s="21">
        <v>1</v>
      </c>
      <c r="R630" s="21">
        <v>0</v>
      </c>
      <c r="S630" s="21">
        <v>0</v>
      </c>
      <c r="T630" s="21">
        <v>1</v>
      </c>
      <c r="U630" s="21">
        <v>1995</v>
      </c>
      <c r="V630" s="21">
        <v>2010</v>
      </c>
      <c r="W630">
        <f t="shared" si="35"/>
        <v>2003</v>
      </c>
      <c r="X630" s="21">
        <v>1</v>
      </c>
      <c r="Y630" s="21">
        <v>0</v>
      </c>
      <c r="Z630" s="21">
        <v>1</v>
      </c>
      <c r="AA630" s="21">
        <v>0</v>
      </c>
      <c r="AB630" s="21">
        <v>0</v>
      </c>
      <c r="AC630" s="21">
        <v>0</v>
      </c>
      <c r="AD630" s="21">
        <v>0</v>
      </c>
      <c r="AE630" s="21">
        <v>0</v>
      </c>
      <c r="AF630" s="21">
        <v>1</v>
      </c>
      <c r="AG630" s="21">
        <v>0</v>
      </c>
      <c r="AH630" s="21">
        <v>1</v>
      </c>
      <c r="AI630" s="21">
        <v>1</v>
      </c>
      <c r="AJ630" s="21">
        <v>1</v>
      </c>
      <c r="AK630" s="21">
        <v>1</v>
      </c>
      <c r="AL630" s="21">
        <v>1</v>
      </c>
      <c r="AM630" s="21">
        <v>1</v>
      </c>
      <c r="AN630" s="21">
        <v>0</v>
      </c>
      <c r="AO630" s="21">
        <v>0</v>
      </c>
      <c r="AP630" s="21">
        <v>1</v>
      </c>
      <c r="AQ630" s="21">
        <v>0</v>
      </c>
      <c r="AR630" s="21">
        <v>1</v>
      </c>
      <c r="AS630" s="21">
        <v>0</v>
      </c>
      <c r="AT630" s="21">
        <v>1</v>
      </c>
      <c r="AU630" s="21">
        <v>1</v>
      </c>
      <c r="AV630" s="21">
        <v>1</v>
      </c>
      <c r="AW630" s="21">
        <v>1</v>
      </c>
      <c r="AX630" s="21">
        <v>1</v>
      </c>
      <c r="AY630" s="21">
        <v>1</v>
      </c>
      <c r="AZ630" s="21">
        <v>1</v>
      </c>
      <c r="BA630" s="21">
        <v>1</v>
      </c>
      <c r="BB630" s="21">
        <v>1</v>
      </c>
      <c r="BC630" s="21">
        <v>1</v>
      </c>
      <c r="BD630" s="21">
        <v>1</v>
      </c>
      <c r="BE630" s="21">
        <v>1</v>
      </c>
      <c r="BF630" s="21">
        <v>0</v>
      </c>
      <c r="BG630" s="21">
        <v>0</v>
      </c>
      <c r="BH630" s="21">
        <v>0</v>
      </c>
      <c r="BI630" s="21">
        <v>0</v>
      </c>
      <c r="BJ630" s="21">
        <v>1</v>
      </c>
      <c r="BK630" s="21">
        <v>0</v>
      </c>
      <c r="BL630" s="21">
        <v>0</v>
      </c>
      <c r="BM630" s="21">
        <v>0</v>
      </c>
      <c r="BN630" s="21">
        <v>0</v>
      </c>
      <c r="BO630" s="21">
        <v>0</v>
      </c>
      <c r="BP630" s="21">
        <v>0</v>
      </c>
      <c r="BQ630" s="21">
        <v>0</v>
      </c>
      <c r="BR630" s="21">
        <v>1</v>
      </c>
      <c r="BS630" s="21">
        <v>0</v>
      </c>
    </row>
    <row r="631" spans="1:71">
      <c r="A631" s="20" t="s">
        <v>5130</v>
      </c>
      <c r="B631">
        <v>39</v>
      </c>
      <c r="C631">
        <v>232</v>
      </c>
      <c r="D631" s="21">
        <v>2016</v>
      </c>
      <c r="E631" s="23">
        <v>-0.87</v>
      </c>
      <c r="F631" s="23">
        <v>0.06</v>
      </c>
      <c r="G631" s="14">
        <f t="shared" ref="G631:G663" si="39">E631/F631</f>
        <v>-14.5</v>
      </c>
      <c r="H631" s="27">
        <v>0</v>
      </c>
      <c r="I631" s="21">
        <v>1</v>
      </c>
      <c r="J631" s="21">
        <v>23607</v>
      </c>
      <c r="K631" s="21">
        <v>1</v>
      </c>
      <c r="L631" s="21">
        <v>0</v>
      </c>
      <c r="M631" s="21">
        <v>0</v>
      </c>
      <c r="N631" s="21">
        <v>0</v>
      </c>
      <c r="O631" s="21">
        <v>0</v>
      </c>
      <c r="P631">
        <v>0</v>
      </c>
      <c r="Q631" s="21">
        <v>1</v>
      </c>
      <c r="R631" s="21">
        <v>0</v>
      </c>
      <c r="S631" s="21">
        <v>0</v>
      </c>
      <c r="T631" s="21">
        <v>1</v>
      </c>
      <c r="U631" s="21">
        <v>1995</v>
      </c>
      <c r="V631" s="21">
        <v>2010</v>
      </c>
      <c r="W631">
        <f t="shared" si="35"/>
        <v>2003</v>
      </c>
      <c r="X631" s="21">
        <v>1</v>
      </c>
      <c r="Y631" s="21">
        <v>0</v>
      </c>
      <c r="Z631" s="21">
        <v>1</v>
      </c>
      <c r="AA631" s="21">
        <v>0</v>
      </c>
      <c r="AB631" s="21">
        <v>0</v>
      </c>
      <c r="AC631" s="21">
        <v>0</v>
      </c>
      <c r="AD631" s="21">
        <v>0</v>
      </c>
      <c r="AE631" s="21">
        <v>0</v>
      </c>
      <c r="AF631" s="21">
        <v>1</v>
      </c>
      <c r="AG631" s="21">
        <v>1</v>
      </c>
      <c r="AH631" s="21">
        <v>1</v>
      </c>
      <c r="AI631" s="21">
        <v>1</v>
      </c>
      <c r="AJ631" s="21">
        <v>1</v>
      </c>
      <c r="AK631" s="21">
        <v>1</v>
      </c>
      <c r="AL631" s="21">
        <v>1</v>
      </c>
      <c r="AM631" s="21">
        <v>1</v>
      </c>
      <c r="AN631" s="21">
        <v>1</v>
      </c>
      <c r="AO631" s="21">
        <v>1</v>
      </c>
      <c r="AP631" s="21">
        <v>1</v>
      </c>
      <c r="AQ631" s="21">
        <v>0</v>
      </c>
      <c r="AR631" s="21">
        <v>1</v>
      </c>
      <c r="AS631" s="21">
        <v>1</v>
      </c>
      <c r="AT631" s="21">
        <v>1</v>
      </c>
      <c r="AU631" s="21">
        <v>1</v>
      </c>
      <c r="AV631" s="21">
        <v>1</v>
      </c>
      <c r="AW631" s="21">
        <v>1</v>
      </c>
      <c r="AX631" s="21">
        <v>1</v>
      </c>
      <c r="AY631" s="21">
        <v>1</v>
      </c>
      <c r="AZ631" s="21">
        <v>1</v>
      </c>
      <c r="BA631" s="21">
        <v>1</v>
      </c>
      <c r="BB631" s="21">
        <v>1</v>
      </c>
      <c r="BC631" s="21">
        <v>1</v>
      </c>
      <c r="BD631" s="21">
        <v>1</v>
      </c>
      <c r="BE631" s="21">
        <v>1</v>
      </c>
      <c r="BF631" s="21">
        <v>0</v>
      </c>
      <c r="BG631" s="21">
        <v>1</v>
      </c>
      <c r="BH631" s="21">
        <v>0</v>
      </c>
      <c r="BI631" s="21">
        <v>0</v>
      </c>
      <c r="BJ631" s="21">
        <v>0</v>
      </c>
      <c r="BK631" s="21">
        <v>0</v>
      </c>
      <c r="BL631" s="21">
        <v>0</v>
      </c>
      <c r="BM631" s="21">
        <v>0</v>
      </c>
      <c r="BN631" s="21">
        <v>1</v>
      </c>
      <c r="BO631" s="21">
        <v>0</v>
      </c>
      <c r="BP631" s="21">
        <v>0</v>
      </c>
      <c r="BQ631" s="21">
        <v>0</v>
      </c>
      <c r="BR631" s="21">
        <v>0</v>
      </c>
      <c r="BS631" s="21">
        <v>1</v>
      </c>
    </row>
    <row r="632" spans="1:71">
      <c r="A632" s="20" t="s">
        <v>5130</v>
      </c>
      <c r="B632">
        <v>39</v>
      </c>
      <c r="C632">
        <v>233</v>
      </c>
      <c r="D632" s="21">
        <v>2016</v>
      </c>
      <c r="E632" s="23">
        <v>-1.2</v>
      </c>
      <c r="F632" s="23">
        <v>0.05</v>
      </c>
      <c r="G632" s="14">
        <f t="shared" si="39"/>
        <v>-23.999999999999996</v>
      </c>
      <c r="H632" s="27">
        <v>0</v>
      </c>
      <c r="I632" s="21">
        <v>1</v>
      </c>
      <c r="J632" s="21">
        <v>30956</v>
      </c>
      <c r="K632" s="21">
        <v>1</v>
      </c>
      <c r="L632" s="21">
        <v>0</v>
      </c>
      <c r="M632" s="21">
        <v>0</v>
      </c>
      <c r="N632" s="21">
        <v>0</v>
      </c>
      <c r="O632" s="21">
        <v>0</v>
      </c>
      <c r="P632">
        <v>0</v>
      </c>
      <c r="Q632" s="21">
        <v>1</v>
      </c>
      <c r="R632" s="21">
        <v>0</v>
      </c>
      <c r="S632" s="21">
        <v>0</v>
      </c>
      <c r="T632" s="21">
        <v>1</v>
      </c>
      <c r="U632" s="21">
        <v>1995</v>
      </c>
      <c r="V632" s="21">
        <v>2010</v>
      </c>
      <c r="W632">
        <f t="shared" si="35"/>
        <v>2003</v>
      </c>
      <c r="X632" s="21">
        <v>1</v>
      </c>
      <c r="Y632" s="21">
        <v>0</v>
      </c>
      <c r="Z632" s="21">
        <v>1</v>
      </c>
      <c r="AA632" s="21">
        <v>0</v>
      </c>
      <c r="AB632" s="21">
        <v>0</v>
      </c>
      <c r="AC632" s="21">
        <v>0</v>
      </c>
      <c r="AD632" s="21">
        <v>0</v>
      </c>
      <c r="AE632" s="21">
        <v>0</v>
      </c>
      <c r="AF632" s="21">
        <v>0</v>
      </c>
      <c r="AG632" s="21">
        <v>0</v>
      </c>
      <c r="AH632" s="21">
        <v>1</v>
      </c>
      <c r="AI632" s="21">
        <v>1</v>
      </c>
      <c r="AJ632" s="21">
        <v>1</v>
      </c>
      <c r="AK632" s="21">
        <v>1</v>
      </c>
      <c r="AL632" s="21">
        <v>1</v>
      </c>
      <c r="AM632" s="21">
        <v>1</v>
      </c>
      <c r="AN632" s="21">
        <v>1</v>
      </c>
      <c r="AO632" s="21">
        <v>1</v>
      </c>
      <c r="AP632" s="21">
        <v>1</v>
      </c>
      <c r="AQ632" s="21">
        <v>0</v>
      </c>
      <c r="AR632" s="21">
        <v>0</v>
      </c>
      <c r="AS632" s="21">
        <v>0</v>
      </c>
      <c r="AT632" s="21">
        <v>1</v>
      </c>
      <c r="AU632" s="21">
        <v>1</v>
      </c>
      <c r="AV632" s="21">
        <v>1</v>
      </c>
      <c r="AW632" s="21">
        <v>1</v>
      </c>
      <c r="AX632" s="21">
        <v>1</v>
      </c>
      <c r="AY632" s="21">
        <v>1</v>
      </c>
      <c r="AZ632" s="21">
        <v>1</v>
      </c>
      <c r="BA632" s="21">
        <v>1</v>
      </c>
      <c r="BB632" s="21">
        <v>1</v>
      </c>
      <c r="BC632" s="21">
        <v>1</v>
      </c>
      <c r="BD632" s="21">
        <v>1</v>
      </c>
      <c r="BE632" s="21">
        <v>1</v>
      </c>
      <c r="BF632" s="21">
        <v>0</v>
      </c>
      <c r="BG632" s="21">
        <v>0</v>
      </c>
      <c r="BH632" s="21">
        <v>0</v>
      </c>
      <c r="BI632" s="21">
        <v>0</v>
      </c>
      <c r="BJ632" s="21">
        <v>0</v>
      </c>
      <c r="BK632" s="21">
        <v>0</v>
      </c>
      <c r="BL632" s="21">
        <v>0</v>
      </c>
      <c r="BM632" s="21">
        <v>0</v>
      </c>
      <c r="BN632" s="21">
        <v>0</v>
      </c>
      <c r="BO632" s="21">
        <v>0</v>
      </c>
      <c r="BP632" s="21">
        <v>0</v>
      </c>
      <c r="BQ632" s="21">
        <v>0</v>
      </c>
      <c r="BR632" s="21">
        <v>0</v>
      </c>
      <c r="BS632" s="21">
        <v>1</v>
      </c>
    </row>
    <row r="633" spans="1:71">
      <c r="A633" s="20" t="s">
        <v>5130</v>
      </c>
      <c r="B633">
        <v>39</v>
      </c>
      <c r="C633">
        <v>234</v>
      </c>
      <c r="D633" s="21">
        <v>2016</v>
      </c>
      <c r="E633" s="23">
        <v>-0.45</v>
      </c>
      <c r="F633" s="23">
        <v>7.0000000000000007E-2</v>
      </c>
      <c r="G633" s="14">
        <f t="shared" si="39"/>
        <v>-6.4285714285714279</v>
      </c>
      <c r="H633" s="27">
        <v>0</v>
      </c>
      <c r="I633" s="21">
        <v>1</v>
      </c>
      <c r="J633" s="21">
        <v>13626</v>
      </c>
      <c r="K633" s="21">
        <v>1</v>
      </c>
      <c r="L633" s="21">
        <v>0</v>
      </c>
      <c r="M633" s="21">
        <v>0</v>
      </c>
      <c r="N633" s="21">
        <v>0</v>
      </c>
      <c r="O633" s="21">
        <v>0</v>
      </c>
      <c r="P633">
        <v>0</v>
      </c>
      <c r="Q633" s="21">
        <v>1</v>
      </c>
      <c r="R633" s="21">
        <v>0</v>
      </c>
      <c r="S633" s="21">
        <v>0</v>
      </c>
      <c r="T633" s="21">
        <v>1</v>
      </c>
      <c r="U633" s="21">
        <v>1995</v>
      </c>
      <c r="V633" s="21">
        <v>2010</v>
      </c>
      <c r="W633">
        <f t="shared" si="35"/>
        <v>2003</v>
      </c>
      <c r="X633" s="21">
        <v>1</v>
      </c>
      <c r="Y633" s="21">
        <v>0</v>
      </c>
      <c r="Z633" s="21">
        <v>1</v>
      </c>
      <c r="AA633" s="21">
        <v>0</v>
      </c>
      <c r="AB633" s="21">
        <v>0</v>
      </c>
      <c r="AC633" s="21">
        <v>0</v>
      </c>
      <c r="AD633" s="21">
        <v>0</v>
      </c>
      <c r="AE633" s="21">
        <v>0</v>
      </c>
      <c r="AF633" s="21">
        <v>1</v>
      </c>
      <c r="AG633" s="21">
        <v>1</v>
      </c>
      <c r="AH633" s="21">
        <v>1</v>
      </c>
      <c r="AI633" s="21">
        <v>1</v>
      </c>
      <c r="AJ633" s="21">
        <v>0</v>
      </c>
      <c r="AK633" s="21">
        <v>1</v>
      </c>
      <c r="AL633" s="21">
        <v>1</v>
      </c>
      <c r="AM633" s="21">
        <v>1</v>
      </c>
      <c r="AN633" s="21">
        <v>1</v>
      </c>
      <c r="AO633" s="21">
        <v>1</v>
      </c>
      <c r="AP633" s="21">
        <v>1</v>
      </c>
      <c r="AQ633" s="21">
        <v>0</v>
      </c>
      <c r="AR633" s="21">
        <v>1</v>
      </c>
      <c r="AS633" s="21">
        <v>1</v>
      </c>
      <c r="AT633" s="21">
        <v>1</v>
      </c>
      <c r="AU633" s="21">
        <v>1</v>
      </c>
      <c r="AV633" s="21">
        <v>0</v>
      </c>
      <c r="AW633" s="21">
        <v>1</v>
      </c>
      <c r="AX633" s="21">
        <v>1</v>
      </c>
      <c r="AY633" s="21">
        <v>1</v>
      </c>
      <c r="AZ633" s="21">
        <v>1</v>
      </c>
      <c r="BA633" s="21">
        <v>1</v>
      </c>
      <c r="BB633" s="21">
        <v>1</v>
      </c>
      <c r="BC633" s="21">
        <v>1</v>
      </c>
      <c r="BD633" s="21">
        <v>1</v>
      </c>
      <c r="BE633" s="21">
        <v>1</v>
      </c>
      <c r="BF633" s="21">
        <v>0</v>
      </c>
      <c r="BG633" s="21">
        <v>1</v>
      </c>
      <c r="BH633" s="21">
        <v>0</v>
      </c>
      <c r="BI633" s="21">
        <v>0</v>
      </c>
      <c r="BJ633" s="21">
        <v>0</v>
      </c>
      <c r="BK633" s="21">
        <v>0</v>
      </c>
      <c r="BL633" s="21">
        <v>0</v>
      </c>
      <c r="BM633" s="21">
        <v>0</v>
      </c>
      <c r="BN633" s="21">
        <v>1</v>
      </c>
      <c r="BO633" s="21">
        <v>0</v>
      </c>
      <c r="BP633" s="21">
        <v>0</v>
      </c>
      <c r="BQ633" s="21">
        <v>0</v>
      </c>
      <c r="BR633" s="21">
        <v>0</v>
      </c>
      <c r="BS633" s="21">
        <v>1</v>
      </c>
    </row>
    <row r="634" spans="1:71">
      <c r="A634" s="18" t="s">
        <v>5130</v>
      </c>
      <c r="B634" s="29">
        <v>39</v>
      </c>
      <c r="C634">
        <v>235</v>
      </c>
      <c r="D634" s="51">
        <v>2016</v>
      </c>
      <c r="E634" s="52">
        <v>-0.81</v>
      </c>
      <c r="F634" s="52">
        <v>0.08</v>
      </c>
      <c r="G634" s="53">
        <f t="shared" si="39"/>
        <v>-10.125</v>
      </c>
      <c r="H634" s="41">
        <v>0</v>
      </c>
      <c r="I634" s="54">
        <v>1</v>
      </c>
      <c r="J634" s="21">
        <v>15625</v>
      </c>
      <c r="K634" s="21">
        <v>1</v>
      </c>
      <c r="L634" s="21">
        <v>0</v>
      </c>
      <c r="M634" s="21">
        <v>0</v>
      </c>
      <c r="N634" s="21">
        <v>0</v>
      </c>
      <c r="O634" s="21">
        <v>0</v>
      </c>
      <c r="P634">
        <v>0</v>
      </c>
      <c r="Q634" s="21">
        <v>1</v>
      </c>
      <c r="R634" s="21">
        <v>0</v>
      </c>
      <c r="S634" s="21">
        <v>0</v>
      </c>
      <c r="T634" s="21">
        <v>1</v>
      </c>
      <c r="U634" s="21">
        <v>1995</v>
      </c>
      <c r="V634" s="21">
        <v>2010</v>
      </c>
      <c r="W634">
        <f t="shared" si="35"/>
        <v>2003</v>
      </c>
      <c r="X634" s="21">
        <v>0</v>
      </c>
      <c r="Y634" s="21">
        <v>1</v>
      </c>
      <c r="Z634" s="21">
        <v>0</v>
      </c>
      <c r="AA634" s="21">
        <v>1</v>
      </c>
      <c r="AB634" s="21">
        <v>0</v>
      </c>
      <c r="AC634" s="21">
        <v>0</v>
      </c>
      <c r="AD634" s="21">
        <v>0</v>
      </c>
      <c r="AE634" s="21">
        <v>0</v>
      </c>
      <c r="AF634" s="21">
        <v>0</v>
      </c>
      <c r="AG634" s="21">
        <v>0</v>
      </c>
      <c r="AH634" s="21">
        <v>1</v>
      </c>
      <c r="AI634" s="21">
        <v>1</v>
      </c>
      <c r="AJ634" s="21">
        <v>0</v>
      </c>
      <c r="AK634" s="21">
        <v>1</v>
      </c>
      <c r="AL634" s="21">
        <v>1</v>
      </c>
      <c r="AM634" s="21">
        <v>1</v>
      </c>
      <c r="AN634" s="21">
        <v>1</v>
      </c>
      <c r="AO634" s="21">
        <v>1</v>
      </c>
      <c r="AP634" s="21">
        <v>1</v>
      </c>
      <c r="AQ634" s="21">
        <v>0</v>
      </c>
      <c r="AR634" s="21">
        <v>0</v>
      </c>
      <c r="AS634" s="21">
        <v>0</v>
      </c>
      <c r="AT634" s="21">
        <v>1</v>
      </c>
      <c r="AU634" s="21">
        <v>1</v>
      </c>
      <c r="AV634" s="21">
        <v>0</v>
      </c>
      <c r="AW634" s="21">
        <v>1</v>
      </c>
      <c r="AX634" s="21">
        <v>1</v>
      </c>
      <c r="AY634" s="21">
        <v>1</v>
      </c>
      <c r="AZ634" s="21">
        <v>1</v>
      </c>
      <c r="BA634" s="21">
        <v>1</v>
      </c>
      <c r="BB634" s="21">
        <v>1</v>
      </c>
      <c r="BC634" s="21">
        <v>1</v>
      </c>
      <c r="BD634" s="21">
        <v>1</v>
      </c>
      <c r="BE634" s="21">
        <v>1</v>
      </c>
      <c r="BF634" s="21">
        <v>0</v>
      </c>
      <c r="BG634" s="21">
        <v>0</v>
      </c>
      <c r="BH634" s="21">
        <v>0</v>
      </c>
      <c r="BI634" s="21">
        <v>0</v>
      </c>
      <c r="BJ634" s="21">
        <v>0</v>
      </c>
      <c r="BK634" s="21">
        <v>0</v>
      </c>
      <c r="BL634" s="21">
        <v>0</v>
      </c>
      <c r="BM634" s="21">
        <v>0</v>
      </c>
      <c r="BN634" s="21">
        <v>0</v>
      </c>
      <c r="BO634" s="21">
        <v>0</v>
      </c>
      <c r="BP634" s="21">
        <v>0</v>
      </c>
      <c r="BQ634" s="21">
        <v>0</v>
      </c>
      <c r="BR634" s="21">
        <v>0</v>
      </c>
      <c r="BS634" s="21">
        <v>1</v>
      </c>
    </row>
    <row r="635" spans="1:71">
      <c r="A635" s="18" t="s">
        <v>5130</v>
      </c>
      <c r="B635" s="29">
        <v>39</v>
      </c>
      <c r="C635">
        <v>236</v>
      </c>
      <c r="D635" s="51">
        <v>2016</v>
      </c>
      <c r="E635" s="52">
        <v>-0.82</v>
      </c>
      <c r="F635" s="52">
        <v>0.14000000000000001</v>
      </c>
      <c r="G635" s="53">
        <f t="shared" si="39"/>
        <v>-5.8571428571428559</v>
      </c>
      <c r="H635" s="41">
        <v>0</v>
      </c>
      <c r="I635" s="54">
        <v>1</v>
      </c>
      <c r="J635" s="21">
        <v>5057</v>
      </c>
      <c r="K635" s="21">
        <v>1</v>
      </c>
      <c r="L635" s="21">
        <v>0</v>
      </c>
      <c r="M635" s="21">
        <v>0</v>
      </c>
      <c r="N635" s="21">
        <v>0</v>
      </c>
      <c r="O635" s="21">
        <v>0</v>
      </c>
      <c r="P635">
        <v>0</v>
      </c>
      <c r="Q635" s="21">
        <v>1</v>
      </c>
      <c r="R635" s="21">
        <v>0</v>
      </c>
      <c r="S635" s="21">
        <v>0</v>
      </c>
      <c r="T635" s="21">
        <v>1</v>
      </c>
      <c r="U635" s="21">
        <v>1995</v>
      </c>
      <c r="V635" s="21">
        <v>2010</v>
      </c>
      <c r="W635">
        <f t="shared" si="35"/>
        <v>2003</v>
      </c>
      <c r="X635" s="21">
        <v>0</v>
      </c>
      <c r="Y635" s="21">
        <v>1</v>
      </c>
      <c r="Z635" s="21">
        <v>0</v>
      </c>
      <c r="AA635" s="21">
        <v>1</v>
      </c>
      <c r="AB635" s="21">
        <v>0</v>
      </c>
      <c r="AC635" s="21">
        <v>0</v>
      </c>
      <c r="AD635" s="21">
        <v>0</v>
      </c>
      <c r="AE635" s="21">
        <v>0</v>
      </c>
      <c r="AF635" s="21">
        <v>0</v>
      </c>
      <c r="AG635" s="21">
        <v>0</v>
      </c>
      <c r="AH635" s="21">
        <v>1</v>
      </c>
      <c r="AI635" s="21">
        <v>0</v>
      </c>
      <c r="AJ635" s="21">
        <v>0</v>
      </c>
      <c r="AK635" s="21">
        <v>0</v>
      </c>
      <c r="AL635" s="21">
        <v>0</v>
      </c>
      <c r="AM635" s="21">
        <v>0</v>
      </c>
      <c r="AN635" s="21">
        <v>1</v>
      </c>
      <c r="AO635" s="21">
        <v>1</v>
      </c>
      <c r="AP635" s="21">
        <v>1</v>
      </c>
      <c r="AQ635" s="21">
        <v>0</v>
      </c>
      <c r="AR635" s="21">
        <v>0</v>
      </c>
      <c r="AS635" s="21">
        <v>0</v>
      </c>
      <c r="AT635" s="21">
        <v>1</v>
      </c>
      <c r="AU635" s="21">
        <v>0</v>
      </c>
      <c r="AV635" s="21">
        <v>0</v>
      </c>
      <c r="AW635" s="21">
        <v>0</v>
      </c>
      <c r="AX635" s="21">
        <v>0</v>
      </c>
      <c r="AY635" s="21">
        <v>0</v>
      </c>
      <c r="AZ635" s="21">
        <v>1</v>
      </c>
      <c r="BA635" s="21">
        <v>1</v>
      </c>
      <c r="BB635" s="21">
        <v>1</v>
      </c>
      <c r="BC635" s="21">
        <v>1</v>
      </c>
      <c r="BD635" s="21">
        <v>1</v>
      </c>
      <c r="BE635" s="21">
        <v>1</v>
      </c>
      <c r="BF635" s="21">
        <v>0</v>
      </c>
      <c r="BG635" s="21">
        <v>0</v>
      </c>
      <c r="BH635" s="21">
        <v>0</v>
      </c>
      <c r="BI635" s="21">
        <v>0</v>
      </c>
      <c r="BJ635" s="21">
        <v>0</v>
      </c>
      <c r="BK635" s="21">
        <v>0</v>
      </c>
      <c r="BL635" s="21">
        <v>0</v>
      </c>
      <c r="BM635" s="21">
        <v>0</v>
      </c>
      <c r="BN635" s="21">
        <v>0</v>
      </c>
      <c r="BO635" s="21">
        <v>0</v>
      </c>
      <c r="BP635" s="21">
        <v>0</v>
      </c>
      <c r="BQ635" s="21">
        <v>0</v>
      </c>
      <c r="BR635" s="21">
        <v>0</v>
      </c>
      <c r="BS635" s="21">
        <v>1</v>
      </c>
    </row>
    <row r="636" spans="1:71">
      <c r="A636" s="20" t="s">
        <v>5130</v>
      </c>
      <c r="B636">
        <v>39</v>
      </c>
      <c r="C636">
        <v>237</v>
      </c>
      <c r="D636" s="21">
        <v>2016</v>
      </c>
      <c r="E636" s="23">
        <v>-0.82</v>
      </c>
      <c r="F636" s="23">
        <v>0.14000000000000001</v>
      </c>
      <c r="G636" s="14">
        <f t="shared" si="39"/>
        <v>-5.8571428571428559</v>
      </c>
      <c r="H636" s="27">
        <v>0</v>
      </c>
      <c r="I636" s="21">
        <v>1</v>
      </c>
      <c r="J636" s="21">
        <v>5057</v>
      </c>
      <c r="K636" s="21">
        <v>1</v>
      </c>
      <c r="L636" s="21">
        <v>0</v>
      </c>
      <c r="M636" s="21">
        <v>0</v>
      </c>
      <c r="N636" s="21">
        <v>0</v>
      </c>
      <c r="O636" s="21">
        <v>0</v>
      </c>
      <c r="P636">
        <v>0</v>
      </c>
      <c r="Q636" s="21">
        <v>1</v>
      </c>
      <c r="R636" s="21">
        <v>0</v>
      </c>
      <c r="S636" s="21">
        <v>0</v>
      </c>
      <c r="T636" s="21">
        <v>1</v>
      </c>
      <c r="U636" s="21">
        <v>1995</v>
      </c>
      <c r="V636" s="21">
        <v>2010</v>
      </c>
      <c r="W636">
        <f t="shared" si="35"/>
        <v>2003</v>
      </c>
      <c r="X636" s="21">
        <v>1</v>
      </c>
      <c r="Y636" s="21">
        <v>0</v>
      </c>
      <c r="Z636" s="21">
        <v>1</v>
      </c>
      <c r="AA636" s="21">
        <v>0</v>
      </c>
      <c r="AB636" s="21">
        <v>0</v>
      </c>
      <c r="AC636" s="21">
        <v>0</v>
      </c>
      <c r="AD636" s="21">
        <v>0</v>
      </c>
      <c r="AE636" s="21">
        <v>0</v>
      </c>
      <c r="AF636" s="21">
        <v>0</v>
      </c>
      <c r="AG636" s="21">
        <v>0</v>
      </c>
      <c r="AH636" s="21">
        <v>1</v>
      </c>
      <c r="AI636" s="21">
        <v>0</v>
      </c>
      <c r="AJ636" s="21">
        <v>0</v>
      </c>
      <c r="AK636" s="21">
        <v>0</v>
      </c>
      <c r="AL636" s="21">
        <v>0</v>
      </c>
      <c r="AM636" s="21">
        <v>0</v>
      </c>
      <c r="AN636" s="21">
        <v>1</v>
      </c>
      <c r="AO636" s="21">
        <v>1</v>
      </c>
      <c r="AP636" s="21">
        <v>1</v>
      </c>
      <c r="AQ636" s="21">
        <v>0</v>
      </c>
      <c r="AR636" s="21">
        <v>0</v>
      </c>
      <c r="AS636" s="21">
        <v>0</v>
      </c>
      <c r="AT636" s="21">
        <v>1</v>
      </c>
      <c r="AU636" s="21">
        <v>0</v>
      </c>
      <c r="AV636" s="21">
        <v>0</v>
      </c>
      <c r="AW636" s="21">
        <v>0</v>
      </c>
      <c r="AX636" s="21">
        <v>0</v>
      </c>
      <c r="AY636" s="21">
        <v>0</v>
      </c>
      <c r="AZ636" s="21">
        <v>1</v>
      </c>
      <c r="BA636" s="21">
        <v>1</v>
      </c>
      <c r="BB636" s="21">
        <v>1</v>
      </c>
      <c r="BC636" s="21">
        <v>1</v>
      </c>
      <c r="BD636" s="21">
        <v>1</v>
      </c>
      <c r="BE636" s="21">
        <v>1</v>
      </c>
      <c r="BF636" s="21">
        <v>0</v>
      </c>
      <c r="BG636" s="21">
        <v>0</v>
      </c>
      <c r="BH636" s="21">
        <v>0</v>
      </c>
      <c r="BI636" s="21">
        <v>0</v>
      </c>
      <c r="BJ636" s="21">
        <v>0</v>
      </c>
      <c r="BK636" s="21">
        <v>0</v>
      </c>
      <c r="BL636" s="21">
        <v>0</v>
      </c>
      <c r="BM636" s="21">
        <v>0</v>
      </c>
      <c r="BN636" s="21">
        <v>0</v>
      </c>
      <c r="BO636" s="21">
        <v>0</v>
      </c>
      <c r="BP636" s="21">
        <v>0</v>
      </c>
      <c r="BQ636" s="21">
        <v>0</v>
      </c>
      <c r="BR636" s="21">
        <v>0</v>
      </c>
      <c r="BS636" s="21">
        <v>1</v>
      </c>
    </row>
    <row r="637" spans="1:71">
      <c r="A637" s="20" t="s">
        <v>5130</v>
      </c>
      <c r="B637">
        <v>39</v>
      </c>
      <c r="C637">
        <v>238</v>
      </c>
      <c r="D637" s="21">
        <v>2016</v>
      </c>
      <c r="E637" s="23">
        <v>-0.4</v>
      </c>
      <c r="F637" s="23">
        <v>0.08</v>
      </c>
      <c r="G637" s="14">
        <f t="shared" si="39"/>
        <v>-5</v>
      </c>
      <c r="H637" s="27">
        <v>0</v>
      </c>
      <c r="I637" s="21">
        <v>1</v>
      </c>
      <c r="J637" s="21">
        <v>32539</v>
      </c>
      <c r="K637" s="21">
        <v>0</v>
      </c>
      <c r="L637" s="21">
        <v>0</v>
      </c>
      <c r="M637" s="21">
        <v>1</v>
      </c>
      <c r="N637" s="21">
        <v>0</v>
      </c>
      <c r="O637" s="21">
        <v>0</v>
      </c>
      <c r="P637">
        <v>0</v>
      </c>
      <c r="Q637" s="21">
        <v>1</v>
      </c>
      <c r="R637" s="21">
        <v>0</v>
      </c>
      <c r="S637" s="21">
        <v>0</v>
      </c>
      <c r="T637" s="21">
        <v>1</v>
      </c>
      <c r="U637" s="21">
        <v>1995</v>
      </c>
      <c r="V637" s="21">
        <v>2010</v>
      </c>
      <c r="W637">
        <f t="shared" si="35"/>
        <v>2003</v>
      </c>
      <c r="X637" s="21">
        <v>1</v>
      </c>
      <c r="Y637" s="21">
        <v>0</v>
      </c>
      <c r="Z637" s="21">
        <v>1</v>
      </c>
      <c r="AA637" s="21">
        <v>0</v>
      </c>
      <c r="AB637" s="21">
        <v>0</v>
      </c>
      <c r="AC637" s="21">
        <v>0</v>
      </c>
      <c r="AD637" s="21">
        <v>0</v>
      </c>
      <c r="AE637" s="21">
        <v>0</v>
      </c>
      <c r="AF637" s="21">
        <v>1</v>
      </c>
      <c r="AG637" s="21">
        <v>1</v>
      </c>
      <c r="AH637" s="21">
        <v>1</v>
      </c>
      <c r="AI637" s="21">
        <v>1</v>
      </c>
      <c r="AJ637" s="21">
        <v>1</v>
      </c>
      <c r="AK637" s="21">
        <v>1</v>
      </c>
      <c r="AL637" s="21">
        <v>1</v>
      </c>
      <c r="AM637" s="21">
        <v>1</v>
      </c>
      <c r="AN637" s="21">
        <v>1</v>
      </c>
      <c r="AO637" s="21">
        <v>1</v>
      </c>
      <c r="AP637" s="21">
        <v>1</v>
      </c>
      <c r="AQ637" s="21">
        <v>0</v>
      </c>
      <c r="AR637" s="21">
        <v>1</v>
      </c>
      <c r="AS637" s="21">
        <v>1</v>
      </c>
      <c r="AT637" s="21">
        <v>1</v>
      </c>
      <c r="AU637" s="21">
        <v>1</v>
      </c>
      <c r="AV637" s="21">
        <v>1</v>
      </c>
      <c r="AW637" s="21">
        <v>1</v>
      </c>
      <c r="AX637" s="21">
        <v>1</v>
      </c>
      <c r="AY637" s="21">
        <v>1</v>
      </c>
      <c r="AZ637" s="21">
        <v>1</v>
      </c>
      <c r="BA637" s="21">
        <v>1</v>
      </c>
      <c r="BB637" s="21">
        <v>1</v>
      </c>
      <c r="BC637" s="21">
        <v>1</v>
      </c>
      <c r="BD637" s="21">
        <v>1</v>
      </c>
      <c r="BE637" s="21">
        <v>1</v>
      </c>
      <c r="BF637" s="21">
        <v>0</v>
      </c>
      <c r="BG637" s="21">
        <v>1</v>
      </c>
      <c r="BH637" s="21">
        <v>0</v>
      </c>
      <c r="BI637" s="21">
        <v>0</v>
      </c>
      <c r="BJ637" s="21">
        <v>0</v>
      </c>
      <c r="BK637" s="21">
        <v>0</v>
      </c>
      <c r="BL637" s="21">
        <v>0</v>
      </c>
      <c r="BM637" s="21">
        <v>0</v>
      </c>
      <c r="BN637" s="21">
        <v>1</v>
      </c>
      <c r="BO637" s="21">
        <v>0</v>
      </c>
      <c r="BP637" s="21">
        <v>0</v>
      </c>
      <c r="BQ637" s="21">
        <v>0</v>
      </c>
      <c r="BR637" s="21">
        <v>0</v>
      </c>
      <c r="BS637" s="21">
        <v>1</v>
      </c>
    </row>
    <row r="638" spans="1:71">
      <c r="A638" s="20" t="s">
        <v>5130</v>
      </c>
      <c r="B638">
        <v>39</v>
      </c>
      <c r="C638">
        <v>239</v>
      </c>
      <c r="D638" s="21">
        <v>2016</v>
      </c>
      <c r="E638" s="23">
        <v>-0.87</v>
      </c>
      <c r="F638" s="23">
        <v>7.0000000000000007E-2</v>
      </c>
      <c r="G638" s="14">
        <f t="shared" si="39"/>
        <v>-12.428571428571427</v>
      </c>
      <c r="H638" s="27">
        <v>0</v>
      </c>
      <c r="I638" s="21">
        <v>1</v>
      </c>
      <c r="J638" s="21">
        <v>45828</v>
      </c>
      <c r="K638" s="21">
        <v>0</v>
      </c>
      <c r="L638" s="21">
        <v>0</v>
      </c>
      <c r="M638" s="21">
        <v>1</v>
      </c>
      <c r="N638" s="21">
        <v>0</v>
      </c>
      <c r="O638" s="21">
        <v>0</v>
      </c>
      <c r="P638">
        <v>0</v>
      </c>
      <c r="Q638" s="21">
        <v>1</v>
      </c>
      <c r="R638" s="21">
        <v>0</v>
      </c>
      <c r="S638" s="21">
        <v>0</v>
      </c>
      <c r="T638" s="21">
        <v>1</v>
      </c>
      <c r="U638" s="21">
        <v>1995</v>
      </c>
      <c r="V638" s="21">
        <v>2010</v>
      </c>
      <c r="W638">
        <f t="shared" si="35"/>
        <v>2003</v>
      </c>
      <c r="X638" s="21">
        <v>1</v>
      </c>
      <c r="Y638" s="21">
        <v>0</v>
      </c>
      <c r="Z638" s="21">
        <v>1</v>
      </c>
      <c r="AA638" s="21">
        <v>0</v>
      </c>
      <c r="AB638" s="21">
        <v>0</v>
      </c>
      <c r="AC638" s="21">
        <v>0</v>
      </c>
      <c r="AD638" s="21">
        <v>0</v>
      </c>
      <c r="AE638" s="21">
        <v>0</v>
      </c>
      <c r="AF638" s="21">
        <v>0</v>
      </c>
      <c r="AG638" s="21">
        <v>0</v>
      </c>
      <c r="AH638" s="21">
        <v>1</v>
      </c>
      <c r="AI638" s="21">
        <v>1</v>
      </c>
      <c r="AJ638" s="21">
        <v>1</v>
      </c>
      <c r="AK638" s="21">
        <v>1</v>
      </c>
      <c r="AL638" s="21">
        <v>1</v>
      </c>
      <c r="AM638" s="21">
        <v>1</v>
      </c>
      <c r="AN638" s="21">
        <v>1</v>
      </c>
      <c r="AO638" s="21">
        <v>1</v>
      </c>
      <c r="AP638" s="21">
        <v>1</v>
      </c>
      <c r="AQ638" s="21">
        <v>0</v>
      </c>
      <c r="AR638" s="21">
        <v>0</v>
      </c>
      <c r="AS638" s="21">
        <v>0</v>
      </c>
      <c r="AT638" s="21">
        <v>1</v>
      </c>
      <c r="AU638" s="21">
        <v>1</v>
      </c>
      <c r="AV638" s="21">
        <v>1</v>
      </c>
      <c r="AW638" s="21">
        <v>1</v>
      </c>
      <c r="AX638" s="21">
        <v>1</v>
      </c>
      <c r="AY638" s="21">
        <v>1</v>
      </c>
      <c r="AZ638" s="21">
        <v>1</v>
      </c>
      <c r="BA638" s="21">
        <v>1</v>
      </c>
      <c r="BB638" s="21">
        <v>1</v>
      </c>
      <c r="BC638" s="21">
        <v>1</v>
      </c>
      <c r="BD638" s="21">
        <v>1</v>
      </c>
      <c r="BE638" s="21">
        <v>1</v>
      </c>
      <c r="BF638" s="21">
        <v>0</v>
      </c>
      <c r="BG638" s="21">
        <v>0</v>
      </c>
      <c r="BH638" s="21">
        <v>0</v>
      </c>
      <c r="BI638" s="21">
        <v>0</v>
      </c>
      <c r="BJ638" s="21">
        <v>0</v>
      </c>
      <c r="BK638" s="21">
        <v>0</v>
      </c>
      <c r="BL638" s="21">
        <v>0</v>
      </c>
      <c r="BM638" s="21">
        <v>0</v>
      </c>
      <c r="BN638" s="21">
        <v>0</v>
      </c>
      <c r="BO638" s="21">
        <v>0</v>
      </c>
      <c r="BP638" s="21">
        <v>0</v>
      </c>
      <c r="BQ638" s="21">
        <v>0</v>
      </c>
      <c r="BR638" s="21">
        <v>0</v>
      </c>
      <c r="BS638" s="21">
        <v>1</v>
      </c>
    </row>
    <row r="639" spans="1:71">
      <c r="A639" s="20" t="s">
        <v>5130</v>
      </c>
      <c r="B639">
        <v>39</v>
      </c>
      <c r="C639">
        <v>240</v>
      </c>
      <c r="D639" s="21">
        <v>2016</v>
      </c>
      <c r="E639" s="23">
        <v>-0.86</v>
      </c>
      <c r="F639" s="23">
        <v>0.06</v>
      </c>
      <c r="G639" s="14">
        <f t="shared" si="39"/>
        <v>-14.333333333333334</v>
      </c>
      <c r="H639" s="27">
        <v>0</v>
      </c>
      <c r="I639" s="21">
        <v>1</v>
      </c>
      <c r="J639" s="21">
        <v>33416</v>
      </c>
      <c r="K639" s="21">
        <v>0</v>
      </c>
      <c r="L639" s="21">
        <v>1</v>
      </c>
      <c r="M639" s="21">
        <v>0</v>
      </c>
      <c r="N639" s="21">
        <v>0</v>
      </c>
      <c r="O639" s="21">
        <v>0</v>
      </c>
      <c r="P639">
        <v>1</v>
      </c>
      <c r="Q639" s="21">
        <v>1</v>
      </c>
      <c r="R639" s="21">
        <v>0</v>
      </c>
      <c r="S639" s="21">
        <v>0</v>
      </c>
      <c r="T639" s="21">
        <v>1</v>
      </c>
      <c r="U639" s="21">
        <v>1995</v>
      </c>
      <c r="V639" s="21">
        <v>2010</v>
      </c>
      <c r="W639">
        <f t="shared" si="35"/>
        <v>2003</v>
      </c>
      <c r="X639" s="21">
        <v>1</v>
      </c>
      <c r="Y639" s="21">
        <v>0</v>
      </c>
      <c r="Z639" s="21">
        <v>1</v>
      </c>
      <c r="AA639" s="21">
        <v>0</v>
      </c>
      <c r="AB639" s="21">
        <v>0</v>
      </c>
      <c r="AC639" s="21">
        <v>0</v>
      </c>
      <c r="AD639" s="21">
        <v>0</v>
      </c>
      <c r="AE639" s="21">
        <v>0</v>
      </c>
      <c r="AF639" s="21">
        <v>1</v>
      </c>
      <c r="AG639" s="21">
        <v>1</v>
      </c>
      <c r="AH639" s="21">
        <v>1</v>
      </c>
      <c r="AI639" s="21">
        <v>1</v>
      </c>
      <c r="AJ639" s="21">
        <v>1</v>
      </c>
      <c r="AK639" s="21">
        <v>1</v>
      </c>
      <c r="AL639" s="21">
        <v>1</v>
      </c>
      <c r="AM639" s="21">
        <v>1</v>
      </c>
      <c r="AN639" s="21">
        <v>1</v>
      </c>
      <c r="AO639" s="21">
        <v>1</v>
      </c>
      <c r="AP639" s="21">
        <v>1</v>
      </c>
      <c r="AQ639" s="21">
        <v>0</v>
      </c>
      <c r="AR639" s="21">
        <v>1</v>
      </c>
      <c r="AS639" s="21">
        <v>1</v>
      </c>
      <c r="AT639" s="21">
        <v>1</v>
      </c>
      <c r="AU639" s="21">
        <v>1</v>
      </c>
      <c r="AV639" s="21">
        <v>1</v>
      </c>
      <c r="AW639" s="21">
        <v>1</v>
      </c>
      <c r="AX639" s="21">
        <v>1</v>
      </c>
      <c r="AY639" s="21">
        <v>1</v>
      </c>
      <c r="AZ639" s="21">
        <v>1</v>
      </c>
      <c r="BA639" s="21">
        <v>1</v>
      </c>
      <c r="BB639" s="21">
        <v>1</v>
      </c>
      <c r="BC639" s="21">
        <v>1</v>
      </c>
      <c r="BD639" s="21">
        <v>1</v>
      </c>
      <c r="BE639" s="21">
        <v>1</v>
      </c>
      <c r="BF639" s="21">
        <v>0</v>
      </c>
      <c r="BG639" s="21">
        <v>1</v>
      </c>
      <c r="BH639" s="21">
        <v>0</v>
      </c>
      <c r="BI639" s="21">
        <v>0</v>
      </c>
      <c r="BJ639" s="21">
        <v>0</v>
      </c>
      <c r="BK639" s="21">
        <v>0</v>
      </c>
      <c r="BL639" s="21">
        <v>0</v>
      </c>
      <c r="BM639" s="21">
        <v>0</v>
      </c>
      <c r="BN639" s="21">
        <v>1</v>
      </c>
      <c r="BO639" s="21">
        <v>0</v>
      </c>
      <c r="BP639" s="21">
        <v>0</v>
      </c>
      <c r="BQ639" s="21">
        <v>0</v>
      </c>
      <c r="BR639" s="21">
        <v>0</v>
      </c>
      <c r="BS639" s="21">
        <v>1</v>
      </c>
    </row>
    <row r="640" spans="1:71">
      <c r="A640" s="20" t="s">
        <v>5130</v>
      </c>
      <c r="B640">
        <v>39</v>
      </c>
      <c r="C640">
        <v>241</v>
      </c>
      <c r="D640" s="21">
        <v>2016</v>
      </c>
      <c r="E640" s="23">
        <v>-0.03</v>
      </c>
      <c r="F640" s="23">
        <v>0.12</v>
      </c>
      <c r="G640" s="14">
        <f t="shared" si="39"/>
        <v>-0.25</v>
      </c>
      <c r="H640" s="27">
        <v>0</v>
      </c>
      <c r="I640" s="21">
        <v>1</v>
      </c>
      <c r="J640" s="21">
        <v>17595</v>
      </c>
      <c r="K640" s="21">
        <v>0</v>
      </c>
      <c r="L640" s="21">
        <v>0</v>
      </c>
      <c r="M640" s="21">
        <v>1</v>
      </c>
      <c r="N640" s="21">
        <v>0</v>
      </c>
      <c r="O640" s="21">
        <v>0</v>
      </c>
      <c r="P640">
        <v>0</v>
      </c>
      <c r="Q640" s="21">
        <v>1</v>
      </c>
      <c r="R640" s="21">
        <v>0</v>
      </c>
      <c r="S640" s="21">
        <v>0</v>
      </c>
      <c r="T640" s="21">
        <v>1</v>
      </c>
      <c r="U640" s="21">
        <v>1995</v>
      </c>
      <c r="V640" s="21">
        <v>2010</v>
      </c>
      <c r="W640">
        <f t="shared" si="35"/>
        <v>2003</v>
      </c>
      <c r="X640" s="21">
        <v>1</v>
      </c>
      <c r="Y640" s="21">
        <v>0</v>
      </c>
      <c r="Z640" s="21">
        <v>1</v>
      </c>
      <c r="AA640" s="21">
        <v>0</v>
      </c>
      <c r="AB640" s="21">
        <v>0</v>
      </c>
      <c r="AC640" s="21">
        <v>0</v>
      </c>
      <c r="AD640" s="21">
        <v>0</v>
      </c>
      <c r="AE640" s="21">
        <v>0</v>
      </c>
      <c r="AF640" s="21">
        <v>1</v>
      </c>
      <c r="AG640" s="21">
        <v>1</v>
      </c>
      <c r="AH640" s="21">
        <v>1</v>
      </c>
      <c r="AI640" s="21">
        <v>1</v>
      </c>
      <c r="AJ640" s="21">
        <v>1</v>
      </c>
      <c r="AK640" s="21">
        <v>1</v>
      </c>
      <c r="AL640" s="21">
        <v>1</v>
      </c>
      <c r="AM640" s="21">
        <v>1</v>
      </c>
      <c r="AN640" s="21">
        <v>1</v>
      </c>
      <c r="AO640" s="21">
        <v>1</v>
      </c>
      <c r="AP640" s="21">
        <v>1</v>
      </c>
      <c r="AQ640" s="21">
        <v>0</v>
      </c>
      <c r="AR640" s="21">
        <v>1</v>
      </c>
      <c r="AS640" s="21">
        <v>1</v>
      </c>
      <c r="AT640" s="21">
        <v>1</v>
      </c>
      <c r="AU640" s="21">
        <v>1</v>
      </c>
      <c r="AV640" s="21">
        <v>1</v>
      </c>
      <c r="AW640" s="21">
        <v>1</v>
      </c>
      <c r="AX640" s="21">
        <v>1</v>
      </c>
      <c r="AY640" s="21">
        <v>1</v>
      </c>
      <c r="AZ640" s="21">
        <v>1</v>
      </c>
      <c r="BA640" s="21">
        <v>1</v>
      </c>
      <c r="BB640" s="21">
        <v>1</v>
      </c>
      <c r="BC640" s="21">
        <v>1</v>
      </c>
      <c r="BD640" s="21">
        <v>1</v>
      </c>
      <c r="BE640" s="21">
        <v>1</v>
      </c>
      <c r="BF640" s="21">
        <v>0</v>
      </c>
      <c r="BG640" s="21">
        <v>1</v>
      </c>
      <c r="BH640" s="21">
        <v>0</v>
      </c>
      <c r="BI640" s="21">
        <v>0</v>
      </c>
      <c r="BJ640" s="21">
        <v>0</v>
      </c>
      <c r="BK640" s="21">
        <v>0</v>
      </c>
      <c r="BL640" s="21">
        <v>0</v>
      </c>
      <c r="BM640" s="21">
        <v>0</v>
      </c>
      <c r="BN640" s="21">
        <v>1</v>
      </c>
      <c r="BO640" s="21">
        <v>0</v>
      </c>
      <c r="BP640" s="21">
        <v>0</v>
      </c>
      <c r="BQ640" s="21">
        <v>0</v>
      </c>
      <c r="BR640" s="21">
        <v>0</v>
      </c>
      <c r="BS640" s="21">
        <v>1</v>
      </c>
    </row>
    <row r="641" spans="1:71">
      <c r="A641" s="20" t="s">
        <v>5130</v>
      </c>
      <c r="B641">
        <v>39</v>
      </c>
      <c r="C641">
        <v>242</v>
      </c>
      <c r="D641" s="21">
        <v>2016</v>
      </c>
      <c r="E641" s="23">
        <v>-0.43</v>
      </c>
      <c r="F641" s="23">
        <v>0.14000000000000001</v>
      </c>
      <c r="G641" s="14">
        <f t="shared" si="39"/>
        <v>-3.0714285714285712</v>
      </c>
      <c r="H641" s="27">
        <v>0</v>
      </c>
      <c r="I641" s="21">
        <v>1</v>
      </c>
      <c r="J641" s="21">
        <v>21520</v>
      </c>
      <c r="K641" s="21">
        <v>0</v>
      </c>
      <c r="L641" s="21">
        <v>0</v>
      </c>
      <c r="M641" s="21">
        <v>1</v>
      </c>
      <c r="N641" s="21">
        <v>0</v>
      </c>
      <c r="O641" s="21">
        <v>0</v>
      </c>
      <c r="P641">
        <v>0</v>
      </c>
      <c r="Q641" s="21">
        <v>1</v>
      </c>
      <c r="R641" s="21">
        <v>0</v>
      </c>
      <c r="S641" s="21">
        <v>0</v>
      </c>
      <c r="T641" s="21">
        <v>1</v>
      </c>
      <c r="U641" s="21">
        <v>1995</v>
      </c>
      <c r="V641" s="21">
        <v>2010</v>
      </c>
      <c r="W641">
        <f t="shared" si="35"/>
        <v>2003</v>
      </c>
      <c r="X641" s="21">
        <v>1</v>
      </c>
      <c r="Y641" s="21">
        <v>0</v>
      </c>
      <c r="Z641" s="21">
        <v>1</v>
      </c>
      <c r="AA641" s="21">
        <v>0</v>
      </c>
      <c r="AB641" s="21">
        <v>0</v>
      </c>
      <c r="AC641" s="21">
        <v>0</v>
      </c>
      <c r="AD641" s="21">
        <v>0</v>
      </c>
      <c r="AE641" s="21">
        <v>0</v>
      </c>
      <c r="AF641" s="21">
        <v>0</v>
      </c>
      <c r="AG641" s="21">
        <v>0</v>
      </c>
      <c r="AH641" s="21">
        <v>1</v>
      </c>
      <c r="AI641" s="21">
        <v>1</v>
      </c>
      <c r="AJ641" s="21">
        <v>1</v>
      </c>
      <c r="AK641" s="21">
        <v>1</v>
      </c>
      <c r="AL641" s="21">
        <v>1</v>
      </c>
      <c r="AM641" s="21">
        <v>1</v>
      </c>
      <c r="AN641" s="21">
        <v>1</v>
      </c>
      <c r="AO641" s="21">
        <v>1</v>
      </c>
      <c r="AP641" s="21">
        <v>1</v>
      </c>
      <c r="AQ641" s="21">
        <v>0</v>
      </c>
      <c r="AR641" s="21">
        <v>0</v>
      </c>
      <c r="AS641" s="21">
        <v>0</v>
      </c>
      <c r="AT641" s="21">
        <v>1</v>
      </c>
      <c r="AU641" s="21">
        <v>1</v>
      </c>
      <c r="AV641" s="21">
        <v>1</v>
      </c>
      <c r="AW641" s="21">
        <v>1</v>
      </c>
      <c r="AX641" s="21">
        <v>1</v>
      </c>
      <c r="AY641" s="21">
        <v>1</v>
      </c>
      <c r="AZ641" s="21">
        <v>1</v>
      </c>
      <c r="BA641" s="21">
        <v>1</v>
      </c>
      <c r="BB641" s="21">
        <v>1</v>
      </c>
      <c r="BC641" s="21">
        <v>1</v>
      </c>
      <c r="BD641" s="21">
        <v>1</v>
      </c>
      <c r="BE641" s="21">
        <v>1</v>
      </c>
      <c r="BF641" s="21">
        <v>0</v>
      </c>
      <c r="BG641" s="21">
        <v>0</v>
      </c>
      <c r="BH641" s="21">
        <v>0</v>
      </c>
      <c r="BI641" s="21">
        <v>0</v>
      </c>
      <c r="BJ641" s="21">
        <v>0</v>
      </c>
      <c r="BK641" s="21">
        <v>0</v>
      </c>
      <c r="BL641" s="21">
        <v>0</v>
      </c>
      <c r="BM641" s="21">
        <v>0</v>
      </c>
      <c r="BN641" s="21">
        <v>0</v>
      </c>
      <c r="BO641" s="21">
        <v>0</v>
      </c>
      <c r="BP641" s="21">
        <v>0</v>
      </c>
      <c r="BQ641" s="21">
        <v>0</v>
      </c>
      <c r="BR641" s="21">
        <v>0</v>
      </c>
      <c r="BS641" s="21">
        <v>1</v>
      </c>
    </row>
    <row r="642" spans="1:71">
      <c r="A642" s="20" t="s">
        <v>5130</v>
      </c>
      <c r="B642">
        <v>39</v>
      </c>
      <c r="C642">
        <v>243</v>
      </c>
      <c r="D642" s="21">
        <v>2016</v>
      </c>
      <c r="E642" s="23">
        <v>-0.47</v>
      </c>
      <c r="F642" s="23">
        <v>0.06</v>
      </c>
      <c r="G642" s="14">
        <f t="shared" si="39"/>
        <v>-7.833333333333333</v>
      </c>
      <c r="H642" s="27">
        <v>0</v>
      </c>
      <c r="I642" s="21">
        <v>1</v>
      </c>
      <c r="J642" s="21">
        <v>17839</v>
      </c>
      <c r="K642" s="21">
        <v>0</v>
      </c>
      <c r="L642" s="21">
        <v>1</v>
      </c>
      <c r="M642" s="21">
        <v>0</v>
      </c>
      <c r="N642" s="21">
        <v>0</v>
      </c>
      <c r="O642" s="21">
        <v>0</v>
      </c>
      <c r="P642">
        <v>1</v>
      </c>
      <c r="Q642" s="21">
        <v>1</v>
      </c>
      <c r="R642" s="21">
        <v>0</v>
      </c>
      <c r="S642" s="21">
        <v>0</v>
      </c>
      <c r="T642" s="21">
        <v>1</v>
      </c>
      <c r="U642" s="21">
        <v>1995</v>
      </c>
      <c r="V642" s="21">
        <v>2010</v>
      </c>
      <c r="W642">
        <f t="shared" ref="W642:W661" si="40">ROUND(AVERAGE(U642:V642), 0)</f>
        <v>2003</v>
      </c>
      <c r="X642" s="21">
        <v>1</v>
      </c>
      <c r="Y642" s="21">
        <v>0</v>
      </c>
      <c r="Z642" s="21">
        <v>1</v>
      </c>
      <c r="AA642" s="21">
        <v>0</v>
      </c>
      <c r="AB642" s="21">
        <v>0</v>
      </c>
      <c r="AC642" s="21">
        <v>0</v>
      </c>
      <c r="AD642" s="21">
        <v>0</v>
      </c>
      <c r="AE642" s="21">
        <v>0</v>
      </c>
      <c r="AF642" s="21">
        <v>1</v>
      </c>
      <c r="AG642" s="21">
        <v>1</v>
      </c>
      <c r="AH642" s="21">
        <v>1</v>
      </c>
      <c r="AI642" s="21">
        <v>1</v>
      </c>
      <c r="AJ642" s="21">
        <v>1</v>
      </c>
      <c r="AK642" s="21">
        <v>1</v>
      </c>
      <c r="AL642" s="21">
        <v>1</v>
      </c>
      <c r="AM642" s="21">
        <v>1</v>
      </c>
      <c r="AN642" s="21">
        <v>1</v>
      </c>
      <c r="AO642" s="21">
        <v>1</v>
      </c>
      <c r="AP642" s="21">
        <v>1</v>
      </c>
      <c r="AQ642" s="21">
        <v>0</v>
      </c>
      <c r="AR642" s="21">
        <v>1</v>
      </c>
      <c r="AS642" s="21">
        <v>1</v>
      </c>
      <c r="AT642" s="21">
        <v>1</v>
      </c>
      <c r="AU642" s="21">
        <v>1</v>
      </c>
      <c r="AV642" s="21">
        <v>1</v>
      </c>
      <c r="AW642" s="21">
        <v>1</v>
      </c>
      <c r="AX642" s="21">
        <v>1</v>
      </c>
      <c r="AY642" s="21">
        <v>1</v>
      </c>
      <c r="AZ642" s="21">
        <v>1</v>
      </c>
      <c r="BA642" s="21">
        <v>1</v>
      </c>
      <c r="BB642" s="21">
        <v>1</v>
      </c>
      <c r="BC642" s="21">
        <v>1</v>
      </c>
      <c r="BD642" s="21">
        <v>1</v>
      </c>
      <c r="BE642" s="21">
        <v>1</v>
      </c>
      <c r="BF642" s="21">
        <v>0</v>
      </c>
      <c r="BG642" s="21">
        <v>1</v>
      </c>
      <c r="BH642" s="21">
        <v>0</v>
      </c>
      <c r="BI642" s="21">
        <v>0</v>
      </c>
      <c r="BJ642" s="21">
        <v>0</v>
      </c>
      <c r="BK642" s="21">
        <v>0</v>
      </c>
      <c r="BL642" s="21">
        <v>0</v>
      </c>
      <c r="BM642" s="21">
        <v>0</v>
      </c>
      <c r="BN642" s="21">
        <v>1</v>
      </c>
      <c r="BO642" s="21">
        <v>0</v>
      </c>
      <c r="BP642" s="21">
        <v>0</v>
      </c>
      <c r="BQ642" s="21">
        <v>0</v>
      </c>
      <c r="BR642" s="21">
        <v>0</v>
      </c>
      <c r="BS642" s="21">
        <v>1</v>
      </c>
    </row>
    <row r="643" spans="1:71">
      <c r="A643" s="18" t="s">
        <v>5130</v>
      </c>
      <c r="B643">
        <v>39</v>
      </c>
      <c r="C643">
        <v>244</v>
      </c>
      <c r="D643" s="21">
        <v>2016</v>
      </c>
      <c r="E643" s="23">
        <v>0.05</v>
      </c>
      <c r="F643" s="23">
        <v>0.15</v>
      </c>
      <c r="G643" s="14">
        <f t="shared" si="39"/>
        <v>0.33333333333333337</v>
      </c>
      <c r="H643" s="27">
        <v>0</v>
      </c>
      <c r="I643" s="21">
        <v>1</v>
      </c>
      <c r="J643" s="21">
        <v>5248</v>
      </c>
      <c r="K643" s="21">
        <v>0</v>
      </c>
      <c r="L643" s="21">
        <v>0</v>
      </c>
      <c r="M643" s="21">
        <v>1</v>
      </c>
      <c r="N643" s="21">
        <v>0</v>
      </c>
      <c r="O643" s="21">
        <v>0</v>
      </c>
      <c r="P643">
        <v>0</v>
      </c>
      <c r="Q643" s="21">
        <v>1</v>
      </c>
      <c r="R643" s="21">
        <v>0</v>
      </c>
      <c r="S643" s="21">
        <v>0</v>
      </c>
      <c r="T643" s="21">
        <v>1</v>
      </c>
      <c r="U643" s="21">
        <v>1995</v>
      </c>
      <c r="V643" s="21">
        <v>2010</v>
      </c>
      <c r="W643">
        <f t="shared" si="40"/>
        <v>2003</v>
      </c>
      <c r="X643" s="21">
        <v>1</v>
      </c>
      <c r="Y643" s="21">
        <v>0</v>
      </c>
      <c r="Z643" s="21">
        <v>1</v>
      </c>
      <c r="AA643" s="21">
        <v>0</v>
      </c>
      <c r="AB643" s="21">
        <v>0</v>
      </c>
      <c r="AC643" s="21">
        <v>0</v>
      </c>
      <c r="AD643" s="21">
        <v>0</v>
      </c>
      <c r="AE643" s="21">
        <v>0</v>
      </c>
      <c r="AF643" s="21">
        <v>1</v>
      </c>
      <c r="AG643" s="21">
        <v>1</v>
      </c>
      <c r="AH643" s="21">
        <v>1</v>
      </c>
      <c r="AI643" s="21">
        <v>1</v>
      </c>
      <c r="AJ643" s="21">
        <v>1</v>
      </c>
      <c r="AK643" s="21">
        <v>1</v>
      </c>
      <c r="AL643" s="21">
        <v>1</v>
      </c>
      <c r="AM643" s="21">
        <v>1</v>
      </c>
      <c r="AN643" s="21">
        <v>1</v>
      </c>
      <c r="AO643" s="21">
        <v>1</v>
      </c>
      <c r="AP643" s="21">
        <v>1</v>
      </c>
      <c r="AQ643" s="21">
        <v>0</v>
      </c>
      <c r="AR643" s="21">
        <v>1</v>
      </c>
      <c r="AS643" s="21">
        <v>1</v>
      </c>
      <c r="AT643" s="21">
        <v>1</v>
      </c>
      <c r="AU643" s="21">
        <v>1</v>
      </c>
      <c r="AV643" s="21">
        <v>1</v>
      </c>
      <c r="AW643" s="21">
        <v>1</v>
      </c>
      <c r="AX643" s="21">
        <v>1</v>
      </c>
      <c r="AY643" s="21">
        <v>1</v>
      </c>
      <c r="AZ643" s="21">
        <v>1</v>
      </c>
      <c r="BA643" s="21">
        <v>1</v>
      </c>
      <c r="BB643" s="21">
        <v>1</v>
      </c>
      <c r="BC643" s="21">
        <v>1</v>
      </c>
      <c r="BD643" s="21">
        <v>1</v>
      </c>
      <c r="BE643" s="21">
        <v>1</v>
      </c>
      <c r="BF643" s="21">
        <v>0</v>
      </c>
      <c r="BG643" s="21">
        <v>1</v>
      </c>
      <c r="BH643" s="21">
        <v>0</v>
      </c>
      <c r="BI643" s="21">
        <v>0</v>
      </c>
      <c r="BJ643" s="21">
        <v>0</v>
      </c>
      <c r="BK643" s="21">
        <v>0</v>
      </c>
      <c r="BL643" s="21">
        <v>0</v>
      </c>
      <c r="BM643" s="21">
        <v>0</v>
      </c>
      <c r="BN643" s="21">
        <v>1</v>
      </c>
      <c r="BO643" s="21">
        <v>0</v>
      </c>
      <c r="BP643" s="21">
        <v>0</v>
      </c>
      <c r="BQ643" s="21">
        <v>0</v>
      </c>
      <c r="BR643" s="21">
        <v>0</v>
      </c>
      <c r="BS643" s="21">
        <v>1</v>
      </c>
    </row>
    <row r="644" spans="1:71">
      <c r="A644" s="18" t="s">
        <v>5130</v>
      </c>
      <c r="B644">
        <v>39</v>
      </c>
      <c r="C644">
        <v>245</v>
      </c>
      <c r="D644" s="21">
        <v>2016</v>
      </c>
      <c r="E644" s="23">
        <v>-0.48</v>
      </c>
      <c r="F644" s="23">
        <v>0.17</v>
      </c>
      <c r="G644" s="14">
        <f t="shared" si="39"/>
        <v>-2.8235294117647056</v>
      </c>
      <c r="H644" s="27">
        <v>0</v>
      </c>
      <c r="I644" s="21">
        <v>1</v>
      </c>
      <c r="J644" s="21">
        <v>6992</v>
      </c>
      <c r="K644" s="21">
        <v>0</v>
      </c>
      <c r="L644" s="21">
        <v>0</v>
      </c>
      <c r="M644" s="21">
        <v>1</v>
      </c>
      <c r="N644" s="21">
        <v>0</v>
      </c>
      <c r="O644" s="21">
        <v>0</v>
      </c>
      <c r="P644">
        <v>0</v>
      </c>
      <c r="Q644" s="21">
        <v>1</v>
      </c>
      <c r="R644" s="21">
        <v>0</v>
      </c>
      <c r="S644" s="21">
        <v>0</v>
      </c>
      <c r="T644" s="21">
        <v>1</v>
      </c>
      <c r="U644" s="21">
        <v>1995</v>
      </c>
      <c r="V644" s="21">
        <v>2010</v>
      </c>
      <c r="W644">
        <f t="shared" si="40"/>
        <v>2003</v>
      </c>
      <c r="X644" s="21">
        <v>1</v>
      </c>
      <c r="Y644" s="21">
        <v>0</v>
      </c>
      <c r="Z644" s="21">
        <v>1</v>
      </c>
      <c r="AA644" s="21">
        <v>0</v>
      </c>
      <c r="AB644" s="21">
        <v>0</v>
      </c>
      <c r="AC644" s="21">
        <v>0</v>
      </c>
      <c r="AD644" s="21">
        <v>0</v>
      </c>
      <c r="AE644" s="21">
        <v>0</v>
      </c>
      <c r="AF644" s="21">
        <v>0</v>
      </c>
      <c r="AG644" s="21">
        <v>0</v>
      </c>
      <c r="AH644" s="21">
        <v>1</v>
      </c>
      <c r="AI644" s="21">
        <v>1</v>
      </c>
      <c r="AJ644" s="21">
        <v>1</v>
      </c>
      <c r="AK644" s="21">
        <v>1</v>
      </c>
      <c r="AL644" s="21">
        <v>1</v>
      </c>
      <c r="AM644" s="21">
        <v>1</v>
      </c>
      <c r="AN644" s="21">
        <v>1</v>
      </c>
      <c r="AO644" s="21">
        <v>1</v>
      </c>
      <c r="AP644" s="21">
        <v>1</v>
      </c>
      <c r="AQ644" s="21">
        <v>0</v>
      </c>
      <c r="AR644" s="21">
        <v>0</v>
      </c>
      <c r="AS644" s="21">
        <v>0</v>
      </c>
      <c r="AT644" s="21">
        <v>1</v>
      </c>
      <c r="AU644" s="21">
        <v>1</v>
      </c>
      <c r="AV644" s="21">
        <v>1</v>
      </c>
      <c r="AW644" s="21">
        <v>1</v>
      </c>
      <c r="AX644" s="21">
        <v>1</v>
      </c>
      <c r="AY644" s="21">
        <v>1</v>
      </c>
      <c r="AZ644" s="21">
        <v>1</v>
      </c>
      <c r="BA644" s="21">
        <v>1</v>
      </c>
      <c r="BB644" s="21">
        <v>1</v>
      </c>
      <c r="BC644" s="21">
        <v>1</v>
      </c>
      <c r="BD644" s="21">
        <v>1</v>
      </c>
      <c r="BE644" s="21">
        <v>1</v>
      </c>
      <c r="BF644" s="21">
        <v>0</v>
      </c>
      <c r="BG644" s="21">
        <v>0</v>
      </c>
      <c r="BH644" s="21">
        <v>0</v>
      </c>
      <c r="BI644" s="21">
        <v>0</v>
      </c>
      <c r="BJ644" s="21">
        <v>0</v>
      </c>
      <c r="BK644" s="21">
        <v>0</v>
      </c>
      <c r="BL644" s="21">
        <v>0</v>
      </c>
      <c r="BM644" s="21">
        <v>0</v>
      </c>
      <c r="BN644" s="21">
        <v>0</v>
      </c>
      <c r="BO644" s="21">
        <v>0</v>
      </c>
      <c r="BP644" s="21">
        <v>0</v>
      </c>
      <c r="BQ644" s="21">
        <v>0</v>
      </c>
      <c r="BR644" s="21">
        <v>0</v>
      </c>
      <c r="BS644" s="21">
        <v>1</v>
      </c>
    </row>
    <row r="645" spans="1:71">
      <c r="A645" s="18" t="s">
        <v>5130</v>
      </c>
      <c r="B645">
        <v>39</v>
      </c>
      <c r="C645">
        <v>246</v>
      </c>
      <c r="D645" s="21">
        <v>2016</v>
      </c>
      <c r="E645" s="23">
        <v>0.06</v>
      </c>
      <c r="F645" s="23">
        <v>0.15</v>
      </c>
      <c r="G645" s="14">
        <f t="shared" si="39"/>
        <v>0.4</v>
      </c>
      <c r="H645" s="27">
        <v>0</v>
      </c>
      <c r="I645" s="21">
        <v>1</v>
      </c>
      <c r="J645" s="21">
        <v>5248</v>
      </c>
      <c r="K645" s="21">
        <v>0</v>
      </c>
      <c r="L645" s="21">
        <v>0</v>
      </c>
      <c r="M645" s="21">
        <v>1</v>
      </c>
      <c r="N645" s="21">
        <v>0</v>
      </c>
      <c r="O645" s="21">
        <v>0</v>
      </c>
      <c r="P645">
        <v>0</v>
      </c>
      <c r="Q645" s="21">
        <v>1</v>
      </c>
      <c r="R645" s="21">
        <v>0</v>
      </c>
      <c r="S645" s="21">
        <v>0</v>
      </c>
      <c r="T645" s="21">
        <v>1</v>
      </c>
      <c r="U645" s="21">
        <v>1995</v>
      </c>
      <c r="V645" s="21">
        <v>2010</v>
      </c>
      <c r="W645">
        <f t="shared" si="40"/>
        <v>2003</v>
      </c>
      <c r="X645" s="21">
        <v>1</v>
      </c>
      <c r="Y645" s="21">
        <v>0</v>
      </c>
      <c r="Z645" s="21">
        <v>1</v>
      </c>
      <c r="AA645" s="21">
        <v>0</v>
      </c>
      <c r="AB645" s="21">
        <v>0</v>
      </c>
      <c r="AC645" s="21">
        <v>0</v>
      </c>
      <c r="AD645" s="21">
        <v>0</v>
      </c>
      <c r="AE645" s="21">
        <v>0</v>
      </c>
      <c r="AF645" s="21">
        <v>1</v>
      </c>
      <c r="AG645" s="21">
        <v>1</v>
      </c>
      <c r="AH645" s="21">
        <v>1</v>
      </c>
      <c r="AI645" s="21">
        <v>1</v>
      </c>
      <c r="AJ645" s="21">
        <v>1</v>
      </c>
      <c r="AK645" s="21">
        <v>1</v>
      </c>
      <c r="AL645" s="21">
        <v>1</v>
      </c>
      <c r="AM645" s="21">
        <v>1</v>
      </c>
      <c r="AN645" s="21">
        <v>1</v>
      </c>
      <c r="AO645" s="21">
        <v>1</v>
      </c>
      <c r="AP645" s="21">
        <v>1</v>
      </c>
      <c r="AQ645" s="21">
        <v>0</v>
      </c>
      <c r="AR645" s="21">
        <v>1</v>
      </c>
      <c r="AS645" s="21">
        <v>1</v>
      </c>
      <c r="AT645" s="21">
        <v>1</v>
      </c>
      <c r="AU645" s="21">
        <v>1</v>
      </c>
      <c r="AV645" s="21">
        <v>1</v>
      </c>
      <c r="AW645" s="21">
        <v>1</v>
      </c>
      <c r="AX645" s="21">
        <v>1</v>
      </c>
      <c r="AY645" s="21">
        <v>1</v>
      </c>
      <c r="AZ645" s="21">
        <v>1</v>
      </c>
      <c r="BA645" s="21">
        <v>1</v>
      </c>
      <c r="BB645" s="21">
        <v>1</v>
      </c>
      <c r="BC645" s="21">
        <v>1</v>
      </c>
      <c r="BD645" s="21">
        <v>1</v>
      </c>
      <c r="BE645" s="21">
        <v>1</v>
      </c>
      <c r="BF645" s="21">
        <v>0</v>
      </c>
      <c r="BG645" s="21">
        <v>1</v>
      </c>
      <c r="BH645" s="21">
        <v>0</v>
      </c>
      <c r="BI645" s="21">
        <v>0</v>
      </c>
      <c r="BJ645" s="21">
        <v>0</v>
      </c>
      <c r="BK645" s="21">
        <v>0</v>
      </c>
      <c r="BL645" s="21">
        <v>0</v>
      </c>
      <c r="BM645" s="21">
        <v>0</v>
      </c>
      <c r="BN645" s="21">
        <v>1</v>
      </c>
      <c r="BO645" s="21">
        <v>0</v>
      </c>
      <c r="BP645" s="21">
        <v>0</v>
      </c>
      <c r="BQ645" s="21">
        <v>0</v>
      </c>
      <c r="BR645" s="21">
        <v>0</v>
      </c>
      <c r="BS645" s="21">
        <v>1</v>
      </c>
    </row>
    <row r="646" spans="1:71">
      <c r="A646" s="18" t="s">
        <v>5130</v>
      </c>
      <c r="B646">
        <v>39</v>
      </c>
      <c r="C646">
        <v>247</v>
      </c>
      <c r="D646" s="21">
        <v>2016</v>
      </c>
      <c r="E646" s="23">
        <v>-0.47</v>
      </c>
      <c r="F646" s="23">
        <v>0.17</v>
      </c>
      <c r="G646" s="14">
        <f t="shared" si="39"/>
        <v>-2.7647058823529407</v>
      </c>
      <c r="H646" s="27">
        <v>0</v>
      </c>
      <c r="I646" s="21">
        <v>1</v>
      </c>
      <c r="J646" s="21">
        <v>6992</v>
      </c>
      <c r="K646" s="21">
        <v>0</v>
      </c>
      <c r="L646" s="21">
        <v>0</v>
      </c>
      <c r="M646" s="21">
        <v>1</v>
      </c>
      <c r="N646" s="21">
        <v>0</v>
      </c>
      <c r="O646" s="21">
        <v>0</v>
      </c>
      <c r="P646">
        <v>0</v>
      </c>
      <c r="Q646" s="21">
        <v>1</v>
      </c>
      <c r="R646" s="21">
        <v>0</v>
      </c>
      <c r="S646" s="21">
        <v>0</v>
      </c>
      <c r="T646" s="21">
        <v>1</v>
      </c>
      <c r="U646" s="21">
        <v>1995</v>
      </c>
      <c r="V646" s="21">
        <v>2010</v>
      </c>
      <c r="W646">
        <f t="shared" si="40"/>
        <v>2003</v>
      </c>
      <c r="X646" s="21">
        <v>1</v>
      </c>
      <c r="Y646" s="21">
        <v>0</v>
      </c>
      <c r="Z646" s="21">
        <v>1</v>
      </c>
      <c r="AA646" s="21">
        <v>0</v>
      </c>
      <c r="AB646" s="21">
        <v>0</v>
      </c>
      <c r="AC646" s="21">
        <v>0</v>
      </c>
      <c r="AD646" s="21">
        <v>0</v>
      </c>
      <c r="AE646" s="21">
        <v>0</v>
      </c>
      <c r="AF646" s="21">
        <v>0</v>
      </c>
      <c r="AG646" s="21">
        <v>0</v>
      </c>
      <c r="AH646" s="21">
        <v>1</v>
      </c>
      <c r="AI646" s="21">
        <v>1</v>
      </c>
      <c r="AJ646" s="21">
        <v>1</v>
      </c>
      <c r="AK646" s="21">
        <v>1</v>
      </c>
      <c r="AL646" s="21">
        <v>1</v>
      </c>
      <c r="AM646" s="21">
        <v>1</v>
      </c>
      <c r="AN646" s="21">
        <v>1</v>
      </c>
      <c r="AO646" s="21">
        <v>1</v>
      </c>
      <c r="AP646" s="21">
        <v>1</v>
      </c>
      <c r="AQ646" s="21">
        <v>0</v>
      </c>
      <c r="AR646" s="21">
        <v>0</v>
      </c>
      <c r="AS646" s="21">
        <v>0</v>
      </c>
      <c r="AT646" s="21">
        <v>1</v>
      </c>
      <c r="AU646" s="21">
        <v>1</v>
      </c>
      <c r="AV646" s="21">
        <v>1</v>
      </c>
      <c r="AW646" s="21">
        <v>1</v>
      </c>
      <c r="AX646" s="21">
        <v>1</v>
      </c>
      <c r="AY646" s="21">
        <v>1</v>
      </c>
      <c r="AZ646" s="21">
        <v>1</v>
      </c>
      <c r="BA646" s="21">
        <v>1</v>
      </c>
      <c r="BB646" s="21">
        <v>1</v>
      </c>
      <c r="BC646" s="21">
        <v>1</v>
      </c>
      <c r="BD646" s="21">
        <v>1</v>
      </c>
      <c r="BE646" s="21">
        <v>1</v>
      </c>
      <c r="BF646" s="21">
        <v>0</v>
      </c>
      <c r="BG646" s="21">
        <v>0</v>
      </c>
      <c r="BH646" s="21">
        <v>0</v>
      </c>
      <c r="BI646" s="21">
        <v>0</v>
      </c>
      <c r="BJ646" s="21">
        <v>0</v>
      </c>
      <c r="BK646" s="21">
        <v>0</v>
      </c>
      <c r="BL646" s="21">
        <v>0</v>
      </c>
      <c r="BM646" s="21">
        <v>0</v>
      </c>
      <c r="BN646" s="21">
        <v>0</v>
      </c>
      <c r="BO646" s="21">
        <v>0</v>
      </c>
      <c r="BP646" s="21">
        <v>0</v>
      </c>
      <c r="BQ646" s="21">
        <v>0</v>
      </c>
      <c r="BR646" s="21">
        <v>0</v>
      </c>
      <c r="BS646" s="21">
        <v>1</v>
      </c>
    </row>
    <row r="647" spans="1:71">
      <c r="A647" s="18" t="s">
        <v>4807</v>
      </c>
      <c r="B647">
        <v>51</v>
      </c>
      <c r="C647">
        <v>345</v>
      </c>
      <c r="D647" s="21">
        <v>2016</v>
      </c>
      <c r="E647" s="23">
        <v>-0.2</v>
      </c>
      <c r="F647">
        <v>0.02</v>
      </c>
      <c r="G647">
        <f t="shared" si="39"/>
        <v>-10</v>
      </c>
      <c r="H647" s="27">
        <v>0</v>
      </c>
      <c r="I647" s="21">
        <v>1</v>
      </c>
      <c r="J647" s="21">
        <v>18018</v>
      </c>
      <c r="K647" s="21">
        <v>1</v>
      </c>
      <c r="L647" s="21">
        <v>0</v>
      </c>
      <c r="M647" s="21">
        <v>0</v>
      </c>
      <c r="N647" s="21">
        <v>0</v>
      </c>
      <c r="O647" s="21">
        <v>0</v>
      </c>
      <c r="P647">
        <v>0</v>
      </c>
      <c r="Q647" s="21">
        <v>0</v>
      </c>
      <c r="R647" s="21">
        <v>0</v>
      </c>
      <c r="S647" s="21">
        <v>0</v>
      </c>
      <c r="T647" s="21">
        <v>1</v>
      </c>
      <c r="U647" s="21">
        <v>1995</v>
      </c>
      <c r="V647" s="21">
        <v>2010</v>
      </c>
      <c r="W647">
        <f t="shared" si="40"/>
        <v>2003</v>
      </c>
      <c r="X647" s="21">
        <v>1</v>
      </c>
      <c r="Y647" s="21">
        <v>0</v>
      </c>
      <c r="Z647" s="21">
        <v>1</v>
      </c>
      <c r="AA647" s="21">
        <v>0</v>
      </c>
      <c r="AB647" s="21">
        <v>0</v>
      </c>
      <c r="AC647" s="21">
        <v>0</v>
      </c>
      <c r="AD647" s="21">
        <v>0</v>
      </c>
      <c r="AE647" s="21">
        <v>0</v>
      </c>
      <c r="AF647" s="21">
        <v>0</v>
      </c>
      <c r="AG647" s="21">
        <v>1</v>
      </c>
      <c r="AH647" s="21">
        <v>1</v>
      </c>
      <c r="AI647" s="21">
        <v>1</v>
      </c>
      <c r="AJ647" s="21">
        <v>1</v>
      </c>
      <c r="AK647" s="21">
        <v>1</v>
      </c>
      <c r="AL647" s="21">
        <v>1</v>
      </c>
      <c r="AM647" s="21">
        <v>1</v>
      </c>
      <c r="AN647" s="21">
        <v>1</v>
      </c>
      <c r="AO647" s="21">
        <v>1</v>
      </c>
      <c r="AP647" s="21">
        <v>0</v>
      </c>
      <c r="AQ647" s="21">
        <v>0</v>
      </c>
      <c r="AR647" s="21">
        <v>1</v>
      </c>
      <c r="AS647" s="21">
        <v>0</v>
      </c>
      <c r="AT647" s="21">
        <v>1</v>
      </c>
      <c r="AU647" s="21">
        <v>1</v>
      </c>
      <c r="AV647" s="21">
        <v>1</v>
      </c>
      <c r="AW647" s="21">
        <v>1</v>
      </c>
      <c r="AX647" s="21">
        <v>1</v>
      </c>
      <c r="AY647" s="21">
        <v>1</v>
      </c>
      <c r="AZ647" s="21">
        <v>0</v>
      </c>
      <c r="BA647" s="21">
        <v>1</v>
      </c>
      <c r="BB647" s="21">
        <v>1</v>
      </c>
      <c r="BC647" s="21">
        <v>1</v>
      </c>
      <c r="BD647" s="21">
        <v>1</v>
      </c>
      <c r="BE647" s="21">
        <v>1</v>
      </c>
      <c r="BF647" s="21">
        <v>1</v>
      </c>
      <c r="BG647" s="21">
        <v>0</v>
      </c>
      <c r="BH647" s="21">
        <v>0</v>
      </c>
      <c r="BI647" s="21">
        <v>0</v>
      </c>
      <c r="BJ647" s="21">
        <v>0</v>
      </c>
      <c r="BK647" s="21">
        <v>0</v>
      </c>
      <c r="BL647" s="21">
        <v>0</v>
      </c>
      <c r="BM647" s="21">
        <v>0</v>
      </c>
      <c r="BN647" s="21">
        <v>1</v>
      </c>
      <c r="BO647" s="21">
        <v>0</v>
      </c>
      <c r="BP647" s="21">
        <v>0</v>
      </c>
      <c r="BQ647" s="21">
        <v>1</v>
      </c>
      <c r="BR647" s="21">
        <v>0</v>
      </c>
      <c r="BS647" s="21">
        <v>0</v>
      </c>
    </row>
    <row r="648" spans="1:71">
      <c r="A648" s="18" t="s">
        <v>4807</v>
      </c>
      <c r="B648">
        <v>51</v>
      </c>
      <c r="C648">
        <v>346</v>
      </c>
      <c r="D648" s="21">
        <v>2016</v>
      </c>
      <c r="E648" s="23">
        <v>-0.39</v>
      </c>
      <c r="F648">
        <v>0.03</v>
      </c>
      <c r="G648">
        <f t="shared" si="39"/>
        <v>-13.000000000000002</v>
      </c>
      <c r="H648" s="27">
        <v>0</v>
      </c>
      <c r="I648" s="21">
        <v>1</v>
      </c>
      <c r="J648" s="21">
        <v>14545</v>
      </c>
      <c r="K648" s="21">
        <v>1</v>
      </c>
      <c r="L648" s="21">
        <v>0</v>
      </c>
      <c r="M648" s="21">
        <v>0</v>
      </c>
      <c r="N648" s="21">
        <v>0</v>
      </c>
      <c r="O648" s="21">
        <v>0</v>
      </c>
      <c r="P648">
        <v>0</v>
      </c>
      <c r="Q648" s="21">
        <v>0</v>
      </c>
      <c r="R648" s="21">
        <v>0</v>
      </c>
      <c r="S648" s="21">
        <v>0</v>
      </c>
      <c r="T648" s="21">
        <v>1</v>
      </c>
      <c r="U648" s="21">
        <v>1995</v>
      </c>
      <c r="V648" s="21">
        <v>2010</v>
      </c>
      <c r="W648">
        <f t="shared" si="40"/>
        <v>2003</v>
      </c>
      <c r="X648" s="21">
        <v>1</v>
      </c>
      <c r="Y648" s="21">
        <v>0</v>
      </c>
      <c r="Z648" s="21">
        <v>1</v>
      </c>
      <c r="AA648" s="21">
        <v>0</v>
      </c>
      <c r="AB648" s="21">
        <v>0</v>
      </c>
      <c r="AC648" s="21">
        <v>0</v>
      </c>
      <c r="AD648" s="21">
        <v>0</v>
      </c>
      <c r="AE648" s="21">
        <v>0</v>
      </c>
      <c r="AF648" s="21">
        <v>0</v>
      </c>
      <c r="AG648" s="21">
        <v>1</v>
      </c>
      <c r="AH648" s="21">
        <v>1</v>
      </c>
      <c r="AI648" s="21">
        <v>1</v>
      </c>
      <c r="AJ648" s="21">
        <v>1</v>
      </c>
      <c r="AK648" s="21">
        <v>1</v>
      </c>
      <c r="AL648" s="21">
        <v>1</v>
      </c>
      <c r="AM648" s="21">
        <v>1</v>
      </c>
      <c r="AN648" s="21">
        <v>1</v>
      </c>
      <c r="AO648" s="21">
        <v>1</v>
      </c>
      <c r="AP648" s="21">
        <v>0</v>
      </c>
      <c r="AQ648" s="21">
        <v>0</v>
      </c>
      <c r="AR648" s="21">
        <v>1</v>
      </c>
      <c r="AS648" s="21">
        <v>0</v>
      </c>
      <c r="AT648" s="21">
        <v>1</v>
      </c>
      <c r="AU648" s="21">
        <v>1</v>
      </c>
      <c r="AV648" s="21">
        <v>1</v>
      </c>
      <c r="AW648" s="21">
        <v>1</v>
      </c>
      <c r="AX648" s="21">
        <v>1</v>
      </c>
      <c r="AY648" s="21">
        <v>1</v>
      </c>
      <c r="AZ648" s="21">
        <v>0</v>
      </c>
      <c r="BA648" s="21">
        <v>1</v>
      </c>
      <c r="BB648" s="21">
        <v>1</v>
      </c>
      <c r="BC648" s="21">
        <v>1</v>
      </c>
      <c r="BD648" s="21">
        <v>1</v>
      </c>
      <c r="BE648" s="21">
        <v>1</v>
      </c>
      <c r="BF648" s="21">
        <v>1</v>
      </c>
      <c r="BG648" s="21">
        <v>0</v>
      </c>
      <c r="BH648" s="21">
        <v>0</v>
      </c>
      <c r="BI648" s="21">
        <v>0</v>
      </c>
      <c r="BJ648" s="21">
        <v>0</v>
      </c>
      <c r="BK648" s="21">
        <v>0</v>
      </c>
      <c r="BL648" s="21">
        <v>0</v>
      </c>
      <c r="BM648" s="21">
        <v>0</v>
      </c>
      <c r="BN648" s="21">
        <v>1</v>
      </c>
      <c r="BO648" s="21">
        <v>0</v>
      </c>
      <c r="BP648" s="21">
        <v>1</v>
      </c>
      <c r="BQ648" s="21">
        <v>1</v>
      </c>
      <c r="BR648" s="21">
        <v>0</v>
      </c>
      <c r="BS648" s="21">
        <v>0</v>
      </c>
    </row>
    <row r="649" spans="1:71">
      <c r="A649" s="18" t="s">
        <v>4807</v>
      </c>
      <c r="B649">
        <v>51</v>
      </c>
      <c r="C649">
        <v>347</v>
      </c>
      <c r="D649" s="21">
        <v>2016</v>
      </c>
      <c r="E649" s="23">
        <v>-0.21</v>
      </c>
      <c r="F649">
        <v>0.02</v>
      </c>
      <c r="G649">
        <f t="shared" si="39"/>
        <v>-10.5</v>
      </c>
      <c r="H649" s="27">
        <v>0</v>
      </c>
      <c r="I649" s="21">
        <v>1</v>
      </c>
      <c r="J649" s="21">
        <v>17948</v>
      </c>
      <c r="K649" s="21">
        <v>1</v>
      </c>
      <c r="L649" s="21">
        <v>0</v>
      </c>
      <c r="M649" s="21">
        <v>0</v>
      </c>
      <c r="N649" s="21">
        <v>0</v>
      </c>
      <c r="O649" s="21">
        <v>0</v>
      </c>
      <c r="P649">
        <v>0</v>
      </c>
      <c r="Q649" s="21">
        <v>0</v>
      </c>
      <c r="R649" s="21">
        <v>0</v>
      </c>
      <c r="S649" s="21">
        <v>0</v>
      </c>
      <c r="T649" s="21">
        <v>1</v>
      </c>
      <c r="U649" s="21">
        <v>1995</v>
      </c>
      <c r="V649" s="21">
        <v>2010</v>
      </c>
      <c r="W649">
        <f t="shared" si="40"/>
        <v>2003</v>
      </c>
      <c r="X649" s="21">
        <v>1</v>
      </c>
      <c r="Y649" s="21">
        <v>0</v>
      </c>
      <c r="Z649" s="21">
        <v>1</v>
      </c>
      <c r="AA649" s="21">
        <v>0</v>
      </c>
      <c r="AB649" s="21">
        <v>0</v>
      </c>
      <c r="AC649" s="21">
        <v>0</v>
      </c>
      <c r="AD649" s="21">
        <v>0</v>
      </c>
      <c r="AE649" s="21">
        <v>0</v>
      </c>
      <c r="AF649" s="21">
        <v>0</v>
      </c>
      <c r="AG649" s="21">
        <v>1</v>
      </c>
      <c r="AH649" s="21">
        <v>1</v>
      </c>
      <c r="AI649" s="21">
        <v>1</v>
      </c>
      <c r="AJ649" s="21">
        <v>1</v>
      </c>
      <c r="AK649" s="21">
        <v>1</v>
      </c>
      <c r="AL649" s="21">
        <v>1</v>
      </c>
      <c r="AM649" s="21">
        <v>1</v>
      </c>
      <c r="AN649" s="21">
        <v>1</v>
      </c>
      <c r="AO649" s="21">
        <v>1</v>
      </c>
      <c r="AP649" s="21">
        <v>0</v>
      </c>
      <c r="AQ649" s="21">
        <v>0</v>
      </c>
      <c r="AR649" s="21">
        <v>1</v>
      </c>
      <c r="AS649" s="21">
        <v>0</v>
      </c>
      <c r="AT649" s="21">
        <v>1</v>
      </c>
      <c r="AU649" s="21">
        <v>1</v>
      </c>
      <c r="AV649" s="21">
        <v>1</v>
      </c>
      <c r="AW649" s="21">
        <v>1</v>
      </c>
      <c r="AX649" s="21">
        <v>1</v>
      </c>
      <c r="AY649" s="21">
        <v>1</v>
      </c>
      <c r="AZ649" s="21">
        <v>0</v>
      </c>
      <c r="BA649" s="21">
        <v>1</v>
      </c>
      <c r="BB649" s="21">
        <v>1</v>
      </c>
      <c r="BC649" s="21">
        <v>1</v>
      </c>
      <c r="BD649" s="21">
        <v>1</v>
      </c>
      <c r="BE649" s="21">
        <v>1</v>
      </c>
      <c r="BF649" s="21">
        <v>1</v>
      </c>
      <c r="BG649" s="21">
        <v>0</v>
      </c>
      <c r="BH649" s="21">
        <v>0</v>
      </c>
      <c r="BI649" s="21">
        <v>0</v>
      </c>
      <c r="BJ649" s="21">
        <v>0</v>
      </c>
      <c r="BK649" s="21">
        <v>1</v>
      </c>
      <c r="BL649" s="21">
        <v>0</v>
      </c>
      <c r="BM649" s="21">
        <v>0</v>
      </c>
      <c r="BN649" s="21">
        <v>1</v>
      </c>
      <c r="BO649" s="21">
        <v>0</v>
      </c>
      <c r="BP649" s="21">
        <v>0</v>
      </c>
      <c r="BQ649" s="21">
        <v>1</v>
      </c>
      <c r="BR649" s="21">
        <v>0</v>
      </c>
      <c r="BS649" s="21">
        <v>0</v>
      </c>
    </row>
    <row r="650" spans="1:71">
      <c r="A650" s="20" t="s">
        <v>4807</v>
      </c>
      <c r="B650">
        <v>51</v>
      </c>
      <c r="C650">
        <v>348</v>
      </c>
      <c r="D650" s="21">
        <v>2016</v>
      </c>
      <c r="E650" s="23">
        <v>-0.27</v>
      </c>
      <c r="F650">
        <v>0.03</v>
      </c>
      <c r="G650">
        <f t="shared" si="39"/>
        <v>-9.0000000000000018</v>
      </c>
      <c r="H650" s="27">
        <v>0</v>
      </c>
      <c r="I650" s="21">
        <v>1</v>
      </c>
      <c r="J650" s="21">
        <v>17777</v>
      </c>
      <c r="K650" s="21">
        <v>1</v>
      </c>
      <c r="L650" s="21">
        <v>0</v>
      </c>
      <c r="M650" s="21">
        <v>0</v>
      </c>
      <c r="N650" s="21">
        <v>0</v>
      </c>
      <c r="O650" s="21">
        <v>0</v>
      </c>
      <c r="P650">
        <v>0</v>
      </c>
      <c r="Q650" s="21">
        <v>0</v>
      </c>
      <c r="R650" s="21">
        <v>0</v>
      </c>
      <c r="S650" s="21">
        <v>0</v>
      </c>
      <c r="T650" s="21">
        <v>1</v>
      </c>
      <c r="U650" s="21">
        <v>1995</v>
      </c>
      <c r="V650" s="21">
        <v>2010</v>
      </c>
      <c r="W650">
        <f t="shared" si="40"/>
        <v>2003</v>
      </c>
      <c r="X650" s="21">
        <v>1</v>
      </c>
      <c r="Y650" s="21">
        <v>0</v>
      </c>
      <c r="Z650" s="21">
        <v>1</v>
      </c>
      <c r="AA650" s="21">
        <v>0</v>
      </c>
      <c r="AB650" s="21">
        <v>0</v>
      </c>
      <c r="AC650" s="21">
        <v>0</v>
      </c>
      <c r="AD650" s="21">
        <v>0</v>
      </c>
      <c r="AE650" s="21">
        <v>0</v>
      </c>
      <c r="AF650" s="21">
        <v>0</v>
      </c>
      <c r="AG650" s="21">
        <v>1</v>
      </c>
      <c r="AH650" s="21">
        <v>1</v>
      </c>
      <c r="AI650" s="21">
        <v>1</v>
      </c>
      <c r="AJ650" s="21">
        <v>1</v>
      </c>
      <c r="AK650" s="21">
        <v>1</v>
      </c>
      <c r="AL650" s="21">
        <v>1</v>
      </c>
      <c r="AM650" s="21">
        <v>1</v>
      </c>
      <c r="AN650" s="21">
        <v>1</v>
      </c>
      <c r="AO650" s="21">
        <v>1</v>
      </c>
      <c r="AP650" s="21">
        <v>0</v>
      </c>
      <c r="AQ650" s="21">
        <v>0</v>
      </c>
      <c r="AR650" s="21">
        <v>1</v>
      </c>
      <c r="AS650" s="21">
        <v>0</v>
      </c>
      <c r="AT650" s="21">
        <v>1</v>
      </c>
      <c r="AU650" s="21">
        <v>1</v>
      </c>
      <c r="AV650" s="21">
        <v>1</v>
      </c>
      <c r="AW650" s="21">
        <v>1</v>
      </c>
      <c r="AX650" s="21">
        <v>1</v>
      </c>
      <c r="AY650" s="21">
        <v>1</v>
      </c>
      <c r="AZ650" s="21">
        <v>0</v>
      </c>
      <c r="BA650" s="21">
        <v>1</v>
      </c>
      <c r="BB650" s="21">
        <v>1</v>
      </c>
      <c r="BC650" s="21">
        <v>1</v>
      </c>
      <c r="BD650" s="21">
        <v>1</v>
      </c>
      <c r="BE650" s="21">
        <v>1</v>
      </c>
      <c r="BF650" s="21">
        <v>1</v>
      </c>
      <c r="BG650" s="21">
        <v>0</v>
      </c>
      <c r="BH650" s="21">
        <v>0</v>
      </c>
      <c r="BI650" s="21">
        <v>0</v>
      </c>
      <c r="BJ650" s="21">
        <v>0</v>
      </c>
      <c r="BK650" s="21">
        <v>1</v>
      </c>
      <c r="BL650" s="21">
        <v>0</v>
      </c>
      <c r="BM650" s="21">
        <v>0</v>
      </c>
      <c r="BN650" s="21">
        <v>1</v>
      </c>
      <c r="BO650" s="21">
        <v>0</v>
      </c>
      <c r="BP650" s="21">
        <v>0</v>
      </c>
      <c r="BQ650" s="21">
        <v>1</v>
      </c>
      <c r="BR650" s="21">
        <v>0</v>
      </c>
      <c r="BS650" s="21">
        <v>0</v>
      </c>
    </row>
    <row r="651" spans="1:71">
      <c r="A651" s="20" t="s">
        <v>4807</v>
      </c>
      <c r="B651">
        <v>51</v>
      </c>
      <c r="C651">
        <v>349</v>
      </c>
      <c r="D651" s="21">
        <v>2016</v>
      </c>
      <c r="E651" s="23">
        <v>-0.23</v>
      </c>
      <c r="F651">
        <v>0.02</v>
      </c>
      <c r="G651">
        <f t="shared" si="39"/>
        <v>-11.5</v>
      </c>
      <c r="H651" s="27">
        <v>0</v>
      </c>
      <c r="I651" s="21">
        <v>1</v>
      </c>
      <c r="J651" s="21">
        <v>17777</v>
      </c>
      <c r="K651" s="21">
        <v>1</v>
      </c>
      <c r="L651" s="21">
        <v>0</v>
      </c>
      <c r="M651" s="21">
        <v>0</v>
      </c>
      <c r="N651" s="21">
        <v>0</v>
      </c>
      <c r="O651" s="21">
        <v>0</v>
      </c>
      <c r="P651">
        <v>0</v>
      </c>
      <c r="Q651" s="21">
        <v>0</v>
      </c>
      <c r="R651" s="21">
        <v>0</v>
      </c>
      <c r="S651" s="21">
        <v>0</v>
      </c>
      <c r="T651" s="21">
        <v>1</v>
      </c>
      <c r="U651" s="21">
        <v>1995</v>
      </c>
      <c r="V651" s="21">
        <v>2010</v>
      </c>
      <c r="W651">
        <f t="shared" si="40"/>
        <v>2003</v>
      </c>
      <c r="X651" s="21">
        <v>1</v>
      </c>
      <c r="Y651" s="21">
        <v>0</v>
      </c>
      <c r="Z651" s="21">
        <v>1</v>
      </c>
      <c r="AA651" s="21">
        <v>0</v>
      </c>
      <c r="AB651" s="21">
        <v>0</v>
      </c>
      <c r="AC651" s="21">
        <v>0</v>
      </c>
      <c r="AD651" s="21">
        <v>0</v>
      </c>
      <c r="AE651" s="21">
        <v>0</v>
      </c>
      <c r="AF651" s="21">
        <v>0</v>
      </c>
      <c r="AG651" s="21">
        <v>1</v>
      </c>
      <c r="AH651" s="21">
        <v>1</v>
      </c>
      <c r="AI651" s="21">
        <v>1</v>
      </c>
      <c r="AJ651" s="21">
        <v>1</v>
      </c>
      <c r="AK651" s="21">
        <v>1</v>
      </c>
      <c r="AL651" s="21">
        <v>1</v>
      </c>
      <c r="AM651" s="21">
        <v>1</v>
      </c>
      <c r="AN651" s="21">
        <v>1</v>
      </c>
      <c r="AO651" s="21">
        <v>1</v>
      </c>
      <c r="AP651" s="21">
        <v>0</v>
      </c>
      <c r="AQ651" s="21">
        <v>0</v>
      </c>
      <c r="AR651" s="21">
        <v>1</v>
      </c>
      <c r="AS651" s="21">
        <v>0</v>
      </c>
      <c r="AT651" s="21">
        <v>1</v>
      </c>
      <c r="AU651" s="21">
        <v>1</v>
      </c>
      <c r="AV651" s="21">
        <v>1</v>
      </c>
      <c r="AW651" s="21">
        <v>1</v>
      </c>
      <c r="AX651" s="21">
        <v>1</v>
      </c>
      <c r="AY651" s="21">
        <v>1</v>
      </c>
      <c r="AZ651" s="21">
        <v>0</v>
      </c>
      <c r="BA651" s="21">
        <v>1</v>
      </c>
      <c r="BB651" s="21">
        <v>1</v>
      </c>
      <c r="BC651" s="21">
        <v>1</v>
      </c>
      <c r="BD651" s="21">
        <v>1</v>
      </c>
      <c r="BE651" s="21">
        <v>1</v>
      </c>
      <c r="BF651" s="21">
        <v>1</v>
      </c>
      <c r="BG651" s="21">
        <v>0</v>
      </c>
      <c r="BH651" s="21">
        <v>0</v>
      </c>
      <c r="BI651" s="21">
        <v>0</v>
      </c>
      <c r="BJ651" s="21">
        <v>0</v>
      </c>
      <c r="BK651" s="21">
        <v>1</v>
      </c>
      <c r="BL651" s="21">
        <v>0</v>
      </c>
      <c r="BM651" s="21">
        <v>0</v>
      </c>
      <c r="BN651" s="21">
        <v>1</v>
      </c>
      <c r="BO651" s="21">
        <v>0</v>
      </c>
      <c r="BP651" s="21">
        <v>0</v>
      </c>
      <c r="BQ651" s="21">
        <v>1</v>
      </c>
      <c r="BR651" s="21">
        <v>0</v>
      </c>
      <c r="BS651" s="21">
        <v>0</v>
      </c>
    </row>
    <row r="652" spans="1:71">
      <c r="A652" s="20" t="s">
        <v>4807</v>
      </c>
      <c r="B652">
        <v>51</v>
      </c>
      <c r="C652">
        <v>350</v>
      </c>
      <c r="D652" s="21">
        <v>2016</v>
      </c>
      <c r="E652" s="23">
        <v>-0.19</v>
      </c>
      <c r="F652">
        <v>0.02</v>
      </c>
      <c r="G652">
        <f t="shared" si="39"/>
        <v>-9.5</v>
      </c>
      <c r="H652" s="27">
        <v>0</v>
      </c>
      <c r="I652" s="21">
        <v>1</v>
      </c>
      <c r="J652" s="21">
        <v>13910</v>
      </c>
      <c r="K652" s="21">
        <v>1</v>
      </c>
      <c r="L652" s="21">
        <v>0</v>
      </c>
      <c r="M652" s="21">
        <v>0</v>
      </c>
      <c r="N652" s="21">
        <v>0</v>
      </c>
      <c r="O652" s="21">
        <v>0</v>
      </c>
      <c r="P652">
        <v>0</v>
      </c>
      <c r="Q652" s="21">
        <v>0</v>
      </c>
      <c r="R652" s="21">
        <v>0</v>
      </c>
      <c r="S652" s="21">
        <v>0</v>
      </c>
      <c r="T652" s="21">
        <v>1</v>
      </c>
      <c r="U652" s="21">
        <v>1995</v>
      </c>
      <c r="V652" s="21">
        <v>2010</v>
      </c>
      <c r="W652">
        <f t="shared" si="40"/>
        <v>2003</v>
      </c>
      <c r="X652" s="21">
        <v>1</v>
      </c>
      <c r="Y652" s="21">
        <v>0</v>
      </c>
      <c r="Z652" s="21">
        <v>1</v>
      </c>
      <c r="AA652" s="21">
        <v>0</v>
      </c>
      <c r="AB652" s="21">
        <v>0</v>
      </c>
      <c r="AC652" s="21">
        <v>0</v>
      </c>
      <c r="AD652" s="21">
        <v>0</v>
      </c>
      <c r="AE652" s="21">
        <v>0</v>
      </c>
      <c r="AF652" s="21">
        <v>0</v>
      </c>
      <c r="AG652" s="21">
        <v>1</v>
      </c>
      <c r="AH652" s="21">
        <v>1</v>
      </c>
      <c r="AI652" s="21">
        <v>1</v>
      </c>
      <c r="AJ652" s="21">
        <v>1</v>
      </c>
      <c r="AK652" s="21">
        <v>1</v>
      </c>
      <c r="AL652" s="21">
        <v>1</v>
      </c>
      <c r="AM652" s="21">
        <v>1</v>
      </c>
      <c r="AN652" s="21">
        <v>1</v>
      </c>
      <c r="AO652" s="21">
        <v>1</v>
      </c>
      <c r="AP652" s="21">
        <v>0</v>
      </c>
      <c r="AQ652" s="21">
        <v>0</v>
      </c>
      <c r="AR652" s="21">
        <v>1</v>
      </c>
      <c r="AS652" s="21">
        <v>0</v>
      </c>
      <c r="AT652" s="21">
        <v>1</v>
      </c>
      <c r="AU652" s="21">
        <v>1</v>
      </c>
      <c r="AV652" s="21">
        <v>1</v>
      </c>
      <c r="AW652" s="21">
        <v>1</v>
      </c>
      <c r="AX652" s="21">
        <v>1</v>
      </c>
      <c r="AY652" s="21">
        <v>1</v>
      </c>
      <c r="AZ652" s="21">
        <v>0</v>
      </c>
      <c r="BA652" s="21">
        <v>1</v>
      </c>
      <c r="BB652" s="21">
        <v>1</v>
      </c>
      <c r="BC652" s="21">
        <v>1</v>
      </c>
      <c r="BD652" s="21">
        <v>1</v>
      </c>
      <c r="BE652" s="21">
        <v>1</v>
      </c>
      <c r="BF652" s="21">
        <v>1</v>
      </c>
      <c r="BG652" s="21">
        <v>0</v>
      </c>
      <c r="BH652" s="21">
        <v>0</v>
      </c>
      <c r="BI652" s="21">
        <v>0</v>
      </c>
      <c r="BJ652" s="21">
        <v>0</v>
      </c>
      <c r="BK652" s="21">
        <v>1</v>
      </c>
      <c r="BL652" s="21">
        <v>0</v>
      </c>
      <c r="BM652" s="21">
        <v>0</v>
      </c>
      <c r="BN652" s="21">
        <v>1</v>
      </c>
      <c r="BO652" s="21">
        <v>0</v>
      </c>
      <c r="BP652" s="21">
        <v>1</v>
      </c>
      <c r="BQ652" s="21">
        <v>1</v>
      </c>
      <c r="BR652" s="21">
        <v>0</v>
      </c>
      <c r="BS652" s="21">
        <v>0</v>
      </c>
    </row>
    <row r="653" spans="1:71">
      <c r="A653" s="20" t="s">
        <v>4807</v>
      </c>
      <c r="B653">
        <v>51</v>
      </c>
      <c r="C653">
        <v>351</v>
      </c>
      <c r="D653" s="21">
        <v>2016</v>
      </c>
      <c r="E653" s="23">
        <v>-0.56999999999999995</v>
      </c>
      <c r="F653">
        <v>0.09</v>
      </c>
      <c r="G653">
        <f t="shared" si="39"/>
        <v>-6.333333333333333</v>
      </c>
      <c r="H653" s="27">
        <v>0</v>
      </c>
      <c r="I653" s="21">
        <v>1</v>
      </c>
      <c r="J653" s="21">
        <v>3761</v>
      </c>
      <c r="K653" s="21">
        <v>1</v>
      </c>
      <c r="L653" s="21">
        <v>0</v>
      </c>
      <c r="M653" s="21">
        <v>0</v>
      </c>
      <c r="N653" s="21">
        <v>0</v>
      </c>
      <c r="O653" s="21">
        <v>0</v>
      </c>
      <c r="P653">
        <v>0</v>
      </c>
      <c r="Q653" s="21">
        <v>0</v>
      </c>
      <c r="R653" s="21">
        <v>0</v>
      </c>
      <c r="S653" s="21">
        <v>0</v>
      </c>
      <c r="T653" s="21">
        <v>1</v>
      </c>
      <c r="U653" s="21">
        <v>1995</v>
      </c>
      <c r="V653" s="21">
        <v>2010</v>
      </c>
      <c r="W653">
        <f t="shared" si="40"/>
        <v>2003</v>
      </c>
      <c r="X653" s="21">
        <v>1</v>
      </c>
      <c r="Y653" s="21">
        <v>0</v>
      </c>
      <c r="Z653" s="21">
        <v>1</v>
      </c>
      <c r="AA653" s="21">
        <v>0</v>
      </c>
      <c r="AB653" s="21">
        <v>0</v>
      </c>
      <c r="AC653" s="21">
        <v>0</v>
      </c>
      <c r="AD653" s="21">
        <v>0</v>
      </c>
      <c r="AE653" s="21">
        <v>0</v>
      </c>
      <c r="AF653" s="21">
        <v>0</v>
      </c>
      <c r="AG653" s="21">
        <v>0</v>
      </c>
      <c r="AH653" s="21">
        <v>0</v>
      </c>
      <c r="AI653" s="21">
        <v>0</v>
      </c>
      <c r="AJ653" s="21">
        <v>0</v>
      </c>
      <c r="AK653" s="21">
        <v>0</v>
      </c>
      <c r="AL653" s="21">
        <v>0</v>
      </c>
      <c r="AM653" s="21">
        <v>1</v>
      </c>
      <c r="AN653" s="21">
        <v>1</v>
      </c>
      <c r="AO653" s="21">
        <v>1</v>
      </c>
      <c r="AP653" s="21">
        <v>0</v>
      </c>
      <c r="AQ653" s="21">
        <v>0</v>
      </c>
      <c r="AR653" s="21">
        <v>1</v>
      </c>
      <c r="AS653" s="21">
        <v>0</v>
      </c>
      <c r="AT653" s="21">
        <v>1</v>
      </c>
      <c r="AU653" s="21">
        <v>1</v>
      </c>
      <c r="AV653" s="21">
        <v>1</v>
      </c>
      <c r="AW653" s="21">
        <v>1</v>
      </c>
      <c r="AX653" s="21">
        <v>1</v>
      </c>
      <c r="AY653" s="21">
        <v>1</v>
      </c>
      <c r="AZ653" s="21">
        <v>0</v>
      </c>
      <c r="BA653" s="21">
        <v>1</v>
      </c>
      <c r="BB653" s="21">
        <v>1</v>
      </c>
      <c r="BC653" s="21">
        <v>1</v>
      </c>
      <c r="BD653" s="21">
        <v>1</v>
      </c>
      <c r="BE653" s="21">
        <v>1</v>
      </c>
      <c r="BF653" s="21">
        <v>1</v>
      </c>
      <c r="BG653" s="21">
        <v>0</v>
      </c>
      <c r="BH653" s="21">
        <v>0</v>
      </c>
      <c r="BI653" s="21">
        <v>0</v>
      </c>
      <c r="BJ653" s="21">
        <v>0</v>
      </c>
      <c r="BK653" s="21">
        <v>1</v>
      </c>
      <c r="BL653" s="21">
        <v>0</v>
      </c>
      <c r="BM653" s="21">
        <v>0</v>
      </c>
      <c r="BN653" s="21">
        <v>1</v>
      </c>
      <c r="BO653" s="21">
        <v>0</v>
      </c>
      <c r="BP653" s="21">
        <v>1</v>
      </c>
      <c r="BQ653" s="21">
        <v>1</v>
      </c>
      <c r="BR653" s="21">
        <v>0</v>
      </c>
      <c r="BS653" s="21">
        <v>0</v>
      </c>
    </row>
    <row r="654" spans="1:71">
      <c r="A654" s="20" t="s">
        <v>4807</v>
      </c>
      <c r="B654">
        <v>51</v>
      </c>
      <c r="C654">
        <v>352</v>
      </c>
      <c r="D654" s="21">
        <v>2016</v>
      </c>
      <c r="E654" s="23">
        <v>-1.29</v>
      </c>
      <c r="F654">
        <v>7.0000000000000007E-2</v>
      </c>
      <c r="G654">
        <f t="shared" si="39"/>
        <v>-18.428571428571427</v>
      </c>
      <c r="H654" s="27">
        <v>0</v>
      </c>
      <c r="I654" s="21">
        <v>1</v>
      </c>
      <c r="J654" s="21">
        <v>3885</v>
      </c>
      <c r="K654" s="21">
        <v>1</v>
      </c>
      <c r="L654" s="21">
        <v>0</v>
      </c>
      <c r="M654" s="21">
        <v>0</v>
      </c>
      <c r="N654" s="21">
        <v>0</v>
      </c>
      <c r="O654" s="21">
        <v>0</v>
      </c>
      <c r="P654">
        <v>0</v>
      </c>
      <c r="Q654" s="21">
        <v>0</v>
      </c>
      <c r="R654" s="21">
        <v>0</v>
      </c>
      <c r="S654" s="21">
        <v>0</v>
      </c>
      <c r="T654" s="21">
        <v>1</v>
      </c>
      <c r="U654" s="21">
        <v>1995</v>
      </c>
      <c r="V654" s="21">
        <v>2010</v>
      </c>
      <c r="W654">
        <f t="shared" si="40"/>
        <v>2003</v>
      </c>
      <c r="X654" s="21">
        <v>1</v>
      </c>
      <c r="Y654" s="21">
        <v>0</v>
      </c>
      <c r="Z654" s="21">
        <v>1</v>
      </c>
      <c r="AA654" s="21">
        <v>0</v>
      </c>
      <c r="AB654" s="21">
        <v>0</v>
      </c>
      <c r="AC654" s="21">
        <v>0</v>
      </c>
      <c r="AD654" s="21">
        <v>0</v>
      </c>
      <c r="AE654" s="21">
        <v>0</v>
      </c>
      <c r="AF654" s="21">
        <v>0</v>
      </c>
      <c r="AG654" s="21">
        <v>0</v>
      </c>
      <c r="AH654" s="21">
        <v>0</v>
      </c>
      <c r="AI654" s="21">
        <v>0</v>
      </c>
      <c r="AJ654" s="21">
        <v>0</v>
      </c>
      <c r="AK654" s="21">
        <v>0</v>
      </c>
      <c r="AL654" s="21">
        <v>1</v>
      </c>
      <c r="AM654" s="21">
        <v>0</v>
      </c>
      <c r="AN654" s="21">
        <v>1</v>
      </c>
      <c r="AO654" s="21">
        <v>1</v>
      </c>
      <c r="AP654" s="21">
        <v>0</v>
      </c>
      <c r="AQ654" s="21">
        <v>0</v>
      </c>
      <c r="AR654" s="21">
        <v>1</v>
      </c>
      <c r="AS654" s="21">
        <v>0</v>
      </c>
      <c r="AT654" s="21">
        <v>1</v>
      </c>
      <c r="AU654" s="21">
        <v>1</v>
      </c>
      <c r="AV654" s="21">
        <v>1</v>
      </c>
      <c r="AW654" s="21">
        <v>1</v>
      </c>
      <c r="AX654" s="21">
        <v>1</v>
      </c>
      <c r="AY654" s="21">
        <v>1</v>
      </c>
      <c r="AZ654" s="21">
        <v>0</v>
      </c>
      <c r="BA654" s="21">
        <v>1</v>
      </c>
      <c r="BB654" s="21">
        <v>1</v>
      </c>
      <c r="BC654" s="21">
        <v>1</v>
      </c>
      <c r="BD654" s="21">
        <v>1</v>
      </c>
      <c r="BE654" s="21">
        <v>1</v>
      </c>
      <c r="BF654" s="21">
        <v>1</v>
      </c>
      <c r="BG654" s="21">
        <v>0</v>
      </c>
      <c r="BH654" s="21">
        <v>0</v>
      </c>
      <c r="BI654" s="21">
        <v>0</v>
      </c>
      <c r="BJ654" s="21">
        <v>0</v>
      </c>
      <c r="BK654" s="21">
        <v>1</v>
      </c>
      <c r="BL654" s="21">
        <v>0</v>
      </c>
      <c r="BM654" s="21">
        <v>0</v>
      </c>
      <c r="BN654" s="21">
        <v>1</v>
      </c>
      <c r="BO654" s="21">
        <v>0</v>
      </c>
      <c r="BP654" s="21">
        <v>1</v>
      </c>
      <c r="BQ654" s="21">
        <v>1</v>
      </c>
      <c r="BR654" s="21">
        <v>0</v>
      </c>
      <c r="BS654" s="21">
        <v>0</v>
      </c>
    </row>
    <row r="655" spans="1:71">
      <c r="A655" s="20" t="s">
        <v>4807</v>
      </c>
      <c r="B655">
        <v>51</v>
      </c>
      <c r="C655">
        <v>353</v>
      </c>
      <c r="D655" s="21">
        <v>2016</v>
      </c>
      <c r="E655" s="23">
        <v>-1.48</v>
      </c>
      <c r="F655">
        <v>0.06</v>
      </c>
      <c r="G655">
        <f t="shared" si="39"/>
        <v>-24.666666666666668</v>
      </c>
      <c r="H655" s="27">
        <v>0</v>
      </c>
      <c r="I655" s="21">
        <v>1</v>
      </c>
      <c r="J655" s="21">
        <v>4923</v>
      </c>
      <c r="K655" s="21">
        <v>1</v>
      </c>
      <c r="L655" s="21">
        <v>0</v>
      </c>
      <c r="M655" s="21">
        <v>0</v>
      </c>
      <c r="N655" s="21">
        <v>0</v>
      </c>
      <c r="O655" s="21">
        <v>0</v>
      </c>
      <c r="P655">
        <v>0</v>
      </c>
      <c r="Q655" s="21">
        <v>0</v>
      </c>
      <c r="R655" s="21">
        <v>0</v>
      </c>
      <c r="S655" s="21">
        <v>0</v>
      </c>
      <c r="T655" s="21">
        <v>1</v>
      </c>
      <c r="U655" s="21">
        <v>1995</v>
      </c>
      <c r="V655" s="21">
        <v>2010</v>
      </c>
      <c r="W655">
        <f t="shared" si="40"/>
        <v>2003</v>
      </c>
      <c r="X655" s="21">
        <v>1</v>
      </c>
      <c r="Y655" s="21">
        <v>0</v>
      </c>
      <c r="Z655" s="21">
        <v>1</v>
      </c>
      <c r="AA655" s="21">
        <v>0</v>
      </c>
      <c r="AB655" s="21">
        <v>0</v>
      </c>
      <c r="AC655" s="21">
        <v>0</v>
      </c>
      <c r="AD655" s="21">
        <v>0</v>
      </c>
      <c r="AE655" s="21">
        <v>0</v>
      </c>
      <c r="AF655" s="21">
        <v>0</v>
      </c>
      <c r="AG655" s="21">
        <v>0</v>
      </c>
      <c r="AH655" s="21">
        <v>0</v>
      </c>
      <c r="AI655" s="21">
        <v>0</v>
      </c>
      <c r="AJ655" s="21">
        <v>1</v>
      </c>
      <c r="AK655" s="21">
        <v>0</v>
      </c>
      <c r="AL655" s="21">
        <v>0</v>
      </c>
      <c r="AM655" s="21">
        <v>0</v>
      </c>
      <c r="AN655" s="21">
        <v>1</v>
      </c>
      <c r="AO655" s="21">
        <v>1</v>
      </c>
      <c r="AP655" s="21">
        <v>0</v>
      </c>
      <c r="AQ655" s="21">
        <v>0</v>
      </c>
      <c r="AR655" s="21">
        <v>1</v>
      </c>
      <c r="AS655" s="21">
        <v>0</v>
      </c>
      <c r="AT655" s="21">
        <v>1</v>
      </c>
      <c r="AU655" s="21">
        <v>1</v>
      </c>
      <c r="AV655" s="21">
        <v>1</v>
      </c>
      <c r="AW655" s="21">
        <v>1</v>
      </c>
      <c r="AX655" s="21">
        <v>1</v>
      </c>
      <c r="AY655" s="21">
        <v>1</v>
      </c>
      <c r="AZ655" s="21">
        <v>0</v>
      </c>
      <c r="BA655" s="21">
        <v>1</v>
      </c>
      <c r="BB655" s="21">
        <v>1</v>
      </c>
      <c r="BC655" s="21">
        <v>1</v>
      </c>
      <c r="BD655" s="21">
        <v>1</v>
      </c>
      <c r="BE655" s="21">
        <v>1</v>
      </c>
      <c r="BF655" s="21">
        <v>1</v>
      </c>
      <c r="BG655" s="21">
        <v>0</v>
      </c>
      <c r="BH655" s="21">
        <v>0</v>
      </c>
      <c r="BI655" s="21">
        <v>0</v>
      </c>
      <c r="BJ655" s="21">
        <v>0</v>
      </c>
      <c r="BK655" s="21">
        <v>1</v>
      </c>
      <c r="BL655" s="21">
        <v>0</v>
      </c>
      <c r="BM655" s="21">
        <v>0</v>
      </c>
      <c r="BN655" s="21">
        <v>1</v>
      </c>
      <c r="BO655" s="21">
        <v>0</v>
      </c>
      <c r="BP655" s="21">
        <v>1</v>
      </c>
      <c r="BQ655" s="21">
        <v>1</v>
      </c>
      <c r="BR655" s="21">
        <v>0</v>
      </c>
      <c r="BS655" s="21">
        <v>0</v>
      </c>
    </row>
    <row r="656" spans="1:71">
      <c r="A656" s="20" t="s">
        <v>4807</v>
      </c>
      <c r="B656">
        <v>51</v>
      </c>
      <c r="C656">
        <v>354</v>
      </c>
      <c r="D656" s="21">
        <v>2016</v>
      </c>
      <c r="E656" s="23">
        <v>-0.99</v>
      </c>
      <c r="F656">
        <v>0.09</v>
      </c>
      <c r="G656">
        <f t="shared" si="39"/>
        <v>-11</v>
      </c>
      <c r="H656" s="27">
        <v>0</v>
      </c>
      <c r="I656" s="21">
        <v>1</v>
      </c>
      <c r="J656" s="21">
        <v>1341</v>
      </c>
      <c r="K656" s="21">
        <v>1</v>
      </c>
      <c r="L656" s="21">
        <v>0</v>
      </c>
      <c r="M656" s="21">
        <v>0</v>
      </c>
      <c r="N656" s="21">
        <v>0</v>
      </c>
      <c r="O656" s="21">
        <v>0</v>
      </c>
      <c r="P656">
        <v>0</v>
      </c>
      <c r="Q656" s="21">
        <v>0</v>
      </c>
      <c r="R656" s="21">
        <v>0</v>
      </c>
      <c r="S656" s="21">
        <v>0</v>
      </c>
      <c r="T656" s="21">
        <v>1</v>
      </c>
      <c r="U656" s="21">
        <v>1995</v>
      </c>
      <c r="V656" s="21">
        <v>2010</v>
      </c>
      <c r="W656">
        <f t="shared" si="40"/>
        <v>2003</v>
      </c>
      <c r="X656" s="21">
        <v>1</v>
      </c>
      <c r="Y656" s="21">
        <v>0</v>
      </c>
      <c r="Z656" s="21">
        <v>1</v>
      </c>
      <c r="AA656" s="21">
        <v>0</v>
      </c>
      <c r="AB656" s="21">
        <v>0</v>
      </c>
      <c r="AC656" s="21">
        <v>0</v>
      </c>
      <c r="AD656" s="21">
        <v>0</v>
      </c>
      <c r="AE656" s="21">
        <v>0</v>
      </c>
      <c r="AF656" s="21">
        <v>0</v>
      </c>
      <c r="AG656" s="21">
        <v>0</v>
      </c>
      <c r="AH656" s="21">
        <v>1</v>
      </c>
      <c r="AI656" s="21">
        <v>0</v>
      </c>
      <c r="AJ656" s="21">
        <v>0</v>
      </c>
      <c r="AK656" s="21">
        <v>0</v>
      </c>
      <c r="AL656" s="21">
        <v>0</v>
      </c>
      <c r="AM656" s="21">
        <v>0</v>
      </c>
      <c r="AN656" s="21">
        <v>1</v>
      </c>
      <c r="AO656" s="21">
        <v>1</v>
      </c>
      <c r="AP656" s="21">
        <v>0</v>
      </c>
      <c r="AQ656" s="21">
        <v>0</v>
      </c>
      <c r="AR656" s="21">
        <v>1</v>
      </c>
      <c r="AS656" s="21">
        <v>0</v>
      </c>
      <c r="AT656" s="21">
        <v>1</v>
      </c>
      <c r="AU656" s="21">
        <v>1</v>
      </c>
      <c r="AV656" s="21">
        <v>1</v>
      </c>
      <c r="AW656" s="21">
        <v>1</v>
      </c>
      <c r="AX656" s="21">
        <v>1</v>
      </c>
      <c r="AY656" s="21">
        <v>1</v>
      </c>
      <c r="AZ656" s="21">
        <v>0</v>
      </c>
      <c r="BA656" s="21">
        <v>1</v>
      </c>
      <c r="BB656" s="21">
        <v>1</v>
      </c>
      <c r="BC656" s="21">
        <v>1</v>
      </c>
      <c r="BD656" s="21">
        <v>1</v>
      </c>
      <c r="BE656" s="21">
        <v>1</v>
      </c>
      <c r="BF656" s="21">
        <v>1</v>
      </c>
      <c r="BG656" s="21">
        <v>0</v>
      </c>
      <c r="BH656" s="21">
        <v>0</v>
      </c>
      <c r="BI656" s="21">
        <v>0</v>
      </c>
      <c r="BJ656" s="21">
        <v>0</v>
      </c>
      <c r="BK656" s="21">
        <v>1</v>
      </c>
      <c r="BL656" s="21">
        <v>0</v>
      </c>
      <c r="BM656" s="21">
        <v>0</v>
      </c>
      <c r="BN656" s="21">
        <v>1</v>
      </c>
      <c r="BO656" s="21">
        <v>0</v>
      </c>
      <c r="BP656" s="21">
        <v>1</v>
      </c>
      <c r="BQ656" s="21">
        <v>1</v>
      </c>
      <c r="BR656" s="21">
        <v>0</v>
      </c>
      <c r="BS656" s="21">
        <v>0</v>
      </c>
    </row>
    <row r="657" spans="1:71">
      <c r="A657" s="48" t="s">
        <v>4916</v>
      </c>
      <c r="B657">
        <v>54</v>
      </c>
      <c r="C657">
        <v>369</v>
      </c>
      <c r="D657">
        <v>2016</v>
      </c>
      <c r="E657">
        <v>-2.3199999999999998</v>
      </c>
      <c r="F657">
        <v>0.28000000000000003</v>
      </c>
      <c r="G657">
        <f t="shared" si="39"/>
        <v>-8.2857142857142847</v>
      </c>
      <c r="H657" s="27">
        <v>0</v>
      </c>
      <c r="I657">
        <v>1</v>
      </c>
      <c r="J657">
        <v>171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s="21">
        <v>0</v>
      </c>
      <c r="S657">
        <v>0</v>
      </c>
      <c r="T657">
        <v>0</v>
      </c>
      <c r="U657">
        <v>2012</v>
      </c>
      <c r="V657">
        <v>2012</v>
      </c>
      <c r="W657">
        <f t="shared" si="40"/>
        <v>2012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1</v>
      </c>
      <c r="AD657" s="21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 s="21">
        <v>0</v>
      </c>
      <c r="AO657" s="21">
        <v>1</v>
      </c>
      <c r="AP657" s="21">
        <v>0</v>
      </c>
      <c r="AQ657">
        <v>1</v>
      </c>
      <c r="AR657">
        <v>0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 s="21">
        <v>1</v>
      </c>
      <c r="BA657" s="21">
        <v>1</v>
      </c>
      <c r="BB657" s="21">
        <v>1</v>
      </c>
      <c r="BC657">
        <v>0</v>
      </c>
      <c r="BD657">
        <v>0</v>
      </c>
      <c r="BE657">
        <v>0</v>
      </c>
      <c r="BF657">
        <v>0</v>
      </c>
      <c r="BG657" s="21">
        <v>0</v>
      </c>
      <c r="BH657">
        <v>0</v>
      </c>
      <c r="BI657" s="21">
        <v>0</v>
      </c>
      <c r="BJ657" s="21">
        <v>0</v>
      </c>
      <c r="BK657" s="21">
        <v>0</v>
      </c>
      <c r="BL657" s="21">
        <v>0</v>
      </c>
      <c r="BM657" s="21">
        <v>0</v>
      </c>
      <c r="BN657" s="21">
        <v>0</v>
      </c>
      <c r="BO657" s="21">
        <v>0</v>
      </c>
      <c r="BP657" s="21">
        <v>0</v>
      </c>
      <c r="BQ657" s="21">
        <v>0</v>
      </c>
      <c r="BR657" s="21">
        <v>0</v>
      </c>
      <c r="BS657" s="21">
        <v>0</v>
      </c>
    </row>
    <row r="658" spans="1:71">
      <c r="A658" s="48" t="s">
        <v>4916</v>
      </c>
      <c r="B658">
        <v>54</v>
      </c>
      <c r="C658">
        <v>370</v>
      </c>
      <c r="D658">
        <v>2016</v>
      </c>
      <c r="E658">
        <v>-2.31</v>
      </c>
      <c r="F658">
        <v>0.2</v>
      </c>
      <c r="G658">
        <f t="shared" si="39"/>
        <v>-11.549999999999999</v>
      </c>
      <c r="H658" s="27">
        <v>0</v>
      </c>
      <c r="I658">
        <v>1</v>
      </c>
      <c r="J658">
        <v>171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 s="21">
        <v>0</v>
      </c>
      <c r="S658">
        <v>0</v>
      </c>
      <c r="T658">
        <v>0</v>
      </c>
      <c r="U658">
        <v>2012</v>
      </c>
      <c r="V658">
        <v>2012</v>
      </c>
      <c r="W658">
        <f t="shared" si="40"/>
        <v>2012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1</v>
      </c>
      <c r="AD658" s="21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 s="21">
        <v>0</v>
      </c>
      <c r="AO658" s="21">
        <v>1</v>
      </c>
      <c r="AP658" s="21">
        <v>0</v>
      </c>
      <c r="AQ658">
        <v>1</v>
      </c>
      <c r="AR658">
        <v>0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 s="21">
        <v>1</v>
      </c>
      <c r="BA658" s="21">
        <v>1</v>
      </c>
      <c r="BB658" s="21">
        <v>1</v>
      </c>
      <c r="BC658">
        <v>0</v>
      </c>
      <c r="BD658">
        <v>0</v>
      </c>
      <c r="BE658">
        <v>0</v>
      </c>
      <c r="BF658">
        <v>0</v>
      </c>
      <c r="BG658" s="21">
        <v>0</v>
      </c>
      <c r="BH658">
        <v>0</v>
      </c>
      <c r="BI658" s="21">
        <v>0</v>
      </c>
      <c r="BJ658" s="21">
        <v>0</v>
      </c>
      <c r="BK658" s="21">
        <v>0</v>
      </c>
      <c r="BL658" s="21">
        <v>0</v>
      </c>
      <c r="BM658" s="21">
        <v>1</v>
      </c>
      <c r="BN658" s="21">
        <v>0</v>
      </c>
      <c r="BO658" s="21">
        <v>0</v>
      </c>
      <c r="BP658" s="21">
        <v>0</v>
      </c>
      <c r="BQ658" s="21">
        <v>0</v>
      </c>
      <c r="BR658" s="21">
        <v>0</v>
      </c>
      <c r="BS658" s="21">
        <v>0</v>
      </c>
    </row>
    <row r="659" spans="1:71">
      <c r="A659" s="20" t="s">
        <v>4795</v>
      </c>
      <c r="B659">
        <v>64</v>
      </c>
      <c r="C659">
        <v>418</v>
      </c>
      <c r="D659">
        <v>2016</v>
      </c>
      <c r="E659">
        <v>-1.4410000000000001</v>
      </c>
      <c r="F659">
        <v>2.7E-2</v>
      </c>
      <c r="G659">
        <f t="shared" si="39"/>
        <v>-53.370370370370374</v>
      </c>
      <c r="H659" s="27">
        <v>0</v>
      </c>
      <c r="I659">
        <v>1</v>
      </c>
      <c r="J659">
        <v>17259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1</v>
      </c>
      <c r="S659">
        <v>0</v>
      </c>
      <c r="T659">
        <v>1</v>
      </c>
      <c r="U659">
        <v>2000</v>
      </c>
      <c r="V659">
        <v>2010</v>
      </c>
      <c r="W659">
        <f t="shared" si="40"/>
        <v>2005</v>
      </c>
      <c r="X659">
        <v>1</v>
      </c>
      <c r="Y659">
        <v>0</v>
      </c>
      <c r="Z659">
        <v>1</v>
      </c>
      <c r="AA659">
        <v>0</v>
      </c>
      <c r="AB659">
        <v>0</v>
      </c>
      <c r="AC659">
        <v>0</v>
      </c>
      <c r="AD659" s="21">
        <v>0</v>
      </c>
      <c r="AE659">
        <v>0</v>
      </c>
      <c r="AF659">
        <v>0</v>
      </c>
      <c r="AG659">
        <v>0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 s="21">
        <v>1</v>
      </c>
      <c r="AO659" s="21">
        <v>1</v>
      </c>
      <c r="AP659" s="21">
        <v>1</v>
      </c>
      <c r="AQ659">
        <v>0</v>
      </c>
      <c r="AR659">
        <v>0</v>
      </c>
      <c r="AS659">
        <v>0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 s="21">
        <v>1</v>
      </c>
      <c r="BA659" s="21">
        <v>1</v>
      </c>
      <c r="BB659" s="21">
        <v>1</v>
      </c>
      <c r="BC659">
        <v>1</v>
      </c>
      <c r="BD659">
        <v>1</v>
      </c>
      <c r="BE659">
        <v>1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 s="21">
        <v>0</v>
      </c>
      <c r="BS659" s="21">
        <v>0</v>
      </c>
    </row>
    <row r="660" spans="1:71">
      <c r="A660" s="20" t="s">
        <v>4795</v>
      </c>
      <c r="B660">
        <v>64</v>
      </c>
      <c r="C660">
        <v>419</v>
      </c>
      <c r="D660">
        <v>2016</v>
      </c>
      <c r="E660">
        <v>-0.78700000000000003</v>
      </c>
      <c r="F660">
        <v>2.8899999999999999E-2</v>
      </c>
      <c r="G660">
        <f t="shared" si="39"/>
        <v>-27.231833910034606</v>
      </c>
      <c r="H660" s="27">
        <v>0</v>
      </c>
      <c r="I660">
        <v>1</v>
      </c>
      <c r="J660">
        <v>16268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1</v>
      </c>
      <c r="S660">
        <v>0</v>
      </c>
      <c r="T660">
        <v>1</v>
      </c>
      <c r="U660">
        <v>2000</v>
      </c>
      <c r="V660">
        <v>2010</v>
      </c>
      <c r="W660">
        <f t="shared" si="40"/>
        <v>2005</v>
      </c>
      <c r="X660">
        <v>1</v>
      </c>
      <c r="Y660">
        <v>0</v>
      </c>
      <c r="Z660">
        <v>1</v>
      </c>
      <c r="AA660">
        <v>0</v>
      </c>
      <c r="AB660">
        <v>0</v>
      </c>
      <c r="AC660">
        <v>0</v>
      </c>
      <c r="AD660" s="21">
        <v>0</v>
      </c>
      <c r="AE660">
        <v>0</v>
      </c>
      <c r="AF660">
        <v>0</v>
      </c>
      <c r="AG660">
        <v>0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 s="21">
        <v>1</v>
      </c>
      <c r="AO660" s="21">
        <v>1</v>
      </c>
      <c r="AP660" s="21">
        <v>1</v>
      </c>
      <c r="AQ660">
        <v>0</v>
      </c>
      <c r="AR660">
        <v>0</v>
      </c>
      <c r="AS660">
        <v>0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 s="21">
        <v>1</v>
      </c>
      <c r="BA660" s="21">
        <v>1</v>
      </c>
      <c r="BB660" s="21">
        <v>1</v>
      </c>
      <c r="BC660">
        <v>1</v>
      </c>
      <c r="BD660">
        <v>1</v>
      </c>
      <c r="BE660">
        <v>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1</v>
      </c>
      <c r="BO660">
        <v>0</v>
      </c>
      <c r="BP660">
        <v>1</v>
      </c>
      <c r="BQ660">
        <v>0</v>
      </c>
      <c r="BR660" s="21">
        <v>0</v>
      </c>
      <c r="BS660" s="21">
        <v>1</v>
      </c>
    </row>
    <row r="661" spans="1:71">
      <c r="A661" s="20" t="s">
        <v>4795</v>
      </c>
      <c r="B661">
        <v>64</v>
      </c>
      <c r="C661">
        <v>420</v>
      </c>
      <c r="D661">
        <v>2016</v>
      </c>
      <c r="E661">
        <v>-0.70299999999999996</v>
      </c>
      <c r="F661">
        <v>7.0199999999999999E-2</v>
      </c>
      <c r="G661">
        <f t="shared" si="39"/>
        <v>-10.014245014245013</v>
      </c>
      <c r="H661" s="27">
        <v>0</v>
      </c>
      <c r="I661">
        <v>1</v>
      </c>
      <c r="J661">
        <v>16268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1</v>
      </c>
      <c r="S661">
        <v>0</v>
      </c>
      <c r="T661">
        <v>1</v>
      </c>
      <c r="U661">
        <v>2000</v>
      </c>
      <c r="V661">
        <v>2010</v>
      </c>
      <c r="W661">
        <f t="shared" si="40"/>
        <v>2005</v>
      </c>
      <c r="X661">
        <v>1</v>
      </c>
      <c r="Y661">
        <v>0</v>
      </c>
      <c r="Z661">
        <v>1</v>
      </c>
      <c r="AA661">
        <v>0</v>
      </c>
      <c r="AB661">
        <v>0</v>
      </c>
      <c r="AC661">
        <v>0</v>
      </c>
      <c r="AD661" s="21">
        <v>0</v>
      </c>
      <c r="AE661">
        <v>0</v>
      </c>
      <c r="AF661">
        <v>0</v>
      </c>
      <c r="AG661">
        <v>0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 s="21">
        <v>1</v>
      </c>
      <c r="AO661" s="21">
        <v>1</v>
      </c>
      <c r="AP661" s="21">
        <v>1</v>
      </c>
      <c r="AQ661">
        <v>0</v>
      </c>
      <c r="AR661">
        <v>0</v>
      </c>
      <c r="AS661">
        <v>0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 s="21">
        <v>1</v>
      </c>
      <c r="BA661" s="21">
        <v>1</v>
      </c>
      <c r="BB661" s="21">
        <v>1</v>
      </c>
      <c r="BC661">
        <v>1</v>
      </c>
      <c r="BD661">
        <v>1</v>
      </c>
      <c r="BE661">
        <v>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1</v>
      </c>
      <c r="BO661">
        <v>0</v>
      </c>
      <c r="BP661">
        <v>1</v>
      </c>
      <c r="BQ661">
        <v>0</v>
      </c>
      <c r="BR661" s="21">
        <v>0</v>
      </c>
      <c r="BS661" s="21">
        <v>1</v>
      </c>
    </row>
    <row r="662" spans="1:71">
      <c r="A662" s="20" t="s">
        <v>4888</v>
      </c>
      <c r="B662">
        <v>71</v>
      </c>
      <c r="C662">
        <v>459</v>
      </c>
      <c r="D662">
        <v>2016</v>
      </c>
      <c r="E662">
        <v>-2.1880000000000002</v>
      </c>
      <c r="F662">
        <v>1.0920000000000001</v>
      </c>
      <c r="G662">
        <f t="shared" si="39"/>
        <v>-2.0036630036630036</v>
      </c>
      <c r="H662" s="27">
        <v>0</v>
      </c>
      <c r="I662">
        <v>1</v>
      </c>
      <c r="J662">
        <v>108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2012</v>
      </c>
      <c r="V662">
        <v>2012</v>
      </c>
      <c r="W662">
        <v>2012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0</v>
      </c>
      <c r="AN662" s="21">
        <v>0</v>
      </c>
      <c r="AO662" s="21">
        <v>1</v>
      </c>
      <c r="AP662" s="21">
        <v>0</v>
      </c>
      <c r="AQ662">
        <v>1</v>
      </c>
      <c r="AR662">
        <v>0</v>
      </c>
      <c r="AS662">
        <v>1</v>
      </c>
      <c r="AT662">
        <v>1</v>
      </c>
      <c r="AU662">
        <v>1</v>
      </c>
      <c r="AV662">
        <v>0</v>
      </c>
      <c r="AW662">
        <v>1</v>
      </c>
      <c r="AX662">
        <v>1</v>
      </c>
      <c r="AY662">
        <v>1</v>
      </c>
      <c r="AZ662" s="21">
        <v>1</v>
      </c>
      <c r="BA662" s="21">
        <v>1</v>
      </c>
      <c r="BB662" s="21">
        <v>1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 s="21">
        <v>0</v>
      </c>
      <c r="BS662" s="21">
        <v>0</v>
      </c>
    </row>
    <row r="663" spans="1:71">
      <c r="A663" s="20" t="s">
        <v>5020</v>
      </c>
      <c r="B663">
        <v>75</v>
      </c>
      <c r="C663">
        <v>489</v>
      </c>
      <c r="D663">
        <v>2016</v>
      </c>
      <c r="E663">
        <v>-0.83299999999999996</v>
      </c>
      <c r="F663">
        <v>0.26100000000000001</v>
      </c>
      <c r="G663">
        <f t="shared" si="39"/>
        <v>-3.1915708812260535</v>
      </c>
      <c r="H663" s="27">
        <v>0</v>
      </c>
      <c r="I663">
        <v>1</v>
      </c>
      <c r="J663">
        <v>209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1</v>
      </c>
      <c r="U663">
        <v>2005</v>
      </c>
      <c r="V663">
        <v>2015</v>
      </c>
      <c r="W663">
        <f t="shared" ref="W663:W726" si="41">ROUND(AVERAGE(U663:V663), 0)</f>
        <v>2010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 s="21">
        <v>0</v>
      </c>
      <c r="AO663" s="21">
        <v>0</v>
      </c>
      <c r="AP663" s="21">
        <v>1</v>
      </c>
      <c r="AQ663">
        <v>0</v>
      </c>
      <c r="AR663">
        <v>1</v>
      </c>
      <c r="AS663">
        <v>0</v>
      </c>
      <c r="AT663">
        <v>1</v>
      </c>
      <c r="AU663">
        <v>1</v>
      </c>
      <c r="AV663">
        <v>1</v>
      </c>
      <c r="AW663">
        <v>1</v>
      </c>
      <c r="AX663">
        <v>0</v>
      </c>
      <c r="AY663">
        <v>0</v>
      </c>
      <c r="AZ663" s="21">
        <v>0</v>
      </c>
      <c r="BA663" s="21">
        <v>1</v>
      </c>
      <c r="BB663" s="21">
        <v>1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 s="21">
        <v>0</v>
      </c>
      <c r="BS663" s="21">
        <v>0</v>
      </c>
    </row>
    <row r="664" spans="1:71">
      <c r="A664" s="20" t="s">
        <v>4877</v>
      </c>
      <c r="B664">
        <v>84</v>
      </c>
      <c r="C664">
        <v>530</v>
      </c>
      <c r="D664">
        <v>2016</v>
      </c>
      <c r="E664">
        <v>-1.5149999999999999</v>
      </c>
      <c r="F664">
        <f>E664/G664</f>
        <v>0.53914590747330959</v>
      </c>
      <c r="G664">
        <v>-2.81</v>
      </c>
      <c r="H664" s="27">
        <v>1</v>
      </c>
      <c r="I664">
        <v>1</v>
      </c>
      <c r="J664">
        <v>125936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</v>
      </c>
      <c r="U664">
        <v>1995</v>
      </c>
      <c r="V664">
        <v>2010</v>
      </c>
      <c r="W664">
        <f t="shared" si="41"/>
        <v>2003</v>
      </c>
      <c r="X664">
        <v>1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 s="21">
        <v>1</v>
      </c>
      <c r="AO664" s="21">
        <v>1</v>
      </c>
      <c r="AP664" s="21">
        <v>1</v>
      </c>
      <c r="AQ664">
        <v>0</v>
      </c>
      <c r="AR664">
        <v>1</v>
      </c>
      <c r="AS664">
        <v>0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 s="21">
        <v>1</v>
      </c>
      <c r="BA664" s="21">
        <v>1</v>
      </c>
      <c r="BB664" s="21">
        <v>1</v>
      </c>
      <c r="BC664">
        <v>1</v>
      </c>
      <c r="BD664">
        <v>1</v>
      </c>
      <c r="BE664">
        <v>1</v>
      </c>
      <c r="BF664">
        <v>0</v>
      </c>
      <c r="BG664">
        <v>1</v>
      </c>
      <c r="BH664">
        <v>0</v>
      </c>
      <c r="BI664">
        <v>1</v>
      </c>
      <c r="BJ664">
        <v>1</v>
      </c>
      <c r="BK664">
        <v>1</v>
      </c>
      <c r="BL664">
        <v>0</v>
      </c>
      <c r="BM664">
        <v>1</v>
      </c>
      <c r="BN664">
        <v>0</v>
      </c>
      <c r="BO664">
        <v>1</v>
      </c>
      <c r="BP664">
        <v>0</v>
      </c>
      <c r="BQ664">
        <v>0</v>
      </c>
      <c r="BR664" s="21">
        <v>1</v>
      </c>
      <c r="BS664" s="21">
        <v>0</v>
      </c>
    </row>
    <row r="665" spans="1:71">
      <c r="A665" s="20" t="s">
        <v>4877</v>
      </c>
      <c r="B665">
        <v>84</v>
      </c>
      <c r="C665">
        <v>531</v>
      </c>
      <c r="D665">
        <v>2016</v>
      </c>
      <c r="E665">
        <v>-1.5149999999999999</v>
      </c>
      <c r="F665">
        <f>E665/G665</f>
        <v>0.53914590747330959</v>
      </c>
      <c r="G665">
        <v>-2.81</v>
      </c>
      <c r="H665" s="27">
        <v>1</v>
      </c>
      <c r="I665">
        <v>1</v>
      </c>
      <c r="J665">
        <v>125936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</v>
      </c>
      <c r="U665">
        <v>1995</v>
      </c>
      <c r="V665">
        <v>2010</v>
      </c>
      <c r="W665">
        <f t="shared" si="41"/>
        <v>2003</v>
      </c>
      <c r="X665">
        <v>1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 s="21">
        <v>1</v>
      </c>
      <c r="AO665" s="21">
        <v>1</v>
      </c>
      <c r="AP665" s="21">
        <v>1</v>
      </c>
      <c r="AQ665">
        <v>0</v>
      </c>
      <c r="AR665">
        <v>1</v>
      </c>
      <c r="AS665">
        <v>0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 s="21">
        <v>1</v>
      </c>
      <c r="BA665" s="21">
        <v>1</v>
      </c>
      <c r="BB665" s="21">
        <v>1</v>
      </c>
      <c r="BC665">
        <v>1</v>
      </c>
      <c r="BD665">
        <v>1</v>
      </c>
      <c r="BE665">
        <v>1</v>
      </c>
      <c r="BF665">
        <v>0</v>
      </c>
      <c r="BG665">
        <v>1</v>
      </c>
      <c r="BH665">
        <v>0</v>
      </c>
      <c r="BI665">
        <v>1</v>
      </c>
      <c r="BJ665">
        <v>1</v>
      </c>
      <c r="BK665">
        <v>1</v>
      </c>
      <c r="BL665">
        <v>0</v>
      </c>
      <c r="BM665">
        <v>1</v>
      </c>
      <c r="BN665">
        <v>0</v>
      </c>
      <c r="BO665">
        <v>1</v>
      </c>
      <c r="BP665">
        <v>0</v>
      </c>
      <c r="BQ665">
        <v>0</v>
      </c>
      <c r="BR665" s="21">
        <v>1</v>
      </c>
      <c r="BS665" s="21">
        <v>0</v>
      </c>
    </row>
    <row r="666" spans="1:71">
      <c r="A666" s="20" t="s">
        <v>5201</v>
      </c>
      <c r="B666">
        <v>92</v>
      </c>
      <c r="C666">
        <v>563</v>
      </c>
      <c r="D666">
        <v>2016</v>
      </c>
      <c r="E666">
        <v>-0.79800000000000004</v>
      </c>
      <c r="F666">
        <v>6.4000000000000001E-2</v>
      </c>
      <c r="G666">
        <f>E666/F666</f>
        <v>-12.46875</v>
      </c>
      <c r="H666" s="27">
        <v>0</v>
      </c>
      <c r="I666">
        <v>1</v>
      </c>
      <c r="J666">
        <v>699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2008</v>
      </c>
      <c r="V666">
        <v>2013</v>
      </c>
      <c r="W666">
        <f t="shared" si="41"/>
        <v>2011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1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 s="21">
        <v>0</v>
      </c>
      <c r="AO666" s="21">
        <v>0</v>
      </c>
      <c r="AP666" s="21">
        <v>1</v>
      </c>
      <c r="AQ666">
        <v>0</v>
      </c>
      <c r="AR666">
        <v>1</v>
      </c>
      <c r="AS666">
        <v>1</v>
      </c>
      <c r="AT666">
        <v>1</v>
      </c>
      <c r="AU666">
        <v>0</v>
      </c>
      <c r="AV666">
        <v>0</v>
      </c>
      <c r="AW666">
        <v>0</v>
      </c>
      <c r="AX666">
        <v>0</v>
      </c>
      <c r="AY666">
        <v>0</v>
      </c>
      <c r="AZ666" s="21">
        <v>0</v>
      </c>
      <c r="BA666" s="21">
        <v>0</v>
      </c>
      <c r="BB666" s="21">
        <v>1</v>
      </c>
      <c r="BC666">
        <v>0</v>
      </c>
      <c r="BD666">
        <v>0</v>
      </c>
      <c r="BE666">
        <v>1</v>
      </c>
      <c r="BF666">
        <v>0</v>
      </c>
      <c r="BG666">
        <v>0</v>
      </c>
      <c r="BH666">
        <v>0</v>
      </c>
      <c r="BI666">
        <v>1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 s="21">
        <v>0</v>
      </c>
      <c r="BS666" s="21">
        <v>0</v>
      </c>
    </row>
    <row r="667" spans="1:71">
      <c r="A667" s="20" t="s">
        <v>5201</v>
      </c>
      <c r="B667">
        <v>92</v>
      </c>
      <c r="C667">
        <v>564</v>
      </c>
      <c r="D667">
        <v>2016</v>
      </c>
      <c r="E667">
        <v>-0.81899999999999995</v>
      </c>
      <c r="F667">
        <v>6.4000000000000001E-2</v>
      </c>
      <c r="G667">
        <f>E667/F667</f>
        <v>-12.796874999999998</v>
      </c>
      <c r="H667" s="27">
        <v>0</v>
      </c>
      <c r="I667">
        <v>1</v>
      </c>
      <c r="J667">
        <v>699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2008</v>
      </c>
      <c r="V667">
        <v>2013</v>
      </c>
      <c r="W667">
        <f t="shared" si="41"/>
        <v>2011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1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 s="21">
        <v>0</v>
      </c>
      <c r="AO667" s="21">
        <v>0</v>
      </c>
      <c r="AP667" s="21">
        <v>1</v>
      </c>
      <c r="AQ667">
        <v>0</v>
      </c>
      <c r="AR667">
        <v>1</v>
      </c>
      <c r="AS667">
        <v>1</v>
      </c>
      <c r="AT667">
        <v>1</v>
      </c>
      <c r="AU667">
        <v>0</v>
      </c>
      <c r="AV667">
        <v>0</v>
      </c>
      <c r="AW667">
        <v>0</v>
      </c>
      <c r="AX667">
        <v>0</v>
      </c>
      <c r="AY667">
        <v>0</v>
      </c>
      <c r="AZ667" s="21">
        <v>0</v>
      </c>
      <c r="BA667" s="21">
        <v>0</v>
      </c>
      <c r="BB667" s="21">
        <v>1</v>
      </c>
      <c r="BC667">
        <v>0</v>
      </c>
      <c r="BD667">
        <v>0</v>
      </c>
      <c r="BE667">
        <v>1</v>
      </c>
      <c r="BF667">
        <v>0</v>
      </c>
      <c r="BG667">
        <v>0</v>
      </c>
      <c r="BH667">
        <v>0</v>
      </c>
      <c r="BI667">
        <v>1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 s="21">
        <v>0</v>
      </c>
      <c r="BS667" s="21">
        <v>0</v>
      </c>
    </row>
    <row r="668" spans="1:71">
      <c r="A668" s="20" t="s">
        <v>5052</v>
      </c>
      <c r="B668">
        <v>120</v>
      </c>
      <c r="C668">
        <v>761</v>
      </c>
      <c r="D668">
        <v>2016</v>
      </c>
      <c r="E668">
        <v>-0.29899999999999999</v>
      </c>
      <c r="F668">
        <v>0.34499999999999997</v>
      </c>
      <c r="G668">
        <f>E668/F668</f>
        <v>-0.8666666666666667</v>
      </c>
      <c r="H668" s="27">
        <v>0</v>
      </c>
      <c r="I668">
        <v>1</v>
      </c>
      <c r="J668">
        <v>132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1</v>
      </c>
      <c r="U668">
        <v>1995</v>
      </c>
      <c r="V668">
        <v>2012</v>
      </c>
      <c r="W668">
        <f t="shared" si="41"/>
        <v>2004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 s="21">
        <v>1</v>
      </c>
      <c r="AO668" s="21">
        <v>1</v>
      </c>
      <c r="AP668" s="21">
        <v>1</v>
      </c>
      <c r="AQ668">
        <v>1</v>
      </c>
      <c r="AR668">
        <v>1</v>
      </c>
      <c r="AS668">
        <v>0</v>
      </c>
      <c r="AT668">
        <v>1</v>
      </c>
      <c r="AU668">
        <v>1</v>
      </c>
      <c r="AV668">
        <v>0</v>
      </c>
      <c r="AW668">
        <v>1</v>
      </c>
      <c r="AX668">
        <v>0</v>
      </c>
      <c r="AY668">
        <v>1</v>
      </c>
      <c r="AZ668" s="21">
        <v>1</v>
      </c>
      <c r="BA668" s="21">
        <v>1</v>
      </c>
      <c r="BB668" s="21">
        <v>1</v>
      </c>
      <c r="BC668">
        <v>0</v>
      </c>
      <c r="BD668">
        <v>0</v>
      </c>
      <c r="BE668">
        <v>1</v>
      </c>
      <c r="BF668">
        <v>0</v>
      </c>
      <c r="BG668">
        <v>1</v>
      </c>
      <c r="BH668">
        <v>0</v>
      </c>
      <c r="BI668">
        <v>0</v>
      </c>
      <c r="BJ668">
        <v>0</v>
      </c>
      <c r="BK668">
        <v>0</v>
      </c>
      <c r="BL668">
        <v>1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</row>
    <row r="669" spans="1:71">
      <c r="A669" s="20" t="s">
        <v>5052</v>
      </c>
      <c r="B669">
        <v>120</v>
      </c>
      <c r="C669">
        <v>762</v>
      </c>
      <c r="D669">
        <v>2016</v>
      </c>
      <c r="E669">
        <v>-1.2270000000000001</v>
      </c>
      <c r="F669">
        <v>0.32900000000000001</v>
      </c>
      <c r="G669">
        <f>E669/F669</f>
        <v>-3.7294832826747721</v>
      </c>
      <c r="H669" s="27">
        <v>0</v>
      </c>
      <c r="I669">
        <v>1</v>
      </c>
      <c r="J669">
        <v>256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1</v>
      </c>
      <c r="U669">
        <v>2005</v>
      </c>
      <c r="V669">
        <v>2012</v>
      </c>
      <c r="W669">
        <f t="shared" si="41"/>
        <v>2009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</v>
      </c>
      <c r="AN669" s="21">
        <v>1</v>
      </c>
      <c r="AO669" s="21">
        <v>1</v>
      </c>
      <c r="AP669" s="21">
        <v>1</v>
      </c>
      <c r="AQ669">
        <v>1</v>
      </c>
      <c r="AR669">
        <v>1</v>
      </c>
      <c r="AS669">
        <v>0</v>
      </c>
      <c r="AT669">
        <v>1</v>
      </c>
      <c r="AU669">
        <v>1</v>
      </c>
      <c r="AV669">
        <v>0</v>
      </c>
      <c r="AW669">
        <v>1</v>
      </c>
      <c r="AX669">
        <v>0</v>
      </c>
      <c r="AY669">
        <v>1</v>
      </c>
      <c r="AZ669" s="21">
        <v>1</v>
      </c>
      <c r="BA669" s="21">
        <v>1</v>
      </c>
      <c r="BB669" s="21">
        <v>1</v>
      </c>
      <c r="BC669">
        <v>0</v>
      </c>
      <c r="BD669">
        <v>0</v>
      </c>
      <c r="BE669">
        <v>1</v>
      </c>
      <c r="BF669">
        <v>0</v>
      </c>
      <c r="BG669">
        <v>1</v>
      </c>
      <c r="BH669">
        <v>0</v>
      </c>
      <c r="BI669">
        <v>0</v>
      </c>
      <c r="BJ669">
        <v>0</v>
      </c>
      <c r="BK669">
        <v>0</v>
      </c>
      <c r="BL669">
        <v>1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</row>
    <row r="670" spans="1:71">
      <c r="A670" s="20" t="s">
        <v>5052</v>
      </c>
      <c r="B670">
        <v>120</v>
      </c>
      <c r="C670">
        <v>763</v>
      </c>
      <c r="D670">
        <v>2016</v>
      </c>
      <c r="E670">
        <v>-2.0249999999999999</v>
      </c>
      <c r="F670">
        <v>0.24399999999999999</v>
      </c>
      <c r="G670">
        <f>E670/F670</f>
        <v>-8.2991803278688518</v>
      </c>
      <c r="H670" s="27">
        <v>0</v>
      </c>
      <c r="I670">
        <v>1</v>
      </c>
      <c r="J670">
        <v>1368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1</v>
      </c>
      <c r="U670">
        <v>2005</v>
      </c>
      <c r="V670">
        <v>2013</v>
      </c>
      <c r="W670">
        <f t="shared" si="41"/>
        <v>2009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</v>
      </c>
      <c r="AN670" s="21">
        <v>1</v>
      </c>
      <c r="AO670" s="21">
        <v>1</v>
      </c>
      <c r="AP670" s="21">
        <v>1</v>
      </c>
      <c r="AQ670">
        <v>1</v>
      </c>
      <c r="AR670">
        <v>1</v>
      </c>
      <c r="AS670">
        <v>0</v>
      </c>
      <c r="AT670">
        <v>1</v>
      </c>
      <c r="AU670">
        <v>1</v>
      </c>
      <c r="AV670">
        <v>0</v>
      </c>
      <c r="AW670">
        <v>1</v>
      </c>
      <c r="AX670">
        <v>0</v>
      </c>
      <c r="AY670">
        <v>1</v>
      </c>
      <c r="AZ670" s="21">
        <v>1</v>
      </c>
      <c r="BA670" s="21">
        <v>1</v>
      </c>
      <c r="BB670" s="21">
        <v>1</v>
      </c>
      <c r="BC670">
        <v>0</v>
      </c>
      <c r="BD670">
        <v>0</v>
      </c>
      <c r="BE670">
        <v>0</v>
      </c>
      <c r="BF670">
        <v>0</v>
      </c>
      <c r="BG670">
        <v>1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</row>
    <row r="671" spans="1:71">
      <c r="A671" s="20" t="s">
        <v>4965</v>
      </c>
      <c r="B671">
        <v>127</v>
      </c>
      <c r="C671">
        <v>789</v>
      </c>
      <c r="D671">
        <v>2016</v>
      </c>
      <c r="E671">
        <v>-0.64300000000000002</v>
      </c>
      <c r="F671">
        <f t="shared" ref="F671:F698" si="42">E671/G671</f>
        <v>0.22882562277580071</v>
      </c>
      <c r="G671">
        <v>-2.81</v>
      </c>
      <c r="H671" s="27">
        <v>1</v>
      </c>
      <c r="I671">
        <v>1</v>
      </c>
      <c r="J671">
        <v>1132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2000</v>
      </c>
      <c r="V671">
        <v>2013</v>
      </c>
      <c r="W671">
        <f t="shared" si="41"/>
        <v>2007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 s="21">
        <v>0</v>
      </c>
      <c r="AO671" s="21">
        <v>1</v>
      </c>
      <c r="AP671" s="21">
        <v>0</v>
      </c>
      <c r="AQ671">
        <v>0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0</v>
      </c>
      <c r="BD671">
        <v>0</v>
      </c>
      <c r="BE671">
        <v>1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1</v>
      </c>
      <c r="BO671">
        <v>0</v>
      </c>
      <c r="BP671">
        <v>0</v>
      </c>
      <c r="BQ671">
        <v>0</v>
      </c>
      <c r="BR671">
        <v>0</v>
      </c>
      <c r="BS671">
        <v>0</v>
      </c>
    </row>
    <row r="672" spans="1:71">
      <c r="A672" s="20" t="s">
        <v>4965</v>
      </c>
      <c r="B672">
        <v>127</v>
      </c>
      <c r="C672">
        <v>790</v>
      </c>
      <c r="D672">
        <v>2016</v>
      </c>
      <c r="E672">
        <v>-0.67200000000000004</v>
      </c>
      <c r="F672">
        <f t="shared" si="42"/>
        <v>0.23914590747330963</v>
      </c>
      <c r="G672">
        <v>-2.81</v>
      </c>
      <c r="H672" s="27">
        <v>1</v>
      </c>
      <c r="I672">
        <v>1</v>
      </c>
      <c r="J672">
        <v>1132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1</v>
      </c>
      <c r="U672">
        <v>2000</v>
      </c>
      <c r="V672">
        <v>2013</v>
      </c>
      <c r="W672">
        <f t="shared" si="41"/>
        <v>2007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</v>
      </c>
      <c r="AN672" s="21">
        <v>0</v>
      </c>
      <c r="AO672" s="21">
        <v>1</v>
      </c>
      <c r="AP672" s="21">
        <v>0</v>
      </c>
      <c r="AQ672">
        <v>0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0</v>
      </c>
      <c r="BD672">
        <v>0</v>
      </c>
      <c r="BE672">
        <v>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1</v>
      </c>
      <c r="BO672">
        <v>0</v>
      </c>
      <c r="BP672">
        <v>0</v>
      </c>
      <c r="BQ672">
        <v>0</v>
      </c>
      <c r="BR672">
        <v>0</v>
      </c>
      <c r="BS672">
        <v>0</v>
      </c>
    </row>
    <row r="673" spans="1:71">
      <c r="A673" s="20" t="s">
        <v>4965</v>
      </c>
      <c r="B673">
        <v>127</v>
      </c>
      <c r="C673">
        <v>791</v>
      </c>
      <c r="D673">
        <v>2016</v>
      </c>
      <c r="E673">
        <v>-0.436</v>
      </c>
      <c r="F673">
        <f t="shared" si="42"/>
        <v>0.15516014234875444</v>
      </c>
      <c r="G673">
        <v>-2.81</v>
      </c>
      <c r="H673" s="27">
        <v>1</v>
      </c>
      <c r="I673">
        <v>1</v>
      </c>
      <c r="J673">
        <v>578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1</v>
      </c>
      <c r="U673">
        <v>2000</v>
      </c>
      <c r="V673">
        <v>2013</v>
      </c>
      <c r="W673">
        <f t="shared" si="41"/>
        <v>2007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</v>
      </c>
      <c r="AN673" s="21">
        <v>0</v>
      </c>
      <c r="AO673" s="21">
        <v>1</v>
      </c>
      <c r="AP673" s="21">
        <v>0</v>
      </c>
      <c r="AQ673">
        <v>0</v>
      </c>
      <c r="AR673">
        <v>1</v>
      </c>
      <c r="AS673">
        <v>1</v>
      </c>
      <c r="AT673">
        <v>1</v>
      </c>
      <c r="AU673">
        <v>1</v>
      </c>
      <c r="AV673">
        <v>0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0</v>
      </c>
      <c r="BD673">
        <v>0</v>
      </c>
      <c r="BE673">
        <v>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1</v>
      </c>
      <c r="BO673">
        <v>0</v>
      </c>
      <c r="BP673">
        <v>0</v>
      </c>
      <c r="BQ673">
        <v>0</v>
      </c>
      <c r="BR673">
        <v>0</v>
      </c>
      <c r="BS673">
        <v>0</v>
      </c>
    </row>
    <row r="674" spans="1:71">
      <c r="A674" s="20" t="s">
        <v>4965</v>
      </c>
      <c r="B674">
        <v>127</v>
      </c>
      <c r="C674">
        <v>792</v>
      </c>
      <c r="D674">
        <v>2016</v>
      </c>
      <c r="E674">
        <v>-1.1100000000000001</v>
      </c>
      <c r="F674">
        <f t="shared" si="42"/>
        <v>0.39501779359430605</v>
      </c>
      <c r="G674">
        <v>-2.81</v>
      </c>
      <c r="H674" s="27">
        <v>1</v>
      </c>
      <c r="I674">
        <v>1</v>
      </c>
      <c r="J674">
        <v>554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1</v>
      </c>
      <c r="U674">
        <v>2000</v>
      </c>
      <c r="V674">
        <v>2013</v>
      </c>
      <c r="W674">
        <f t="shared" si="41"/>
        <v>2007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</v>
      </c>
      <c r="AN674" s="21">
        <v>0</v>
      </c>
      <c r="AO674" s="21">
        <v>1</v>
      </c>
      <c r="AP674" s="21">
        <v>0</v>
      </c>
      <c r="AQ674">
        <v>0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0</v>
      </c>
      <c r="BD674">
        <v>0</v>
      </c>
      <c r="BE674">
        <v>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1</v>
      </c>
      <c r="BO674">
        <v>0</v>
      </c>
      <c r="BP674">
        <v>0</v>
      </c>
      <c r="BQ674">
        <v>0</v>
      </c>
      <c r="BR674">
        <v>0</v>
      </c>
      <c r="BS674">
        <v>0</v>
      </c>
    </row>
    <row r="675" spans="1:71">
      <c r="A675" s="20" t="s">
        <v>5145</v>
      </c>
      <c r="B675">
        <v>34</v>
      </c>
      <c r="C675">
        <v>209</v>
      </c>
      <c r="D675" s="21">
        <v>2015</v>
      </c>
      <c r="E675" s="23">
        <v>-0.76</v>
      </c>
      <c r="F675" s="14">
        <f t="shared" si="42"/>
        <v>6.6317626527050602E-2</v>
      </c>
      <c r="G675" s="23">
        <v>-11.46</v>
      </c>
      <c r="H675" s="27">
        <v>0</v>
      </c>
      <c r="I675" s="21">
        <v>1</v>
      </c>
      <c r="J675" s="21">
        <v>286</v>
      </c>
      <c r="K675" s="21">
        <v>1</v>
      </c>
      <c r="L675" s="21">
        <v>0</v>
      </c>
      <c r="M675" s="21">
        <v>0</v>
      </c>
      <c r="N675" s="21">
        <v>0</v>
      </c>
      <c r="O675" s="21">
        <v>0</v>
      </c>
      <c r="P675">
        <v>0</v>
      </c>
      <c r="Q675" s="21">
        <v>0</v>
      </c>
      <c r="R675" s="21">
        <v>0</v>
      </c>
      <c r="S675" s="21">
        <v>0</v>
      </c>
      <c r="T675" s="21">
        <v>1</v>
      </c>
      <c r="U675" s="21">
        <v>1998</v>
      </c>
      <c r="V675" s="21">
        <v>2004</v>
      </c>
      <c r="W675">
        <f t="shared" si="41"/>
        <v>2001</v>
      </c>
      <c r="X675" s="21">
        <v>1</v>
      </c>
      <c r="Y675" s="21">
        <v>0</v>
      </c>
      <c r="Z675" s="21">
        <v>0</v>
      </c>
      <c r="AA675" s="21">
        <v>0</v>
      </c>
      <c r="AB675" s="21">
        <v>0</v>
      </c>
      <c r="AC675" s="21">
        <v>1</v>
      </c>
      <c r="AD675" s="21">
        <v>0</v>
      </c>
      <c r="AE675" s="21">
        <v>0</v>
      </c>
      <c r="AF675" s="21">
        <v>0</v>
      </c>
      <c r="AG675" s="21">
        <v>0</v>
      </c>
      <c r="AH675" s="21">
        <v>1</v>
      </c>
      <c r="AI675" s="21">
        <v>0</v>
      </c>
      <c r="AJ675" s="21">
        <v>0</v>
      </c>
      <c r="AK675" s="21">
        <v>0</v>
      </c>
      <c r="AL675" s="21">
        <v>0</v>
      </c>
      <c r="AM675" s="21">
        <v>0</v>
      </c>
      <c r="AN675" s="21">
        <v>0</v>
      </c>
      <c r="AO675" s="21">
        <v>0</v>
      </c>
      <c r="AP675" s="21">
        <v>1</v>
      </c>
      <c r="AQ675" s="21">
        <v>0</v>
      </c>
      <c r="AR675" s="21">
        <v>1</v>
      </c>
      <c r="AS675" s="21">
        <v>1</v>
      </c>
      <c r="AT675" s="21">
        <v>1</v>
      </c>
      <c r="AU675" s="21">
        <v>0</v>
      </c>
      <c r="AV675" s="21">
        <v>0</v>
      </c>
      <c r="AW675" s="21">
        <v>1</v>
      </c>
      <c r="AX675" s="21">
        <v>0</v>
      </c>
      <c r="AY675" s="21">
        <v>1</v>
      </c>
      <c r="AZ675" s="21">
        <v>0</v>
      </c>
      <c r="BA675" s="21">
        <v>1</v>
      </c>
      <c r="BB675" s="21">
        <v>1</v>
      </c>
      <c r="BC675" s="21">
        <v>0</v>
      </c>
      <c r="BD675" s="21">
        <v>0</v>
      </c>
      <c r="BE675" s="21">
        <v>0</v>
      </c>
      <c r="BF675" s="21">
        <v>0</v>
      </c>
      <c r="BG675" s="21">
        <v>0</v>
      </c>
      <c r="BH675" s="21">
        <v>0</v>
      </c>
      <c r="BI675" s="21">
        <v>0</v>
      </c>
      <c r="BJ675" s="21">
        <v>0</v>
      </c>
      <c r="BK675" s="21">
        <v>0</v>
      </c>
      <c r="BL675" s="21">
        <v>0</v>
      </c>
      <c r="BM675" s="21">
        <v>0</v>
      </c>
      <c r="BN675" s="21">
        <v>0</v>
      </c>
      <c r="BO675" s="21">
        <v>1</v>
      </c>
      <c r="BP675" s="21">
        <v>0</v>
      </c>
      <c r="BQ675" s="21">
        <v>0</v>
      </c>
      <c r="BR675" s="21">
        <v>0</v>
      </c>
      <c r="BS675" s="21">
        <v>0</v>
      </c>
    </row>
    <row r="676" spans="1:71">
      <c r="A676" s="20" t="s">
        <v>5145</v>
      </c>
      <c r="B676">
        <v>34</v>
      </c>
      <c r="C676">
        <v>210</v>
      </c>
      <c r="D676" s="21">
        <v>2015</v>
      </c>
      <c r="E676" s="23">
        <v>-0.76</v>
      </c>
      <c r="F676" s="14">
        <f t="shared" si="42"/>
        <v>6.6317626527050602E-2</v>
      </c>
      <c r="G676" s="23">
        <v>-11.46</v>
      </c>
      <c r="H676" s="27">
        <v>0</v>
      </c>
      <c r="I676" s="21">
        <v>1</v>
      </c>
      <c r="J676" s="21">
        <v>286</v>
      </c>
      <c r="K676" s="21">
        <v>1</v>
      </c>
      <c r="L676" s="21">
        <v>0</v>
      </c>
      <c r="M676" s="21">
        <v>0</v>
      </c>
      <c r="N676" s="21">
        <v>0</v>
      </c>
      <c r="O676" s="21">
        <v>0</v>
      </c>
      <c r="P676">
        <v>0</v>
      </c>
      <c r="Q676" s="21">
        <v>0</v>
      </c>
      <c r="R676" s="21">
        <v>0</v>
      </c>
      <c r="S676" s="21">
        <v>0</v>
      </c>
      <c r="T676" s="21">
        <v>1</v>
      </c>
      <c r="U676" s="21">
        <v>1998</v>
      </c>
      <c r="V676" s="21">
        <v>2004</v>
      </c>
      <c r="W676">
        <f t="shared" si="41"/>
        <v>2001</v>
      </c>
      <c r="X676" s="21">
        <v>1</v>
      </c>
      <c r="Y676" s="21">
        <v>0</v>
      </c>
      <c r="Z676" s="21">
        <v>0</v>
      </c>
      <c r="AA676" s="21">
        <v>0</v>
      </c>
      <c r="AB676" s="21">
        <v>0</v>
      </c>
      <c r="AC676" s="21">
        <v>1</v>
      </c>
      <c r="AD676" s="21">
        <v>0</v>
      </c>
      <c r="AE676" s="21">
        <v>0</v>
      </c>
      <c r="AF676" s="21">
        <v>0</v>
      </c>
      <c r="AG676" s="21">
        <v>0</v>
      </c>
      <c r="AH676" s="21">
        <v>1</v>
      </c>
      <c r="AI676" s="21">
        <v>0</v>
      </c>
      <c r="AJ676" s="21">
        <v>0</v>
      </c>
      <c r="AK676" s="21">
        <v>0</v>
      </c>
      <c r="AL676" s="21">
        <v>0</v>
      </c>
      <c r="AM676" s="21">
        <v>0</v>
      </c>
      <c r="AN676" s="21">
        <v>0</v>
      </c>
      <c r="AO676" s="21">
        <v>0</v>
      </c>
      <c r="AP676" s="21">
        <v>1</v>
      </c>
      <c r="AQ676" s="21">
        <v>0</v>
      </c>
      <c r="AR676" s="21">
        <v>1</v>
      </c>
      <c r="AS676" s="21">
        <v>1</v>
      </c>
      <c r="AT676" s="21">
        <v>1</v>
      </c>
      <c r="AU676" s="21">
        <v>0</v>
      </c>
      <c r="AV676" s="21">
        <v>0</v>
      </c>
      <c r="AW676" s="21">
        <v>1</v>
      </c>
      <c r="AX676" s="21">
        <v>0</v>
      </c>
      <c r="AY676" s="21">
        <v>1</v>
      </c>
      <c r="AZ676" s="21">
        <v>0</v>
      </c>
      <c r="BA676" s="21">
        <v>1</v>
      </c>
      <c r="BB676" s="21">
        <v>1</v>
      </c>
      <c r="BC676" s="21">
        <v>0</v>
      </c>
      <c r="BD676" s="21">
        <v>0</v>
      </c>
      <c r="BE676" s="21">
        <v>0</v>
      </c>
      <c r="BF676" s="21">
        <v>0</v>
      </c>
      <c r="BG676" s="21">
        <v>0</v>
      </c>
      <c r="BH676" s="21">
        <v>0</v>
      </c>
      <c r="BI676" s="21">
        <v>0</v>
      </c>
      <c r="BJ676" s="21">
        <v>0</v>
      </c>
      <c r="BK676" s="21">
        <v>0</v>
      </c>
      <c r="BL676" s="21">
        <v>0</v>
      </c>
      <c r="BM676" s="21">
        <v>0</v>
      </c>
      <c r="BN676" s="21">
        <v>0</v>
      </c>
      <c r="BO676" s="21">
        <v>1</v>
      </c>
      <c r="BP676" s="21">
        <v>0</v>
      </c>
      <c r="BQ676" s="21">
        <v>0</v>
      </c>
      <c r="BR676" s="21">
        <v>0</v>
      </c>
      <c r="BS676" s="21">
        <v>0</v>
      </c>
    </row>
    <row r="677" spans="1:71">
      <c r="A677" s="20" t="s">
        <v>5145</v>
      </c>
      <c r="B677">
        <v>34</v>
      </c>
      <c r="C677">
        <v>211</v>
      </c>
      <c r="D677" s="21">
        <v>2015</v>
      </c>
      <c r="E677" s="23">
        <v>-0.76</v>
      </c>
      <c r="F677" s="14">
        <f t="shared" si="42"/>
        <v>7.1765816808309735E-2</v>
      </c>
      <c r="G677" s="23">
        <v>-10.59</v>
      </c>
      <c r="H677" s="27">
        <v>0</v>
      </c>
      <c r="I677" s="21">
        <v>1</v>
      </c>
      <c r="J677" s="21">
        <v>286</v>
      </c>
      <c r="K677" s="21">
        <v>1</v>
      </c>
      <c r="L677" s="21">
        <v>0</v>
      </c>
      <c r="M677" s="21">
        <v>0</v>
      </c>
      <c r="N677" s="21">
        <v>0</v>
      </c>
      <c r="O677" s="21">
        <v>0</v>
      </c>
      <c r="P677">
        <v>0</v>
      </c>
      <c r="Q677" s="21">
        <v>0</v>
      </c>
      <c r="R677" s="21">
        <v>0</v>
      </c>
      <c r="S677" s="21">
        <v>0</v>
      </c>
      <c r="T677" s="21">
        <v>1</v>
      </c>
      <c r="U677" s="21">
        <v>1998</v>
      </c>
      <c r="V677" s="21">
        <v>2004</v>
      </c>
      <c r="W677">
        <f t="shared" si="41"/>
        <v>2001</v>
      </c>
      <c r="X677" s="21">
        <v>1</v>
      </c>
      <c r="Y677" s="21">
        <v>0</v>
      </c>
      <c r="Z677" s="21">
        <v>0</v>
      </c>
      <c r="AA677" s="21">
        <v>0</v>
      </c>
      <c r="AB677" s="21">
        <v>0</v>
      </c>
      <c r="AC677" s="21">
        <v>1</v>
      </c>
      <c r="AD677" s="21">
        <v>0</v>
      </c>
      <c r="AE677" s="21">
        <v>0</v>
      </c>
      <c r="AF677" s="21">
        <v>0</v>
      </c>
      <c r="AG677" s="21">
        <v>0</v>
      </c>
      <c r="AH677" s="21">
        <v>1</v>
      </c>
      <c r="AI677" s="21">
        <v>0</v>
      </c>
      <c r="AJ677" s="21">
        <v>0</v>
      </c>
      <c r="AK677" s="21">
        <v>0</v>
      </c>
      <c r="AL677" s="21">
        <v>0</v>
      </c>
      <c r="AM677" s="21">
        <v>0</v>
      </c>
      <c r="AN677" s="21">
        <v>0</v>
      </c>
      <c r="AO677" s="21">
        <v>0</v>
      </c>
      <c r="AP677" s="21">
        <v>1</v>
      </c>
      <c r="AQ677" s="21">
        <v>0</v>
      </c>
      <c r="AR677" s="21">
        <v>1</v>
      </c>
      <c r="AS677" s="21">
        <v>1</v>
      </c>
      <c r="AT677" s="21">
        <v>1</v>
      </c>
      <c r="AU677" s="21">
        <v>0</v>
      </c>
      <c r="AV677" s="21">
        <v>0</v>
      </c>
      <c r="AW677" s="21">
        <v>1</v>
      </c>
      <c r="AX677" s="21">
        <v>0</v>
      </c>
      <c r="AY677" s="21">
        <v>1</v>
      </c>
      <c r="AZ677" s="21">
        <v>0</v>
      </c>
      <c r="BA677" s="21">
        <v>1</v>
      </c>
      <c r="BB677" s="21">
        <v>1</v>
      </c>
      <c r="BC677" s="21">
        <v>0</v>
      </c>
      <c r="BD677" s="21">
        <v>0</v>
      </c>
      <c r="BE677" s="21">
        <v>0</v>
      </c>
      <c r="BF677" s="21">
        <v>0</v>
      </c>
      <c r="BG677" s="21">
        <v>0</v>
      </c>
      <c r="BH677" s="21">
        <v>0</v>
      </c>
      <c r="BI677" s="21">
        <v>0</v>
      </c>
      <c r="BJ677" s="21">
        <v>0</v>
      </c>
      <c r="BK677" s="21">
        <v>0</v>
      </c>
      <c r="BL677" s="21">
        <v>0</v>
      </c>
      <c r="BM677" s="21">
        <v>0</v>
      </c>
      <c r="BN677" s="21">
        <v>0</v>
      </c>
      <c r="BO677" s="21">
        <v>1</v>
      </c>
      <c r="BP677" s="21">
        <v>0</v>
      </c>
      <c r="BQ677" s="21">
        <v>0</v>
      </c>
      <c r="BR677" s="21">
        <v>0</v>
      </c>
      <c r="BS677" s="21">
        <v>0</v>
      </c>
    </row>
    <row r="678" spans="1:71">
      <c r="A678" s="20" t="s">
        <v>5145</v>
      </c>
      <c r="B678">
        <v>34</v>
      </c>
      <c r="C678">
        <v>212</v>
      </c>
      <c r="D678" s="21">
        <v>2015</v>
      </c>
      <c r="E678" s="23">
        <v>-0.76</v>
      </c>
      <c r="F678" s="14">
        <f t="shared" si="42"/>
        <v>7.224334600760457E-2</v>
      </c>
      <c r="G678" s="23">
        <v>-10.52</v>
      </c>
      <c r="H678" s="27">
        <v>0</v>
      </c>
      <c r="I678" s="21">
        <v>1</v>
      </c>
      <c r="J678" s="21">
        <v>286</v>
      </c>
      <c r="K678" s="21">
        <v>1</v>
      </c>
      <c r="L678" s="21">
        <v>0</v>
      </c>
      <c r="M678" s="21">
        <v>0</v>
      </c>
      <c r="N678" s="21">
        <v>0</v>
      </c>
      <c r="O678" s="21">
        <v>0</v>
      </c>
      <c r="P678">
        <v>0</v>
      </c>
      <c r="Q678" s="21">
        <v>0</v>
      </c>
      <c r="R678" s="21">
        <v>0</v>
      </c>
      <c r="S678" s="21">
        <v>0</v>
      </c>
      <c r="T678" s="21">
        <v>1</v>
      </c>
      <c r="U678" s="21">
        <v>1998</v>
      </c>
      <c r="V678" s="21">
        <v>2004</v>
      </c>
      <c r="W678">
        <f t="shared" si="41"/>
        <v>2001</v>
      </c>
      <c r="X678" s="21">
        <v>1</v>
      </c>
      <c r="Y678" s="21">
        <v>0</v>
      </c>
      <c r="Z678" s="21">
        <v>0</v>
      </c>
      <c r="AA678" s="21">
        <v>0</v>
      </c>
      <c r="AB678" s="21">
        <v>0</v>
      </c>
      <c r="AC678" s="21">
        <v>1</v>
      </c>
      <c r="AD678" s="21">
        <v>0</v>
      </c>
      <c r="AE678" s="21">
        <v>0</v>
      </c>
      <c r="AF678" s="21">
        <v>0</v>
      </c>
      <c r="AG678" s="21">
        <v>0</v>
      </c>
      <c r="AH678" s="21">
        <v>1</v>
      </c>
      <c r="AI678" s="21">
        <v>0</v>
      </c>
      <c r="AJ678" s="21">
        <v>0</v>
      </c>
      <c r="AK678" s="21">
        <v>0</v>
      </c>
      <c r="AL678" s="21">
        <v>0</v>
      </c>
      <c r="AM678" s="21">
        <v>0</v>
      </c>
      <c r="AN678" s="21">
        <v>0</v>
      </c>
      <c r="AO678" s="21">
        <v>0</v>
      </c>
      <c r="AP678" s="21">
        <v>1</v>
      </c>
      <c r="AQ678" s="21">
        <v>0</v>
      </c>
      <c r="AR678" s="21">
        <v>1</v>
      </c>
      <c r="AS678" s="21">
        <v>1</v>
      </c>
      <c r="AT678" s="21">
        <v>1</v>
      </c>
      <c r="AU678" s="21">
        <v>0</v>
      </c>
      <c r="AV678" s="21">
        <v>0</v>
      </c>
      <c r="AW678" s="21">
        <v>1</v>
      </c>
      <c r="AX678" s="21">
        <v>0</v>
      </c>
      <c r="AY678" s="21">
        <v>1</v>
      </c>
      <c r="AZ678" s="21">
        <v>0</v>
      </c>
      <c r="BA678" s="21">
        <v>1</v>
      </c>
      <c r="BB678" s="21">
        <v>1</v>
      </c>
      <c r="BC678" s="21">
        <v>0</v>
      </c>
      <c r="BD678" s="21">
        <v>0</v>
      </c>
      <c r="BE678" s="21">
        <v>0</v>
      </c>
      <c r="BF678" s="21">
        <v>0</v>
      </c>
      <c r="BG678" s="21">
        <v>0</v>
      </c>
      <c r="BH678" s="21">
        <v>0</v>
      </c>
      <c r="BI678" s="21">
        <v>0</v>
      </c>
      <c r="BJ678" s="21">
        <v>0</v>
      </c>
      <c r="BK678" s="21">
        <v>0</v>
      </c>
      <c r="BL678" s="21">
        <v>0</v>
      </c>
      <c r="BM678" s="21">
        <v>0</v>
      </c>
      <c r="BN678" s="21">
        <v>0</v>
      </c>
      <c r="BO678" s="21">
        <v>1</v>
      </c>
      <c r="BP678" s="21">
        <v>0</v>
      </c>
      <c r="BQ678" s="21">
        <v>0</v>
      </c>
      <c r="BR678" s="21">
        <v>0</v>
      </c>
      <c r="BS678" s="21">
        <v>0</v>
      </c>
    </row>
    <row r="679" spans="1:71">
      <c r="A679" s="20" t="s">
        <v>5145</v>
      </c>
      <c r="B679">
        <v>34</v>
      </c>
      <c r="C679">
        <v>213</v>
      </c>
      <c r="D679" s="21">
        <v>2015</v>
      </c>
      <c r="E679" s="23">
        <v>-0.92</v>
      </c>
      <c r="F679" s="14">
        <f t="shared" si="42"/>
        <v>7.6794657762938229E-2</v>
      </c>
      <c r="G679" s="23">
        <v>-11.98</v>
      </c>
      <c r="H679" s="27">
        <v>0</v>
      </c>
      <c r="I679" s="21">
        <v>1</v>
      </c>
      <c r="J679" s="21">
        <v>231</v>
      </c>
      <c r="K679" s="21">
        <v>1</v>
      </c>
      <c r="L679" s="21">
        <v>0</v>
      </c>
      <c r="M679" s="21">
        <v>0</v>
      </c>
      <c r="N679" s="21">
        <v>0</v>
      </c>
      <c r="O679" s="21">
        <v>0</v>
      </c>
      <c r="P679">
        <v>0</v>
      </c>
      <c r="Q679" s="21">
        <v>0</v>
      </c>
      <c r="R679" s="21">
        <v>0</v>
      </c>
      <c r="S679" s="21">
        <v>0</v>
      </c>
      <c r="T679" s="21">
        <v>1</v>
      </c>
      <c r="U679" s="21">
        <v>1998</v>
      </c>
      <c r="V679" s="21">
        <v>2004</v>
      </c>
      <c r="W679">
        <f t="shared" si="41"/>
        <v>2001</v>
      </c>
      <c r="X679" s="21">
        <v>1</v>
      </c>
      <c r="Y679" s="21">
        <v>0</v>
      </c>
      <c r="Z679" s="21">
        <v>0</v>
      </c>
      <c r="AA679" s="21">
        <v>0</v>
      </c>
      <c r="AB679" s="21">
        <v>0</v>
      </c>
      <c r="AC679" s="21">
        <v>1</v>
      </c>
      <c r="AD679" s="21">
        <v>0</v>
      </c>
      <c r="AE679" s="21">
        <v>0</v>
      </c>
      <c r="AF679" s="21">
        <v>0</v>
      </c>
      <c r="AG679" s="21">
        <v>0</v>
      </c>
      <c r="AH679" s="21">
        <v>1</v>
      </c>
      <c r="AI679" s="21">
        <v>0</v>
      </c>
      <c r="AJ679" s="21">
        <v>0</v>
      </c>
      <c r="AK679" s="21">
        <v>0</v>
      </c>
      <c r="AL679" s="21">
        <v>0</v>
      </c>
      <c r="AM679" s="21">
        <v>0</v>
      </c>
      <c r="AN679" s="21">
        <v>0</v>
      </c>
      <c r="AO679" s="21">
        <v>0</v>
      </c>
      <c r="AP679" s="21">
        <v>1</v>
      </c>
      <c r="AQ679" s="21">
        <v>0</v>
      </c>
      <c r="AR679" s="21">
        <v>1</v>
      </c>
      <c r="AS679" s="21">
        <v>1</v>
      </c>
      <c r="AT679" s="21">
        <v>1</v>
      </c>
      <c r="AU679" s="21">
        <v>0</v>
      </c>
      <c r="AV679" s="21">
        <v>0</v>
      </c>
      <c r="AW679" s="21">
        <v>1</v>
      </c>
      <c r="AX679" s="21">
        <v>0</v>
      </c>
      <c r="AY679" s="21">
        <v>1</v>
      </c>
      <c r="AZ679" s="21">
        <v>0</v>
      </c>
      <c r="BA679" s="21">
        <v>1</v>
      </c>
      <c r="BB679" s="21">
        <v>1</v>
      </c>
      <c r="BC679" s="21">
        <v>0</v>
      </c>
      <c r="BD679" s="21">
        <v>0</v>
      </c>
      <c r="BE679" s="21">
        <v>0</v>
      </c>
      <c r="BF679" s="21">
        <v>0</v>
      </c>
      <c r="BG679" s="21">
        <v>0</v>
      </c>
      <c r="BH679" s="21">
        <v>0</v>
      </c>
      <c r="BI679" s="21">
        <v>0</v>
      </c>
      <c r="BJ679" s="21">
        <v>0</v>
      </c>
      <c r="BK679" s="21">
        <v>0</v>
      </c>
      <c r="BL679" s="21">
        <v>0</v>
      </c>
      <c r="BM679" s="21">
        <v>0</v>
      </c>
      <c r="BN679" s="21">
        <v>0</v>
      </c>
      <c r="BO679" s="21">
        <v>1</v>
      </c>
      <c r="BP679" s="21">
        <v>0</v>
      </c>
      <c r="BQ679" s="21">
        <v>0</v>
      </c>
      <c r="BR679" s="21">
        <v>0</v>
      </c>
      <c r="BS679" s="21">
        <v>0</v>
      </c>
    </row>
    <row r="680" spans="1:71">
      <c r="A680" s="20" t="s">
        <v>5145</v>
      </c>
      <c r="B680">
        <v>34</v>
      </c>
      <c r="C680">
        <v>214</v>
      </c>
      <c r="D680" s="21">
        <v>2015</v>
      </c>
      <c r="E680" s="23">
        <v>-0.88</v>
      </c>
      <c r="F680" s="14">
        <f t="shared" si="42"/>
        <v>7.6990376202974636E-2</v>
      </c>
      <c r="G680" s="23">
        <v>-11.43</v>
      </c>
      <c r="H680" s="27">
        <v>0</v>
      </c>
      <c r="I680" s="21">
        <v>1</v>
      </c>
      <c r="J680" s="21">
        <v>231</v>
      </c>
      <c r="K680" s="21">
        <v>1</v>
      </c>
      <c r="L680" s="21">
        <v>0</v>
      </c>
      <c r="M680" s="21">
        <v>0</v>
      </c>
      <c r="N680" s="21">
        <v>0</v>
      </c>
      <c r="O680" s="21">
        <v>0</v>
      </c>
      <c r="P680">
        <v>0</v>
      </c>
      <c r="Q680" s="21">
        <v>0</v>
      </c>
      <c r="R680" s="21">
        <v>0</v>
      </c>
      <c r="S680" s="21">
        <v>0</v>
      </c>
      <c r="T680" s="21">
        <v>1</v>
      </c>
      <c r="U680" s="21">
        <v>1998</v>
      </c>
      <c r="V680" s="21">
        <v>2004</v>
      </c>
      <c r="W680">
        <f t="shared" si="41"/>
        <v>2001</v>
      </c>
      <c r="X680" s="21">
        <v>1</v>
      </c>
      <c r="Y680" s="21">
        <v>0</v>
      </c>
      <c r="Z680" s="21">
        <v>0</v>
      </c>
      <c r="AA680" s="21">
        <v>0</v>
      </c>
      <c r="AB680" s="21">
        <v>0</v>
      </c>
      <c r="AC680" s="21">
        <v>1</v>
      </c>
      <c r="AD680" s="21">
        <v>0</v>
      </c>
      <c r="AE680" s="21">
        <v>0</v>
      </c>
      <c r="AF680" s="21">
        <v>0</v>
      </c>
      <c r="AG680" s="21">
        <v>0</v>
      </c>
      <c r="AH680" s="21">
        <v>1</v>
      </c>
      <c r="AI680" s="21">
        <v>0</v>
      </c>
      <c r="AJ680" s="21">
        <v>0</v>
      </c>
      <c r="AK680" s="21">
        <v>0</v>
      </c>
      <c r="AL680" s="21">
        <v>0</v>
      </c>
      <c r="AM680" s="21">
        <v>0</v>
      </c>
      <c r="AN680" s="21">
        <v>0</v>
      </c>
      <c r="AO680" s="21">
        <v>0</v>
      </c>
      <c r="AP680" s="21">
        <v>1</v>
      </c>
      <c r="AQ680" s="21">
        <v>0</v>
      </c>
      <c r="AR680" s="21">
        <v>1</v>
      </c>
      <c r="AS680" s="21">
        <v>1</v>
      </c>
      <c r="AT680" s="21">
        <v>1</v>
      </c>
      <c r="AU680" s="21">
        <v>0</v>
      </c>
      <c r="AV680" s="21">
        <v>0</v>
      </c>
      <c r="AW680" s="21">
        <v>1</v>
      </c>
      <c r="AX680" s="21">
        <v>0</v>
      </c>
      <c r="AY680" s="21">
        <v>1</v>
      </c>
      <c r="AZ680" s="21">
        <v>0</v>
      </c>
      <c r="BA680" s="21">
        <v>1</v>
      </c>
      <c r="BB680" s="21">
        <v>1</v>
      </c>
      <c r="BC680" s="21">
        <v>0</v>
      </c>
      <c r="BD680" s="21">
        <v>0</v>
      </c>
      <c r="BE680" s="21">
        <v>0</v>
      </c>
      <c r="BF680" s="21">
        <v>0</v>
      </c>
      <c r="BG680" s="21">
        <v>0</v>
      </c>
      <c r="BH680" s="21">
        <v>0</v>
      </c>
      <c r="BI680" s="21">
        <v>0</v>
      </c>
      <c r="BJ680" s="21">
        <v>0</v>
      </c>
      <c r="BK680" s="21">
        <v>0</v>
      </c>
      <c r="BL680" s="21">
        <v>0</v>
      </c>
      <c r="BM680" s="21">
        <v>0</v>
      </c>
      <c r="BN680" s="21">
        <v>0</v>
      </c>
      <c r="BO680" s="21">
        <v>1</v>
      </c>
      <c r="BP680" s="21">
        <v>0</v>
      </c>
      <c r="BQ680" s="21">
        <v>0</v>
      </c>
      <c r="BR680" s="21">
        <v>0</v>
      </c>
      <c r="BS680" s="21">
        <v>0</v>
      </c>
    </row>
    <row r="681" spans="1:71">
      <c r="A681" s="20" t="s">
        <v>5145</v>
      </c>
      <c r="B681">
        <v>34</v>
      </c>
      <c r="C681">
        <v>215</v>
      </c>
      <c r="D681" s="21">
        <v>2015</v>
      </c>
      <c r="E681" s="23">
        <v>-0.88</v>
      </c>
      <c r="F681" s="14">
        <f t="shared" si="42"/>
        <v>7.560137457044673E-2</v>
      </c>
      <c r="G681" s="23">
        <v>-11.64</v>
      </c>
      <c r="H681" s="27">
        <v>0</v>
      </c>
      <c r="I681" s="21">
        <v>1</v>
      </c>
      <c r="J681" s="21">
        <v>231</v>
      </c>
      <c r="K681" s="21">
        <v>0</v>
      </c>
      <c r="L681" s="21">
        <v>1</v>
      </c>
      <c r="M681" s="21">
        <v>0</v>
      </c>
      <c r="N681" s="21">
        <v>0</v>
      </c>
      <c r="O681" s="21">
        <v>0</v>
      </c>
      <c r="P681">
        <v>1</v>
      </c>
      <c r="Q681" s="21">
        <v>0</v>
      </c>
      <c r="R681" s="21">
        <v>0</v>
      </c>
      <c r="S681" s="21">
        <v>0</v>
      </c>
      <c r="T681" s="21">
        <v>1</v>
      </c>
      <c r="U681" s="21">
        <v>1998</v>
      </c>
      <c r="V681" s="21">
        <v>2004</v>
      </c>
      <c r="W681">
        <f t="shared" si="41"/>
        <v>2001</v>
      </c>
      <c r="X681" s="21">
        <v>1</v>
      </c>
      <c r="Y681" s="21">
        <v>0</v>
      </c>
      <c r="Z681" s="21">
        <v>0</v>
      </c>
      <c r="AA681" s="21">
        <v>0</v>
      </c>
      <c r="AB681" s="21">
        <v>0</v>
      </c>
      <c r="AC681" s="21">
        <v>1</v>
      </c>
      <c r="AD681" s="21">
        <v>0</v>
      </c>
      <c r="AE681" s="21">
        <v>0</v>
      </c>
      <c r="AF681" s="21">
        <v>0</v>
      </c>
      <c r="AG681" s="21">
        <v>0</v>
      </c>
      <c r="AH681" s="21">
        <v>1</v>
      </c>
      <c r="AI681" s="21">
        <v>0</v>
      </c>
      <c r="AJ681" s="21">
        <v>0</v>
      </c>
      <c r="AK681" s="21">
        <v>0</v>
      </c>
      <c r="AL681" s="21">
        <v>0</v>
      </c>
      <c r="AM681" s="21">
        <v>0</v>
      </c>
      <c r="AN681" s="21">
        <v>0</v>
      </c>
      <c r="AO681" s="21">
        <v>0</v>
      </c>
      <c r="AP681" s="21">
        <v>1</v>
      </c>
      <c r="AQ681" s="21">
        <v>0</v>
      </c>
      <c r="AR681" s="21">
        <v>1</v>
      </c>
      <c r="AS681" s="21">
        <v>1</v>
      </c>
      <c r="AT681" s="21">
        <v>1</v>
      </c>
      <c r="AU681" s="21">
        <v>0</v>
      </c>
      <c r="AV681" s="21">
        <v>0</v>
      </c>
      <c r="AW681" s="21">
        <v>1</v>
      </c>
      <c r="AX681" s="21">
        <v>0</v>
      </c>
      <c r="AY681" s="21">
        <v>1</v>
      </c>
      <c r="AZ681" s="21">
        <v>0</v>
      </c>
      <c r="BA681" s="21">
        <v>1</v>
      </c>
      <c r="BB681" s="21">
        <v>1</v>
      </c>
      <c r="BC681" s="21">
        <v>0</v>
      </c>
      <c r="BD681" s="21">
        <v>0</v>
      </c>
      <c r="BE681" s="21">
        <v>0</v>
      </c>
      <c r="BF681" s="21">
        <v>0</v>
      </c>
      <c r="BG681" s="21">
        <v>0</v>
      </c>
      <c r="BH681" s="21">
        <v>0</v>
      </c>
      <c r="BI681" s="21">
        <v>0</v>
      </c>
      <c r="BJ681" s="21">
        <v>0</v>
      </c>
      <c r="BK681" s="21">
        <v>0</v>
      </c>
      <c r="BL681" s="21">
        <v>0</v>
      </c>
      <c r="BM681" s="21">
        <v>0</v>
      </c>
      <c r="BN681" s="21">
        <v>0</v>
      </c>
      <c r="BO681" s="21">
        <v>1</v>
      </c>
      <c r="BP681" s="21">
        <v>0</v>
      </c>
      <c r="BQ681" s="21">
        <v>0</v>
      </c>
      <c r="BR681" s="21">
        <v>0</v>
      </c>
      <c r="BS681" s="21">
        <v>0</v>
      </c>
    </row>
    <row r="682" spans="1:71">
      <c r="A682" s="20" t="s">
        <v>5145</v>
      </c>
      <c r="B682">
        <v>34</v>
      </c>
      <c r="C682">
        <v>216</v>
      </c>
      <c r="D682" s="21">
        <v>2015</v>
      </c>
      <c r="E682" s="23">
        <v>-0.12</v>
      </c>
      <c r="F682" s="14">
        <f t="shared" si="42"/>
        <v>1.1483253588516746E-2</v>
      </c>
      <c r="G682" s="23">
        <v>-10.45</v>
      </c>
      <c r="H682" s="27">
        <v>0</v>
      </c>
      <c r="I682" s="21">
        <v>1</v>
      </c>
      <c r="J682" s="21">
        <v>231</v>
      </c>
      <c r="K682" s="21">
        <v>0</v>
      </c>
      <c r="L682" s="21">
        <v>0</v>
      </c>
      <c r="M682" s="21">
        <v>1</v>
      </c>
      <c r="N682" s="21">
        <v>0</v>
      </c>
      <c r="O682" s="21">
        <v>0</v>
      </c>
      <c r="P682">
        <v>0</v>
      </c>
      <c r="Q682" s="21">
        <v>0</v>
      </c>
      <c r="R682" s="21">
        <v>0</v>
      </c>
      <c r="S682" s="21">
        <v>0</v>
      </c>
      <c r="T682" s="21">
        <v>1</v>
      </c>
      <c r="U682" s="21">
        <v>1998</v>
      </c>
      <c r="V682" s="21">
        <v>2004</v>
      </c>
      <c r="W682">
        <f t="shared" si="41"/>
        <v>2001</v>
      </c>
      <c r="X682" s="21">
        <v>1</v>
      </c>
      <c r="Y682" s="21">
        <v>0</v>
      </c>
      <c r="Z682" s="21">
        <v>0</v>
      </c>
      <c r="AA682" s="21">
        <v>0</v>
      </c>
      <c r="AB682" s="21">
        <v>0</v>
      </c>
      <c r="AC682" s="21">
        <v>1</v>
      </c>
      <c r="AD682" s="21">
        <v>0</v>
      </c>
      <c r="AE682" s="21">
        <v>0</v>
      </c>
      <c r="AF682" s="21">
        <v>0</v>
      </c>
      <c r="AG682" s="21">
        <v>0</v>
      </c>
      <c r="AH682" s="21">
        <v>1</v>
      </c>
      <c r="AI682" s="21">
        <v>0</v>
      </c>
      <c r="AJ682" s="21">
        <v>0</v>
      </c>
      <c r="AK682" s="21">
        <v>0</v>
      </c>
      <c r="AL682" s="21">
        <v>0</v>
      </c>
      <c r="AM682" s="21">
        <v>0</v>
      </c>
      <c r="AN682" s="21">
        <v>0</v>
      </c>
      <c r="AO682" s="21">
        <v>0</v>
      </c>
      <c r="AP682" s="21">
        <v>1</v>
      </c>
      <c r="AQ682" s="21">
        <v>0</v>
      </c>
      <c r="AR682" s="21">
        <v>1</v>
      </c>
      <c r="AS682" s="21">
        <v>1</v>
      </c>
      <c r="AT682" s="21">
        <v>1</v>
      </c>
      <c r="AU682" s="21">
        <v>0</v>
      </c>
      <c r="AV682" s="21">
        <v>0</v>
      </c>
      <c r="AW682" s="21">
        <v>1</v>
      </c>
      <c r="AX682" s="21">
        <v>0</v>
      </c>
      <c r="AY682" s="21">
        <v>1</v>
      </c>
      <c r="AZ682" s="21">
        <v>0</v>
      </c>
      <c r="BA682" s="21">
        <v>1</v>
      </c>
      <c r="BB682" s="21">
        <v>1</v>
      </c>
      <c r="BC682" s="21">
        <v>0</v>
      </c>
      <c r="BD682" s="21">
        <v>0</v>
      </c>
      <c r="BE682" s="21">
        <v>0</v>
      </c>
      <c r="BF682" s="21">
        <v>0</v>
      </c>
      <c r="BG682" s="21">
        <v>0</v>
      </c>
      <c r="BH682" s="21">
        <v>0</v>
      </c>
      <c r="BI682" s="21">
        <v>0</v>
      </c>
      <c r="BJ682" s="21">
        <v>0</v>
      </c>
      <c r="BK682" s="21">
        <v>0</v>
      </c>
      <c r="BL682" s="21">
        <v>0</v>
      </c>
      <c r="BM682" s="21">
        <v>0</v>
      </c>
      <c r="BN682" s="21">
        <v>0</v>
      </c>
      <c r="BO682" s="21">
        <v>1</v>
      </c>
      <c r="BP682" s="21">
        <v>0</v>
      </c>
      <c r="BQ682" s="21">
        <v>0</v>
      </c>
      <c r="BR682" s="21">
        <v>0</v>
      </c>
      <c r="BS682" s="21">
        <v>0</v>
      </c>
    </row>
    <row r="683" spans="1:71">
      <c r="A683" s="20" t="s">
        <v>5235</v>
      </c>
      <c r="B683">
        <v>67</v>
      </c>
      <c r="C683">
        <v>444</v>
      </c>
      <c r="D683">
        <v>2015</v>
      </c>
      <c r="E683">
        <v>-0.34</v>
      </c>
      <c r="F683">
        <f t="shared" si="42"/>
        <v>3.2380952380952385E-2</v>
      </c>
      <c r="G683">
        <v>-10.5</v>
      </c>
      <c r="H683" s="27">
        <v>0</v>
      </c>
      <c r="I683">
        <v>1</v>
      </c>
      <c r="J683">
        <v>42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2010</v>
      </c>
      <c r="V683">
        <v>2010</v>
      </c>
      <c r="W683">
        <f t="shared" si="41"/>
        <v>2010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0</v>
      </c>
      <c r="AN683" s="21">
        <v>0</v>
      </c>
      <c r="AO683" s="21">
        <v>0</v>
      </c>
      <c r="AP683" s="21">
        <v>1</v>
      </c>
      <c r="AQ683">
        <v>1</v>
      </c>
      <c r="AR683">
        <v>0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 s="21">
        <v>1</v>
      </c>
      <c r="BA683" s="21">
        <v>1</v>
      </c>
      <c r="BB683" s="21">
        <v>1</v>
      </c>
      <c r="BC683">
        <v>0</v>
      </c>
      <c r="BD683">
        <v>1</v>
      </c>
      <c r="BE683">
        <v>0</v>
      </c>
      <c r="BF683">
        <v>1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0</v>
      </c>
      <c r="BO683">
        <v>0</v>
      </c>
      <c r="BP683">
        <v>0</v>
      </c>
      <c r="BQ683">
        <v>0</v>
      </c>
      <c r="BR683" s="21">
        <v>0</v>
      </c>
      <c r="BS683" s="21">
        <v>0</v>
      </c>
    </row>
    <row r="684" spans="1:71">
      <c r="A684" s="20" t="s">
        <v>5235</v>
      </c>
      <c r="B684">
        <v>67</v>
      </c>
      <c r="C684">
        <v>445</v>
      </c>
      <c r="D684">
        <v>2015</v>
      </c>
      <c r="E684">
        <v>-0.28599999999999998</v>
      </c>
      <c r="F684">
        <f t="shared" si="42"/>
        <v>2.9720461394575497E-2</v>
      </c>
      <c r="G684">
        <v>-9.6229999999999993</v>
      </c>
      <c r="H684" s="27">
        <v>0</v>
      </c>
      <c r="I684">
        <v>1</v>
      </c>
      <c r="J684">
        <v>42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2010</v>
      </c>
      <c r="V684">
        <v>2010</v>
      </c>
      <c r="W684">
        <f t="shared" si="41"/>
        <v>2010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0</v>
      </c>
      <c r="AN684" s="21">
        <v>0</v>
      </c>
      <c r="AO684" s="21">
        <v>0</v>
      </c>
      <c r="AP684" s="21">
        <v>1</v>
      </c>
      <c r="AQ684">
        <v>1</v>
      </c>
      <c r="AR684">
        <v>0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 s="21">
        <v>1</v>
      </c>
      <c r="BA684" s="21">
        <v>1</v>
      </c>
      <c r="BB684" s="21">
        <v>1</v>
      </c>
      <c r="BC684">
        <v>0</v>
      </c>
      <c r="BD684">
        <v>1</v>
      </c>
      <c r="BE684">
        <v>0</v>
      </c>
      <c r="BF684">
        <v>1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 s="21">
        <v>0</v>
      </c>
      <c r="BS684" s="21">
        <v>0</v>
      </c>
    </row>
    <row r="685" spans="1:71">
      <c r="A685" s="20" t="s">
        <v>5235</v>
      </c>
      <c r="B685">
        <v>67</v>
      </c>
      <c r="C685">
        <v>446</v>
      </c>
      <c r="D685">
        <v>2015</v>
      </c>
      <c r="E685">
        <v>-0.379</v>
      </c>
      <c r="F685">
        <f t="shared" si="42"/>
        <v>4.2078383479515931E-2</v>
      </c>
      <c r="G685">
        <v>-9.0069999999999997</v>
      </c>
      <c r="H685" s="27">
        <v>0</v>
      </c>
      <c r="I685">
        <v>1</v>
      </c>
      <c r="J685">
        <v>42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2010</v>
      </c>
      <c r="V685">
        <v>2010</v>
      </c>
      <c r="W685">
        <f t="shared" si="41"/>
        <v>2010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0</v>
      </c>
      <c r="AM685">
        <v>0</v>
      </c>
      <c r="AN685" s="21">
        <v>0</v>
      </c>
      <c r="AO685" s="21">
        <v>0</v>
      </c>
      <c r="AP685" s="21">
        <v>1</v>
      </c>
      <c r="AQ685">
        <v>1</v>
      </c>
      <c r="AR685">
        <v>0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 s="21">
        <v>1</v>
      </c>
      <c r="BA685" s="21">
        <v>1</v>
      </c>
      <c r="BB685" s="21">
        <v>1</v>
      </c>
      <c r="BC685">
        <v>0</v>
      </c>
      <c r="BD685">
        <v>0</v>
      </c>
      <c r="BE685">
        <v>0</v>
      </c>
      <c r="BF685">
        <v>1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1</v>
      </c>
      <c r="BN685">
        <v>0</v>
      </c>
      <c r="BO685">
        <v>0</v>
      </c>
      <c r="BP685">
        <v>0</v>
      </c>
      <c r="BQ685">
        <v>0</v>
      </c>
      <c r="BR685" s="21">
        <v>0</v>
      </c>
      <c r="BS685" s="21">
        <v>0</v>
      </c>
    </row>
    <row r="686" spans="1:71">
      <c r="A686" s="20" t="s">
        <v>5235</v>
      </c>
      <c r="B686">
        <v>67</v>
      </c>
      <c r="C686">
        <v>447</v>
      </c>
      <c r="D686">
        <v>2015</v>
      </c>
      <c r="E686">
        <v>-0.29799999999999999</v>
      </c>
      <c r="F686">
        <f t="shared" si="42"/>
        <v>3.1074035453597496E-2</v>
      </c>
      <c r="G686">
        <v>-9.59</v>
      </c>
      <c r="H686" s="27">
        <v>0</v>
      </c>
      <c r="I686">
        <v>1</v>
      </c>
      <c r="J686">
        <v>42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2010</v>
      </c>
      <c r="V686">
        <v>2010</v>
      </c>
      <c r="W686">
        <f t="shared" si="41"/>
        <v>2010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0</v>
      </c>
      <c r="AL686">
        <v>0</v>
      </c>
      <c r="AM686">
        <v>0</v>
      </c>
      <c r="AN686" s="21">
        <v>0</v>
      </c>
      <c r="AO686" s="21">
        <v>0</v>
      </c>
      <c r="AP686" s="21">
        <v>1</v>
      </c>
      <c r="AQ686">
        <v>1</v>
      </c>
      <c r="AR686">
        <v>0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 s="21">
        <v>1</v>
      </c>
      <c r="BA686" s="21">
        <v>1</v>
      </c>
      <c r="BB686" s="21">
        <v>1</v>
      </c>
      <c r="BC686">
        <v>0</v>
      </c>
      <c r="BD686">
        <v>1</v>
      </c>
      <c r="BE686">
        <v>0</v>
      </c>
      <c r="BF686">
        <v>1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1</v>
      </c>
      <c r="BN686">
        <v>0</v>
      </c>
      <c r="BO686">
        <v>0</v>
      </c>
      <c r="BP686">
        <v>0</v>
      </c>
      <c r="BQ686">
        <v>0</v>
      </c>
      <c r="BR686" s="21">
        <v>0</v>
      </c>
      <c r="BS686" s="21">
        <v>0</v>
      </c>
    </row>
    <row r="687" spans="1:71">
      <c r="A687" s="20" t="s">
        <v>5235</v>
      </c>
      <c r="B687">
        <v>67</v>
      </c>
      <c r="C687">
        <v>448</v>
      </c>
      <c r="D687">
        <v>2015</v>
      </c>
      <c r="E687">
        <v>-0.30299999999999999</v>
      </c>
      <c r="F687">
        <f t="shared" si="42"/>
        <v>3.258064516129032E-2</v>
      </c>
      <c r="G687">
        <v>-9.3000000000000007</v>
      </c>
      <c r="H687" s="27">
        <v>0</v>
      </c>
      <c r="I687">
        <v>1</v>
      </c>
      <c r="J687">
        <v>42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2010</v>
      </c>
      <c r="V687">
        <v>2010</v>
      </c>
      <c r="W687">
        <f t="shared" si="41"/>
        <v>2010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0</v>
      </c>
      <c r="AM687">
        <v>0</v>
      </c>
      <c r="AN687" s="21">
        <v>0</v>
      </c>
      <c r="AO687" s="21">
        <v>0</v>
      </c>
      <c r="AP687" s="21">
        <v>1</v>
      </c>
      <c r="AQ687">
        <v>1</v>
      </c>
      <c r="AR687">
        <v>0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 s="21">
        <v>1</v>
      </c>
      <c r="BA687" s="21">
        <v>1</v>
      </c>
      <c r="BB687" s="21">
        <v>1</v>
      </c>
      <c r="BC687">
        <v>0</v>
      </c>
      <c r="BD687">
        <v>1</v>
      </c>
      <c r="BE687">
        <v>0</v>
      </c>
      <c r="BF687">
        <v>1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1</v>
      </c>
      <c r="BN687">
        <v>0</v>
      </c>
      <c r="BO687">
        <v>0</v>
      </c>
      <c r="BP687">
        <v>0</v>
      </c>
      <c r="BQ687">
        <v>0</v>
      </c>
      <c r="BR687" s="21">
        <v>0</v>
      </c>
      <c r="BS687" s="21">
        <v>0</v>
      </c>
    </row>
    <row r="688" spans="1:71">
      <c r="A688" s="20" t="s">
        <v>5235</v>
      </c>
      <c r="B688">
        <v>67</v>
      </c>
      <c r="C688">
        <v>449</v>
      </c>
      <c r="D688">
        <v>2015</v>
      </c>
      <c r="E688">
        <v>-0.32</v>
      </c>
      <c r="F688">
        <f t="shared" si="42"/>
        <v>4.9299029425358194E-2</v>
      </c>
      <c r="G688">
        <v>-6.4909999999999997</v>
      </c>
      <c r="H688" s="27">
        <v>0</v>
      </c>
      <c r="I688">
        <v>1</v>
      </c>
      <c r="J688">
        <v>42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2010</v>
      </c>
      <c r="V688">
        <v>2010</v>
      </c>
      <c r="W688">
        <f t="shared" si="41"/>
        <v>2010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0</v>
      </c>
      <c r="AM688">
        <v>0</v>
      </c>
      <c r="AN688" s="21">
        <v>0</v>
      </c>
      <c r="AO688" s="21">
        <v>0</v>
      </c>
      <c r="AP688" s="21">
        <v>1</v>
      </c>
      <c r="AQ688">
        <v>1</v>
      </c>
      <c r="AR688">
        <v>0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 s="21">
        <v>1</v>
      </c>
      <c r="BA688" s="21">
        <v>1</v>
      </c>
      <c r="BB688" s="21">
        <v>1</v>
      </c>
      <c r="BC688">
        <v>0</v>
      </c>
      <c r="BD688">
        <v>1</v>
      </c>
      <c r="BE688">
        <v>0</v>
      </c>
      <c r="BF688">
        <v>1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1</v>
      </c>
      <c r="BN688">
        <v>0</v>
      </c>
      <c r="BO688">
        <v>0</v>
      </c>
      <c r="BP688">
        <v>0</v>
      </c>
      <c r="BQ688">
        <v>0</v>
      </c>
      <c r="BR688" s="21">
        <v>0</v>
      </c>
      <c r="BS688" s="21">
        <v>0</v>
      </c>
    </row>
    <row r="689" spans="1:71">
      <c r="A689" s="20" t="s">
        <v>5235</v>
      </c>
      <c r="B689">
        <v>67</v>
      </c>
      <c r="C689">
        <v>450</v>
      </c>
      <c r="D689">
        <v>2015</v>
      </c>
      <c r="E689">
        <v>-0.315</v>
      </c>
      <c r="F689">
        <f t="shared" si="42"/>
        <v>4.9543881723812522E-2</v>
      </c>
      <c r="G689">
        <v>-6.3579999999999997</v>
      </c>
      <c r="H689" s="27">
        <v>0</v>
      </c>
      <c r="I689">
        <v>1</v>
      </c>
      <c r="J689">
        <v>42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2010</v>
      </c>
      <c r="V689">
        <v>2010</v>
      </c>
      <c r="W689">
        <f t="shared" si="41"/>
        <v>2010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0</v>
      </c>
      <c r="AN689" s="21">
        <v>0</v>
      </c>
      <c r="AO689" s="21">
        <v>0</v>
      </c>
      <c r="AP689" s="21">
        <v>1</v>
      </c>
      <c r="AQ689">
        <v>1</v>
      </c>
      <c r="AR689">
        <v>0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 s="21">
        <v>1</v>
      </c>
      <c r="BA689" s="21">
        <v>1</v>
      </c>
      <c r="BB689" s="21">
        <v>1</v>
      </c>
      <c r="BC689">
        <v>0</v>
      </c>
      <c r="BD689">
        <v>1</v>
      </c>
      <c r="BE689">
        <v>0</v>
      </c>
      <c r="BF689">
        <v>1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1</v>
      </c>
      <c r="BN689">
        <v>0</v>
      </c>
      <c r="BO689">
        <v>0</v>
      </c>
      <c r="BP689">
        <v>0</v>
      </c>
      <c r="BQ689">
        <v>0</v>
      </c>
      <c r="BR689" s="21">
        <v>0</v>
      </c>
      <c r="BS689" s="21">
        <v>0</v>
      </c>
    </row>
    <row r="690" spans="1:71">
      <c r="A690" s="20" t="s">
        <v>5235</v>
      </c>
      <c r="B690">
        <v>67</v>
      </c>
      <c r="C690">
        <v>451</v>
      </c>
      <c r="D690">
        <v>2015</v>
      </c>
      <c r="E690">
        <v>-0.314</v>
      </c>
      <c r="F690">
        <f t="shared" si="42"/>
        <v>4.7575757575757577E-2</v>
      </c>
      <c r="G690">
        <v>-6.6</v>
      </c>
      <c r="H690" s="27">
        <v>0</v>
      </c>
      <c r="I690">
        <v>1</v>
      </c>
      <c r="J690">
        <v>42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2010</v>
      </c>
      <c r="V690">
        <v>2010</v>
      </c>
      <c r="W690">
        <f t="shared" si="41"/>
        <v>2010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0</v>
      </c>
      <c r="AK690">
        <v>0</v>
      </c>
      <c r="AL690">
        <v>0</v>
      </c>
      <c r="AM690">
        <v>0</v>
      </c>
      <c r="AN690" s="21">
        <v>0</v>
      </c>
      <c r="AO690" s="21">
        <v>0</v>
      </c>
      <c r="AP690" s="21">
        <v>1</v>
      </c>
      <c r="AQ690">
        <v>1</v>
      </c>
      <c r="AR690">
        <v>0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 s="21">
        <v>1</v>
      </c>
      <c r="BA690" s="21">
        <v>1</v>
      </c>
      <c r="BB690" s="21">
        <v>1</v>
      </c>
      <c r="BC690">
        <v>0</v>
      </c>
      <c r="BD690">
        <v>1</v>
      </c>
      <c r="BE690">
        <v>0</v>
      </c>
      <c r="BF690">
        <v>1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1</v>
      </c>
      <c r="BN690">
        <v>0</v>
      </c>
      <c r="BO690">
        <v>0</v>
      </c>
      <c r="BP690">
        <v>0</v>
      </c>
      <c r="BQ690">
        <v>0</v>
      </c>
      <c r="BR690" s="21">
        <v>0</v>
      </c>
      <c r="BS690" s="21">
        <v>0</v>
      </c>
    </row>
    <row r="691" spans="1:71">
      <c r="A691" s="20" t="s">
        <v>4880</v>
      </c>
      <c r="B691">
        <v>83</v>
      </c>
      <c r="C691">
        <v>524</v>
      </c>
      <c r="D691">
        <v>2015</v>
      </c>
      <c r="E691">
        <v>-1.516</v>
      </c>
      <c r="F691">
        <f t="shared" si="42"/>
        <v>0.53950177935943056</v>
      </c>
      <c r="G691">
        <v>-2.81</v>
      </c>
      <c r="H691" s="27">
        <v>1</v>
      </c>
      <c r="I691">
        <v>1</v>
      </c>
      <c r="J691">
        <v>125936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1</v>
      </c>
      <c r="U691">
        <v>1995</v>
      </c>
      <c r="V691">
        <v>2010</v>
      </c>
      <c r="W691">
        <f t="shared" si="41"/>
        <v>2003</v>
      </c>
      <c r="X691">
        <v>1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 s="21">
        <v>1</v>
      </c>
      <c r="AO691" s="21">
        <v>1</v>
      </c>
      <c r="AP691" s="21">
        <v>1</v>
      </c>
      <c r="AQ691">
        <v>0</v>
      </c>
      <c r="AR691">
        <v>1</v>
      </c>
      <c r="AS691">
        <v>0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 s="21">
        <v>1</v>
      </c>
      <c r="BA691" s="21">
        <v>1</v>
      </c>
      <c r="BB691" s="21">
        <v>1</v>
      </c>
      <c r="BC691">
        <v>1</v>
      </c>
      <c r="BD691">
        <v>1</v>
      </c>
      <c r="BE691">
        <v>1</v>
      </c>
      <c r="BF691">
        <v>0</v>
      </c>
      <c r="BG691">
        <v>1</v>
      </c>
      <c r="BH691">
        <v>0</v>
      </c>
      <c r="BI691">
        <v>1</v>
      </c>
      <c r="BJ691">
        <v>1</v>
      </c>
      <c r="BK691">
        <v>1</v>
      </c>
      <c r="BL691">
        <v>0</v>
      </c>
      <c r="BM691">
        <v>1</v>
      </c>
      <c r="BN691">
        <v>0</v>
      </c>
      <c r="BO691">
        <v>1</v>
      </c>
      <c r="BP691">
        <v>0</v>
      </c>
      <c r="BQ691">
        <v>0</v>
      </c>
      <c r="BR691" s="21">
        <v>1</v>
      </c>
      <c r="BS691" s="21">
        <v>0</v>
      </c>
    </row>
    <row r="692" spans="1:71">
      <c r="A692" s="20" t="s">
        <v>4880</v>
      </c>
      <c r="B692">
        <v>83</v>
      </c>
      <c r="C692">
        <v>525</v>
      </c>
      <c r="D692">
        <v>2015</v>
      </c>
      <c r="E692">
        <v>-1.4970000000000001</v>
      </c>
      <c r="F692">
        <f t="shared" si="42"/>
        <v>0.53274021352313172</v>
      </c>
      <c r="G692">
        <v>-2.81</v>
      </c>
      <c r="H692" s="27">
        <v>1</v>
      </c>
      <c r="I692">
        <v>1</v>
      </c>
      <c r="J692">
        <v>128271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1</v>
      </c>
      <c r="U692">
        <v>1995</v>
      </c>
      <c r="V692">
        <v>2010</v>
      </c>
      <c r="W692">
        <f t="shared" si="41"/>
        <v>2003</v>
      </c>
      <c r="X692">
        <v>1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 s="21">
        <v>1</v>
      </c>
      <c r="AO692" s="21">
        <v>1</v>
      </c>
      <c r="AP692" s="21">
        <v>1</v>
      </c>
      <c r="AQ692">
        <v>0</v>
      </c>
      <c r="AR692">
        <v>1</v>
      </c>
      <c r="AS692">
        <v>0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 s="21">
        <v>1</v>
      </c>
      <c r="BA692" s="21">
        <v>1</v>
      </c>
      <c r="BB692" s="21">
        <v>1</v>
      </c>
      <c r="BC692">
        <v>1</v>
      </c>
      <c r="BD692">
        <v>1</v>
      </c>
      <c r="BE692">
        <v>1</v>
      </c>
      <c r="BF692">
        <v>0</v>
      </c>
      <c r="BG692">
        <v>0</v>
      </c>
      <c r="BH692">
        <v>0</v>
      </c>
      <c r="BI692">
        <v>1</v>
      </c>
      <c r="BJ692">
        <v>0</v>
      </c>
      <c r="BK692">
        <v>0</v>
      </c>
      <c r="BL692">
        <v>0</v>
      </c>
      <c r="BM692">
        <v>1</v>
      </c>
      <c r="BN692">
        <v>0</v>
      </c>
      <c r="BO692">
        <v>1</v>
      </c>
      <c r="BP692">
        <v>0</v>
      </c>
      <c r="BQ692">
        <v>0</v>
      </c>
      <c r="BR692" s="21">
        <v>1</v>
      </c>
      <c r="BS692" s="21">
        <v>0</v>
      </c>
    </row>
    <row r="693" spans="1:71">
      <c r="A693" s="20" t="s">
        <v>4880</v>
      </c>
      <c r="B693">
        <v>83</v>
      </c>
      <c r="C693">
        <v>526</v>
      </c>
      <c r="D693">
        <v>2015</v>
      </c>
      <c r="E693">
        <v>-1.556</v>
      </c>
      <c r="F693">
        <f t="shared" si="42"/>
        <v>0.55373665480427048</v>
      </c>
      <c r="G693">
        <v>-2.81</v>
      </c>
      <c r="H693" s="27">
        <v>1</v>
      </c>
      <c r="I693">
        <v>1</v>
      </c>
      <c r="J693">
        <v>125936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1</v>
      </c>
      <c r="U693">
        <v>1995</v>
      </c>
      <c r="V693">
        <v>2010</v>
      </c>
      <c r="W693">
        <f t="shared" si="41"/>
        <v>2003</v>
      </c>
      <c r="X693">
        <v>1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 s="21">
        <v>1</v>
      </c>
      <c r="AO693" s="21">
        <v>1</v>
      </c>
      <c r="AP693" s="21">
        <v>1</v>
      </c>
      <c r="AQ693">
        <v>0</v>
      </c>
      <c r="AR693">
        <v>1</v>
      </c>
      <c r="AS693">
        <v>0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 s="21">
        <v>1</v>
      </c>
      <c r="BA693" s="21">
        <v>1</v>
      </c>
      <c r="BB693" s="21">
        <v>1</v>
      </c>
      <c r="BC693">
        <v>1</v>
      </c>
      <c r="BD693">
        <v>1</v>
      </c>
      <c r="BE693">
        <v>1</v>
      </c>
      <c r="BF693">
        <v>0</v>
      </c>
      <c r="BG693">
        <v>1</v>
      </c>
      <c r="BH693">
        <v>0</v>
      </c>
      <c r="BI693">
        <v>1</v>
      </c>
      <c r="BJ693">
        <v>1</v>
      </c>
      <c r="BK693">
        <v>1</v>
      </c>
      <c r="BL693">
        <v>0</v>
      </c>
      <c r="BM693">
        <v>1</v>
      </c>
      <c r="BN693">
        <v>0</v>
      </c>
      <c r="BO693">
        <v>1</v>
      </c>
      <c r="BP693">
        <v>0</v>
      </c>
      <c r="BQ693">
        <v>0</v>
      </c>
      <c r="BR693" s="21">
        <v>1</v>
      </c>
      <c r="BS693" s="21">
        <v>0</v>
      </c>
    </row>
    <row r="694" spans="1:71">
      <c r="A694" s="20" t="s">
        <v>4880</v>
      </c>
      <c r="B694">
        <v>83</v>
      </c>
      <c r="C694">
        <v>527</v>
      </c>
      <c r="D694">
        <v>2015</v>
      </c>
      <c r="E694">
        <v>-1.5329999999999999</v>
      </c>
      <c r="F694">
        <f t="shared" si="42"/>
        <v>0.54555160142348746</v>
      </c>
      <c r="G694">
        <v>-2.81</v>
      </c>
      <c r="H694" s="27">
        <v>1</v>
      </c>
      <c r="I694">
        <v>1</v>
      </c>
      <c r="J694">
        <v>128271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1</v>
      </c>
      <c r="U694">
        <v>1995</v>
      </c>
      <c r="V694">
        <v>2010</v>
      </c>
      <c r="W694">
        <f t="shared" si="41"/>
        <v>2003</v>
      </c>
      <c r="X694">
        <v>1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 s="21">
        <v>1</v>
      </c>
      <c r="AO694" s="21">
        <v>1</v>
      </c>
      <c r="AP694" s="21">
        <v>1</v>
      </c>
      <c r="AQ694">
        <v>0</v>
      </c>
      <c r="AR694">
        <v>1</v>
      </c>
      <c r="AS694">
        <v>0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 s="21">
        <v>1</v>
      </c>
      <c r="BA694" s="21">
        <v>1</v>
      </c>
      <c r="BB694" s="21">
        <v>1</v>
      </c>
      <c r="BC694">
        <v>1</v>
      </c>
      <c r="BD694">
        <v>1</v>
      </c>
      <c r="BE694">
        <v>1</v>
      </c>
      <c r="BF694">
        <v>0</v>
      </c>
      <c r="BG694">
        <v>0</v>
      </c>
      <c r="BH694">
        <v>0</v>
      </c>
      <c r="BI694">
        <v>1</v>
      </c>
      <c r="BJ694">
        <v>0</v>
      </c>
      <c r="BK694">
        <v>0</v>
      </c>
      <c r="BL694">
        <v>0</v>
      </c>
      <c r="BM694">
        <v>1</v>
      </c>
      <c r="BN694">
        <v>0</v>
      </c>
      <c r="BO694">
        <v>1</v>
      </c>
      <c r="BP694">
        <v>0</v>
      </c>
      <c r="BQ694">
        <v>0</v>
      </c>
      <c r="BR694" s="21">
        <v>1</v>
      </c>
      <c r="BS694" s="21">
        <v>0</v>
      </c>
    </row>
    <row r="695" spans="1:71">
      <c r="A695" s="20" t="s">
        <v>4880</v>
      </c>
      <c r="B695">
        <v>83</v>
      </c>
      <c r="C695">
        <v>528</v>
      </c>
      <c r="D695">
        <v>2015</v>
      </c>
      <c r="E695">
        <v>-1.5</v>
      </c>
      <c r="F695">
        <f t="shared" si="42"/>
        <v>0.53380782918149461</v>
      </c>
      <c r="G695">
        <v>-2.81</v>
      </c>
      <c r="H695" s="27">
        <v>1</v>
      </c>
      <c r="I695">
        <v>1</v>
      </c>
      <c r="J695">
        <v>125936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1</v>
      </c>
      <c r="U695">
        <v>1995</v>
      </c>
      <c r="V695">
        <v>2010</v>
      </c>
      <c r="W695">
        <f t="shared" si="41"/>
        <v>2003</v>
      </c>
      <c r="X695">
        <v>1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 s="21">
        <v>1</v>
      </c>
      <c r="AO695" s="21">
        <v>1</v>
      </c>
      <c r="AP695" s="21">
        <v>1</v>
      </c>
      <c r="AQ695">
        <v>0</v>
      </c>
      <c r="AR695">
        <v>1</v>
      </c>
      <c r="AS695">
        <v>0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 s="21">
        <v>1</v>
      </c>
      <c r="BA695" s="21">
        <v>1</v>
      </c>
      <c r="BB695" s="21">
        <v>1</v>
      </c>
      <c r="BC695">
        <v>1</v>
      </c>
      <c r="BD695">
        <v>1</v>
      </c>
      <c r="BE695">
        <v>1</v>
      </c>
      <c r="BF695">
        <v>0</v>
      </c>
      <c r="BG695">
        <v>1</v>
      </c>
      <c r="BH695">
        <v>0</v>
      </c>
      <c r="BI695">
        <v>1</v>
      </c>
      <c r="BJ695">
        <v>0</v>
      </c>
      <c r="BK695">
        <v>0</v>
      </c>
      <c r="BL695">
        <v>0</v>
      </c>
      <c r="BM695">
        <v>1</v>
      </c>
      <c r="BN695">
        <v>0</v>
      </c>
      <c r="BO695">
        <v>1</v>
      </c>
      <c r="BP695">
        <v>0</v>
      </c>
      <c r="BQ695">
        <v>0</v>
      </c>
      <c r="BR695" s="21">
        <v>1</v>
      </c>
      <c r="BS695" s="21">
        <v>0</v>
      </c>
    </row>
    <row r="696" spans="1:71">
      <c r="A696" s="20" t="s">
        <v>4880</v>
      </c>
      <c r="B696">
        <v>83</v>
      </c>
      <c r="C696">
        <v>529</v>
      </c>
      <c r="D696">
        <v>2015</v>
      </c>
      <c r="E696">
        <v>-1.482</v>
      </c>
      <c r="F696">
        <f t="shared" si="42"/>
        <v>0.52740213523131674</v>
      </c>
      <c r="G696">
        <v>-2.81</v>
      </c>
      <c r="H696" s="27">
        <v>1</v>
      </c>
      <c r="I696">
        <v>1</v>
      </c>
      <c r="J696">
        <v>128271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1</v>
      </c>
      <c r="U696">
        <v>1995</v>
      </c>
      <c r="V696">
        <v>2010</v>
      </c>
      <c r="W696">
        <f t="shared" si="41"/>
        <v>2003</v>
      </c>
      <c r="X696">
        <v>1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 s="21">
        <v>1</v>
      </c>
      <c r="AO696" s="21">
        <v>1</v>
      </c>
      <c r="AP696" s="21">
        <v>1</v>
      </c>
      <c r="AQ696">
        <v>0</v>
      </c>
      <c r="AR696">
        <v>1</v>
      </c>
      <c r="AS696">
        <v>0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 s="21">
        <v>1</v>
      </c>
      <c r="BA696" s="21">
        <v>1</v>
      </c>
      <c r="BB696" s="21">
        <v>1</v>
      </c>
      <c r="BC696">
        <v>1</v>
      </c>
      <c r="BD696">
        <v>1</v>
      </c>
      <c r="BE696">
        <v>1</v>
      </c>
      <c r="BF696">
        <v>0</v>
      </c>
      <c r="BG696">
        <v>0</v>
      </c>
      <c r="BH696">
        <v>0</v>
      </c>
      <c r="BI696">
        <v>1</v>
      </c>
      <c r="BJ696">
        <v>0</v>
      </c>
      <c r="BK696">
        <v>0</v>
      </c>
      <c r="BL696">
        <v>0</v>
      </c>
      <c r="BM696">
        <v>1</v>
      </c>
      <c r="BN696">
        <v>0</v>
      </c>
      <c r="BO696">
        <v>1</v>
      </c>
      <c r="BP696">
        <v>0</v>
      </c>
      <c r="BQ696">
        <v>0</v>
      </c>
      <c r="BR696" s="21">
        <v>1</v>
      </c>
      <c r="BS696" s="21">
        <v>0</v>
      </c>
    </row>
    <row r="697" spans="1:71">
      <c r="A697" s="20" t="s">
        <v>5098</v>
      </c>
      <c r="B697">
        <v>87</v>
      </c>
      <c r="C697">
        <v>549</v>
      </c>
      <c r="D697">
        <v>2015</v>
      </c>
      <c r="E697">
        <v>-0.9</v>
      </c>
      <c r="F697">
        <f t="shared" si="42"/>
        <v>0.32028469750889682</v>
      </c>
      <c r="G697">
        <v>-2.81</v>
      </c>
      <c r="H697" s="27">
        <v>1</v>
      </c>
      <c r="I697">
        <v>1</v>
      </c>
      <c r="J697">
        <v>5339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2005</v>
      </c>
      <c r="V697">
        <v>2007</v>
      </c>
      <c r="W697">
        <f t="shared" si="41"/>
        <v>2006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 s="21">
        <v>0</v>
      </c>
      <c r="AO697" s="21">
        <v>0</v>
      </c>
      <c r="AP697" s="21">
        <v>1</v>
      </c>
      <c r="AQ697">
        <v>0</v>
      </c>
      <c r="AR697">
        <v>1</v>
      </c>
      <c r="AS697">
        <v>1</v>
      </c>
      <c r="AT697">
        <v>1</v>
      </c>
      <c r="AU697">
        <v>0</v>
      </c>
      <c r="AV697">
        <v>0</v>
      </c>
      <c r="AW697">
        <v>0</v>
      </c>
      <c r="AX697">
        <v>0</v>
      </c>
      <c r="AY697">
        <v>0</v>
      </c>
      <c r="AZ697" s="21">
        <v>0</v>
      </c>
      <c r="BA697" s="21">
        <v>0</v>
      </c>
      <c r="BB697" s="21">
        <v>1</v>
      </c>
      <c r="BC697">
        <v>0</v>
      </c>
      <c r="BD697">
        <v>0</v>
      </c>
      <c r="BE697">
        <v>1</v>
      </c>
      <c r="BF697">
        <v>0</v>
      </c>
      <c r="BG697">
        <v>0</v>
      </c>
      <c r="BH697">
        <v>1</v>
      </c>
      <c r="BI697">
        <v>1</v>
      </c>
      <c r="BJ697">
        <v>1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 s="21">
        <v>1</v>
      </c>
      <c r="BS697" s="21">
        <v>0</v>
      </c>
    </row>
    <row r="698" spans="1:71">
      <c r="A698" s="20" t="s">
        <v>5098</v>
      </c>
      <c r="B698">
        <v>87</v>
      </c>
      <c r="C698">
        <v>550</v>
      </c>
      <c r="D698">
        <v>2015</v>
      </c>
      <c r="E698">
        <v>-0.88600000000000001</v>
      </c>
      <c r="F698">
        <f t="shared" si="42"/>
        <v>0.31530249110320285</v>
      </c>
      <c r="G698">
        <v>-2.81</v>
      </c>
      <c r="H698" s="27">
        <v>1</v>
      </c>
      <c r="I698">
        <v>1</v>
      </c>
      <c r="J698">
        <v>5339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2005</v>
      </c>
      <c r="V698">
        <v>2007</v>
      </c>
      <c r="W698">
        <f t="shared" si="41"/>
        <v>2006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 s="21">
        <v>0</v>
      </c>
      <c r="AO698" s="21">
        <v>0</v>
      </c>
      <c r="AP698" s="21">
        <v>1</v>
      </c>
      <c r="AQ698">
        <v>0</v>
      </c>
      <c r="AR698">
        <v>1</v>
      </c>
      <c r="AS698">
        <v>1</v>
      </c>
      <c r="AT698">
        <v>1</v>
      </c>
      <c r="AU698">
        <v>0</v>
      </c>
      <c r="AV698">
        <v>0</v>
      </c>
      <c r="AW698">
        <v>0</v>
      </c>
      <c r="AX698">
        <v>0</v>
      </c>
      <c r="AY698">
        <v>0</v>
      </c>
      <c r="AZ698" s="21">
        <v>0</v>
      </c>
      <c r="BA698" s="21">
        <v>0</v>
      </c>
      <c r="BB698" s="21">
        <v>1</v>
      </c>
      <c r="BC698">
        <v>0</v>
      </c>
      <c r="BD698">
        <v>0</v>
      </c>
      <c r="BE698">
        <v>1</v>
      </c>
      <c r="BF698">
        <v>0</v>
      </c>
      <c r="BG698">
        <v>0</v>
      </c>
      <c r="BH698">
        <v>1</v>
      </c>
      <c r="BI698">
        <v>1</v>
      </c>
      <c r="BJ698">
        <v>1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 s="21">
        <v>1</v>
      </c>
      <c r="BS698" s="21">
        <v>0</v>
      </c>
    </row>
    <row r="699" spans="1:71">
      <c r="A699" s="45" t="s">
        <v>4997</v>
      </c>
      <c r="B699">
        <v>6</v>
      </c>
      <c r="C699">
        <v>43</v>
      </c>
      <c r="D699">
        <v>2014</v>
      </c>
      <c r="E699" s="14">
        <v>-1.55</v>
      </c>
      <c r="F699" s="14">
        <v>0.39</v>
      </c>
      <c r="G699" s="14">
        <f t="shared" ref="G699:G712" si="43">E699/F699</f>
        <v>-3.9743589743589745</v>
      </c>
      <c r="H699" s="27">
        <v>0</v>
      </c>
      <c r="I699">
        <v>1</v>
      </c>
      <c r="J699">
        <v>206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2004</v>
      </c>
      <c r="V699">
        <v>2010</v>
      </c>
      <c r="W699">
        <f t="shared" si="41"/>
        <v>2007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</v>
      </c>
      <c r="AN699">
        <v>0</v>
      </c>
      <c r="AO699">
        <v>1</v>
      </c>
      <c r="AP699">
        <v>0</v>
      </c>
      <c r="AQ699">
        <v>0</v>
      </c>
      <c r="AR699">
        <v>1</v>
      </c>
      <c r="AS699">
        <v>1</v>
      </c>
      <c r="AT699">
        <v>1</v>
      </c>
      <c r="AU699">
        <v>1</v>
      </c>
      <c r="AV699">
        <v>0</v>
      </c>
      <c r="AW699">
        <v>1</v>
      </c>
      <c r="AX699">
        <v>0</v>
      </c>
      <c r="AY699">
        <v>1</v>
      </c>
      <c r="AZ699">
        <v>1</v>
      </c>
      <c r="BA699">
        <v>1</v>
      </c>
      <c r="BB699">
        <v>1</v>
      </c>
      <c r="BC699">
        <v>0</v>
      </c>
      <c r="BD699">
        <v>1</v>
      </c>
      <c r="BE699">
        <v>0</v>
      </c>
      <c r="BF699">
        <v>0</v>
      </c>
      <c r="BG699">
        <v>1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</row>
    <row r="700" spans="1:71">
      <c r="A700" s="45" t="s">
        <v>4997</v>
      </c>
      <c r="B700">
        <v>6</v>
      </c>
      <c r="C700">
        <v>44</v>
      </c>
      <c r="D700">
        <v>2014</v>
      </c>
      <c r="E700" s="14">
        <v>-1.17</v>
      </c>
      <c r="F700" s="14">
        <v>0.4</v>
      </c>
      <c r="G700" s="14">
        <f t="shared" si="43"/>
        <v>-2.9249999999999998</v>
      </c>
      <c r="H700" s="27">
        <v>0</v>
      </c>
      <c r="I700">
        <v>1</v>
      </c>
      <c r="J700">
        <v>206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2004</v>
      </c>
      <c r="V700">
        <v>2010</v>
      </c>
      <c r="W700">
        <f t="shared" si="41"/>
        <v>2007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0</v>
      </c>
      <c r="AO700">
        <v>1</v>
      </c>
      <c r="AP700">
        <v>0</v>
      </c>
      <c r="AQ700">
        <v>0</v>
      </c>
      <c r="AR700">
        <v>1</v>
      </c>
      <c r="AS700">
        <v>1</v>
      </c>
      <c r="AT700">
        <v>1</v>
      </c>
      <c r="AU700">
        <v>1</v>
      </c>
      <c r="AV700">
        <v>0</v>
      </c>
      <c r="AW700">
        <v>1</v>
      </c>
      <c r="AX700">
        <v>0</v>
      </c>
      <c r="AY700">
        <v>1</v>
      </c>
      <c r="AZ700">
        <v>1</v>
      </c>
      <c r="BA700">
        <v>1</v>
      </c>
      <c r="BB700">
        <v>1</v>
      </c>
      <c r="BC700">
        <v>0</v>
      </c>
      <c r="BD700">
        <v>1</v>
      </c>
      <c r="BE700">
        <v>0</v>
      </c>
      <c r="BF700">
        <v>0</v>
      </c>
      <c r="BG700">
        <v>1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</row>
    <row r="701" spans="1:71">
      <c r="A701" s="45" t="s">
        <v>4997</v>
      </c>
      <c r="B701">
        <v>6</v>
      </c>
      <c r="C701">
        <v>45</v>
      </c>
      <c r="D701">
        <v>2014</v>
      </c>
      <c r="E701" s="14">
        <v>-2.2799999999999998</v>
      </c>
      <c r="F701" s="14">
        <v>0.78</v>
      </c>
      <c r="G701" s="14">
        <f t="shared" si="43"/>
        <v>-2.9230769230769229</v>
      </c>
      <c r="H701" s="27">
        <v>0</v>
      </c>
      <c r="I701">
        <v>1</v>
      </c>
      <c r="J701">
        <v>206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2004</v>
      </c>
      <c r="V701">
        <v>2010</v>
      </c>
      <c r="W701">
        <f t="shared" si="41"/>
        <v>2007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0</v>
      </c>
      <c r="AO701">
        <v>1</v>
      </c>
      <c r="AP701">
        <v>0</v>
      </c>
      <c r="AQ701">
        <v>0</v>
      </c>
      <c r="AR701">
        <v>1</v>
      </c>
      <c r="AS701">
        <v>1</v>
      </c>
      <c r="AT701">
        <v>1</v>
      </c>
      <c r="AU701">
        <v>1</v>
      </c>
      <c r="AV701">
        <v>0</v>
      </c>
      <c r="AW701">
        <v>1</v>
      </c>
      <c r="AX701">
        <v>0</v>
      </c>
      <c r="AY701">
        <v>1</v>
      </c>
      <c r="AZ701">
        <v>1</v>
      </c>
      <c r="BA701">
        <v>1</v>
      </c>
      <c r="BB701">
        <v>1</v>
      </c>
      <c r="BC701">
        <v>0</v>
      </c>
      <c r="BD701">
        <v>1</v>
      </c>
      <c r="BE701">
        <v>0</v>
      </c>
      <c r="BF701">
        <v>0</v>
      </c>
      <c r="BG701">
        <v>1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</row>
    <row r="702" spans="1:71">
      <c r="A702" s="45" t="s">
        <v>4997</v>
      </c>
      <c r="B702">
        <v>6</v>
      </c>
      <c r="C702">
        <v>46</v>
      </c>
      <c r="D702">
        <v>2014</v>
      </c>
      <c r="E702" s="14">
        <v>-0.83</v>
      </c>
      <c r="F702" s="14">
        <v>0.25</v>
      </c>
      <c r="G702" s="14">
        <f t="shared" si="43"/>
        <v>-3.32</v>
      </c>
      <c r="H702" s="27">
        <v>0</v>
      </c>
      <c r="I702">
        <v>1</v>
      </c>
      <c r="J702">
        <v>206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2004</v>
      </c>
      <c r="V702">
        <v>2010</v>
      </c>
      <c r="W702">
        <f t="shared" si="41"/>
        <v>2007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1</v>
      </c>
      <c r="AP702">
        <v>0</v>
      </c>
      <c r="AQ702">
        <v>0</v>
      </c>
      <c r="AR702">
        <v>1</v>
      </c>
      <c r="AS702">
        <v>1</v>
      </c>
      <c r="AT702">
        <v>1</v>
      </c>
      <c r="AU702">
        <v>1</v>
      </c>
      <c r="AV702">
        <v>0</v>
      </c>
      <c r="AW702">
        <v>1</v>
      </c>
      <c r="AX702">
        <v>0</v>
      </c>
      <c r="AY702">
        <v>1</v>
      </c>
      <c r="AZ702">
        <v>1</v>
      </c>
      <c r="BA702">
        <v>1</v>
      </c>
      <c r="BB702">
        <v>1</v>
      </c>
      <c r="BC702">
        <v>0</v>
      </c>
      <c r="BD702">
        <v>1</v>
      </c>
      <c r="BE702">
        <v>0</v>
      </c>
      <c r="BF702">
        <v>0</v>
      </c>
      <c r="BG702">
        <v>1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</row>
    <row r="703" spans="1:71">
      <c r="A703" s="45" t="s">
        <v>4997</v>
      </c>
      <c r="B703">
        <v>6</v>
      </c>
      <c r="C703">
        <v>47</v>
      </c>
      <c r="D703">
        <v>2014</v>
      </c>
      <c r="E703" s="14">
        <v>-0.54</v>
      </c>
      <c r="F703" s="14">
        <v>0.25</v>
      </c>
      <c r="G703" s="14">
        <f t="shared" si="43"/>
        <v>-2.16</v>
      </c>
      <c r="H703" s="27">
        <v>0</v>
      </c>
      <c r="I703">
        <v>1</v>
      </c>
      <c r="J703">
        <v>206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2004</v>
      </c>
      <c r="V703">
        <v>2010</v>
      </c>
      <c r="W703">
        <f t="shared" si="41"/>
        <v>2007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</v>
      </c>
      <c r="AN703">
        <v>0</v>
      </c>
      <c r="AO703">
        <v>1</v>
      </c>
      <c r="AP703">
        <v>0</v>
      </c>
      <c r="AQ703">
        <v>0</v>
      </c>
      <c r="AR703">
        <v>1</v>
      </c>
      <c r="AS703">
        <v>1</v>
      </c>
      <c r="AT703">
        <v>1</v>
      </c>
      <c r="AU703">
        <v>1</v>
      </c>
      <c r="AV703">
        <v>0</v>
      </c>
      <c r="AW703">
        <v>1</v>
      </c>
      <c r="AX703">
        <v>0</v>
      </c>
      <c r="AY703">
        <v>1</v>
      </c>
      <c r="AZ703">
        <v>1</v>
      </c>
      <c r="BA703">
        <v>1</v>
      </c>
      <c r="BB703">
        <v>1</v>
      </c>
      <c r="BC703">
        <v>0</v>
      </c>
      <c r="BD703">
        <v>1</v>
      </c>
      <c r="BE703">
        <v>0</v>
      </c>
      <c r="BF703">
        <v>0</v>
      </c>
      <c r="BG703">
        <v>1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</row>
    <row r="704" spans="1:71">
      <c r="A704" s="45" t="s">
        <v>4997</v>
      </c>
      <c r="B704">
        <v>6</v>
      </c>
      <c r="C704">
        <v>48</v>
      </c>
      <c r="D704">
        <v>2014</v>
      </c>
      <c r="E704" s="14">
        <v>-0.6</v>
      </c>
      <c r="F704" s="14">
        <v>0.45</v>
      </c>
      <c r="G704" s="14">
        <f t="shared" si="43"/>
        <v>-1.3333333333333333</v>
      </c>
      <c r="H704" s="27">
        <v>0</v>
      </c>
      <c r="I704">
        <v>1</v>
      </c>
      <c r="J704">
        <v>206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2004</v>
      </c>
      <c r="V704">
        <v>2010</v>
      </c>
      <c r="W704">
        <f t="shared" si="41"/>
        <v>2007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0</v>
      </c>
      <c r="AO704">
        <v>1</v>
      </c>
      <c r="AP704">
        <v>0</v>
      </c>
      <c r="AQ704">
        <v>0</v>
      </c>
      <c r="AR704">
        <v>1</v>
      </c>
      <c r="AS704">
        <v>1</v>
      </c>
      <c r="AT704">
        <v>1</v>
      </c>
      <c r="AU704">
        <v>1</v>
      </c>
      <c r="AV704">
        <v>0</v>
      </c>
      <c r="AW704">
        <v>1</v>
      </c>
      <c r="AX704">
        <v>0</v>
      </c>
      <c r="AY704">
        <v>1</v>
      </c>
      <c r="AZ704">
        <v>1</v>
      </c>
      <c r="BA704">
        <v>1</v>
      </c>
      <c r="BB704">
        <v>1</v>
      </c>
      <c r="BC704">
        <v>0</v>
      </c>
      <c r="BD704">
        <v>1</v>
      </c>
      <c r="BE704">
        <v>0</v>
      </c>
      <c r="BF704">
        <v>0</v>
      </c>
      <c r="BG704">
        <v>1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</row>
    <row r="705" spans="1:71">
      <c r="A705" s="20" t="s">
        <v>5186</v>
      </c>
      <c r="B705">
        <v>33</v>
      </c>
      <c r="C705">
        <v>208</v>
      </c>
      <c r="D705" s="21">
        <v>2014</v>
      </c>
      <c r="E705" s="23">
        <v>-1.1000000000000001</v>
      </c>
      <c r="F705" s="23">
        <v>0.12</v>
      </c>
      <c r="G705" s="14">
        <f t="shared" si="43"/>
        <v>-9.1666666666666679</v>
      </c>
      <c r="H705" s="27">
        <v>0</v>
      </c>
      <c r="I705" s="21">
        <v>1</v>
      </c>
      <c r="J705" s="21">
        <v>375</v>
      </c>
      <c r="K705" s="21">
        <v>0</v>
      </c>
      <c r="L705" s="21">
        <v>1</v>
      </c>
      <c r="M705" s="21">
        <v>0</v>
      </c>
      <c r="N705" s="21">
        <v>0</v>
      </c>
      <c r="O705" s="21">
        <v>0</v>
      </c>
      <c r="P705">
        <v>0</v>
      </c>
      <c r="Q705" s="21">
        <v>0</v>
      </c>
      <c r="R705" s="21">
        <v>0</v>
      </c>
      <c r="S705" s="21">
        <v>1</v>
      </c>
      <c r="T705" s="21">
        <v>1</v>
      </c>
      <c r="U705" s="21">
        <v>2004</v>
      </c>
      <c r="V705" s="21">
        <v>2009</v>
      </c>
      <c r="W705">
        <f t="shared" si="41"/>
        <v>2007</v>
      </c>
      <c r="X705" s="21">
        <v>1</v>
      </c>
      <c r="Y705" s="21">
        <v>0</v>
      </c>
      <c r="Z705" s="21">
        <v>0</v>
      </c>
      <c r="AA705" s="21">
        <v>0</v>
      </c>
      <c r="AB705" s="21">
        <v>0</v>
      </c>
      <c r="AC705" s="21">
        <v>1</v>
      </c>
      <c r="AD705" s="21">
        <v>0</v>
      </c>
      <c r="AE705" s="21">
        <v>0</v>
      </c>
      <c r="AF705" s="21">
        <v>0</v>
      </c>
      <c r="AG705" s="21">
        <v>0</v>
      </c>
      <c r="AH705" s="21">
        <v>0</v>
      </c>
      <c r="AI705" s="21">
        <v>0</v>
      </c>
      <c r="AJ705" s="21">
        <v>0</v>
      </c>
      <c r="AK705" s="21">
        <v>0</v>
      </c>
      <c r="AL705" s="21">
        <v>1</v>
      </c>
      <c r="AM705" s="21">
        <v>0</v>
      </c>
      <c r="AN705" s="21">
        <v>0</v>
      </c>
      <c r="AO705" s="21">
        <v>1</v>
      </c>
      <c r="AP705" s="21">
        <v>0</v>
      </c>
      <c r="AQ705" s="21">
        <v>0</v>
      </c>
      <c r="AR705" s="21">
        <v>1</v>
      </c>
      <c r="AS705" s="21">
        <v>1</v>
      </c>
      <c r="AT705" s="21">
        <v>1</v>
      </c>
      <c r="AU705" s="21">
        <v>1</v>
      </c>
      <c r="AV705" s="21">
        <v>1</v>
      </c>
      <c r="AW705" s="21">
        <v>1</v>
      </c>
      <c r="AX705" s="21">
        <v>1</v>
      </c>
      <c r="AY705" s="21">
        <v>1</v>
      </c>
      <c r="AZ705" s="21">
        <v>1</v>
      </c>
      <c r="BA705" s="21">
        <v>1</v>
      </c>
      <c r="BB705" s="21">
        <v>1</v>
      </c>
      <c r="BC705" s="21">
        <v>0</v>
      </c>
      <c r="BD705" s="21">
        <v>0</v>
      </c>
      <c r="BE705" s="21">
        <v>0</v>
      </c>
      <c r="BF705" s="21">
        <v>0</v>
      </c>
      <c r="BG705" s="21">
        <v>1</v>
      </c>
      <c r="BH705" s="21">
        <v>0</v>
      </c>
      <c r="BI705" s="21">
        <v>0</v>
      </c>
      <c r="BJ705" s="21">
        <v>0</v>
      </c>
      <c r="BK705" s="21">
        <v>0</v>
      </c>
      <c r="BL705" s="21">
        <v>0</v>
      </c>
      <c r="BM705" s="21">
        <v>0</v>
      </c>
      <c r="BN705" s="21">
        <v>0</v>
      </c>
      <c r="BO705" s="21">
        <v>0</v>
      </c>
      <c r="BP705" s="21">
        <v>0</v>
      </c>
      <c r="BQ705" s="21">
        <v>0</v>
      </c>
      <c r="BR705" s="21">
        <v>0</v>
      </c>
      <c r="BS705" s="21">
        <v>0</v>
      </c>
    </row>
    <row r="706" spans="1:71">
      <c r="A706" s="20" t="s">
        <v>5215</v>
      </c>
      <c r="B706">
        <v>35</v>
      </c>
      <c r="C706">
        <v>217</v>
      </c>
      <c r="D706" s="21">
        <v>2014</v>
      </c>
      <c r="E706" s="23">
        <v>-1.53</v>
      </c>
      <c r="F706" s="23">
        <v>0.05</v>
      </c>
      <c r="G706" s="14">
        <f t="shared" si="43"/>
        <v>-30.599999999999998</v>
      </c>
      <c r="H706" s="27">
        <v>0</v>
      </c>
      <c r="I706" s="21">
        <v>1</v>
      </c>
      <c r="J706" s="21">
        <v>1404</v>
      </c>
      <c r="K706" s="21">
        <v>1</v>
      </c>
      <c r="L706" s="21">
        <v>0</v>
      </c>
      <c r="M706" s="21">
        <v>0</v>
      </c>
      <c r="N706" s="21">
        <v>0</v>
      </c>
      <c r="O706" s="21">
        <v>0</v>
      </c>
      <c r="P706">
        <v>0</v>
      </c>
      <c r="Q706" s="21">
        <v>0</v>
      </c>
      <c r="R706" s="21">
        <v>0</v>
      </c>
      <c r="S706" s="21">
        <v>1</v>
      </c>
      <c r="T706" s="21">
        <v>1</v>
      </c>
      <c r="U706" s="21">
        <v>2000</v>
      </c>
      <c r="V706" s="21">
        <v>2005</v>
      </c>
      <c r="W706">
        <f t="shared" si="41"/>
        <v>2003</v>
      </c>
      <c r="X706" s="21">
        <v>1</v>
      </c>
      <c r="Y706" s="21">
        <v>0</v>
      </c>
      <c r="Z706" s="21">
        <v>0</v>
      </c>
      <c r="AA706" s="21">
        <v>0</v>
      </c>
      <c r="AB706" s="21">
        <v>0</v>
      </c>
      <c r="AC706" s="21">
        <v>1</v>
      </c>
      <c r="AD706" s="21">
        <v>0</v>
      </c>
      <c r="AE706" s="21">
        <v>0</v>
      </c>
      <c r="AF706" s="21">
        <v>0</v>
      </c>
      <c r="AG706" s="21">
        <v>0</v>
      </c>
      <c r="AH706" s="21">
        <v>0</v>
      </c>
      <c r="AI706" s="21">
        <v>0</v>
      </c>
      <c r="AJ706" s="21">
        <v>0</v>
      </c>
      <c r="AK706" s="21">
        <v>0</v>
      </c>
      <c r="AL706" s="21">
        <v>0</v>
      </c>
      <c r="AM706" s="21">
        <v>1</v>
      </c>
      <c r="AN706" s="21">
        <v>0</v>
      </c>
      <c r="AO706" s="21">
        <v>1</v>
      </c>
      <c r="AP706" s="21">
        <v>0</v>
      </c>
      <c r="AQ706" s="21">
        <v>0</v>
      </c>
      <c r="AR706" s="21">
        <v>0</v>
      </c>
      <c r="AS706" s="21">
        <v>1</v>
      </c>
      <c r="AT706" s="21">
        <v>1</v>
      </c>
      <c r="AU706" s="21">
        <v>1</v>
      </c>
      <c r="AV706" s="21">
        <v>0</v>
      </c>
      <c r="AW706" s="21">
        <v>1</v>
      </c>
      <c r="AX706" s="21">
        <v>0</v>
      </c>
      <c r="AY706" s="21">
        <v>1</v>
      </c>
      <c r="AZ706" s="21">
        <v>0</v>
      </c>
      <c r="BA706" s="21">
        <v>1</v>
      </c>
      <c r="BB706" s="21">
        <v>1</v>
      </c>
      <c r="BC706" s="21">
        <v>0</v>
      </c>
      <c r="BD706" s="21">
        <v>0</v>
      </c>
      <c r="BE706" s="21">
        <v>0</v>
      </c>
      <c r="BF706" s="21">
        <v>1</v>
      </c>
      <c r="BG706" s="21">
        <v>0</v>
      </c>
      <c r="BH706" s="21">
        <v>1</v>
      </c>
      <c r="BI706" s="21">
        <v>0</v>
      </c>
      <c r="BJ706" s="21">
        <v>0</v>
      </c>
      <c r="BK706" s="21">
        <v>0</v>
      </c>
      <c r="BL706" s="21">
        <v>0</v>
      </c>
      <c r="BM706" s="21">
        <v>0</v>
      </c>
      <c r="BN706" s="21">
        <v>0</v>
      </c>
      <c r="BO706" s="21">
        <v>0</v>
      </c>
      <c r="BP706" s="21">
        <v>0</v>
      </c>
      <c r="BQ706" s="21">
        <v>1</v>
      </c>
      <c r="BR706" s="21">
        <v>0</v>
      </c>
      <c r="BS706" s="21">
        <v>0</v>
      </c>
    </row>
    <row r="707" spans="1:71">
      <c r="A707" s="20" t="s">
        <v>5215</v>
      </c>
      <c r="B707">
        <v>35</v>
      </c>
      <c r="C707">
        <v>218</v>
      </c>
      <c r="D707" s="21">
        <v>2014</v>
      </c>
      <c r="E707" s="23">
        <v>-1.45</v>
      </c>
      <c r="F707" s="23">
        <v>0.04</v>
      </c>
      <c r="G707" s="14">
        <f t="shared" si="43"/>
        <v>-36.25</v>
      </c>
      <c r="H707" s="27">
        <v>0</v>
      </c>
      <c r="I707" s="21">
        <v>1</v>
      </c>
      <c r="J707" s="21">
        <v>1404</v>
      </c>
      <c r="K707" s="21">
        <v>1</v>
      </c>
      <c r="L707" s="21">
        <v>0</v>
      </c>
      <c r="M707" s="21">
        <v>0</v>
      </c>
      <c r="N707" s="21">
        <v>0</v>
      </c>
      <c r="O707" s="21">
        <v>0</v>
      </c>
      <c r="P707">
        <v>0</v>
      </c>
      <c r="Q707" s="21">
        <v>1</v>
      </c>
      <c r="R707" s="21">
        <v>0</v>
      </c>
      <c r="S707" s="21">
        <v>0</v>
      </c>
      <c r="T707" s="21">
        <v>1</v>
      </c>
      <c r="U707" s="21">
        <v>2000</v>
      </c>
      <c r="V707" s="21">
        <v>2005</v>
      </c>
      <c r="W707">
        <f t="shared" si="41"/>
        <v>2003</v>
      </c>
      <c r="X707" s="21">
        <v>1</v>
      </c>
      <c r="Y707" s="21">
        <v>0</v>
      </c>
      <c r="Z707" s="21">
        <v>0</v>
      </c>
      <c r="AA707" s="21">
        <v>0</v>
      </c>
      <c r="AB707" s="21">
        <v>0</v>
      </c>
      <c r="AC707" s="21">
        <v>1</v>
      </c>
      <c r="AD707" s="21">
        <v>0</v>
      </c>
      <c r="AE707" s="21">
        <v>0</v>
      </c>
      <c r="AF707" s="21">
        <v>0</v>
      </c>
      <c r="AG707" s="21">
        <v>0</v>
      </c>
      <c r="AH707" s="21">
        <v>0</v>
      </c>
      <c r="AI707" s="21">
        <v>0</v>
      </c>
      <c r="AJ707" s="21">
        <v>0</v>
      </c>
      <c r="AK707" s="21">
        <v>0</v>
      </c>
      <c r="AL707" s="21">
        <v>0</v>
      </c>
      <c r="AM707" s="21">
        <v>1</v>
      </c>
      <c r="AN707" s="21">
        <v>0</v>
      </c>
      <c r="AO707" s="21">
        <v>1</v>
      </c>
      <c r="AP707" s="21">
        <v>0</v>
      </c>
      <c r="AQ707" s="21">
        <v>0</v>
      </c>
      <c r="AR707" s="21">
        <v>0</v>
      </c>
      <c r="AS707" s="21">
        <v>1</v>
      </c>
      <c r="AT707" s="21">
        <v>1</v>
      </c>
      <c r="AU707" s="21">
        <v>1</v>
      </c>
      <c r="AV707" s="21">
        <v>0</v>
      </c>
      <c r="AW707" s="21">
        <v>1</v>
      </c>
      <c r="AX707" s="21">
        <v>0</v>
      </c>
      <c r="AY707" s="21">
        <v>1</v>
      </c>
      <c r="AZ707" s="21">
        <v>0</v>
      </c>
      <c r="BA707" s="21">
        <v>1</v>
      </c>
      <c r="BB707" s="21">
        <v>1</v>
      </c>
      <c r="BC707" s="21">
        <v>0</v>
      </c>
      <c r="BD707" s="21">
        <v>0</v>
      </c>
      <c r="BE707" s="21">
        <v>0</v>
      </c>
      <c r="BF707" s="21">
        <v>1</v>
      </c>
      <c r="BG707" s="21">
        <v>0</v>
      </c>
      <c r="BH707" s="21">
        <v>1</v>
      </c>
      <c r="BI707" s="21">
        <v>0</v>
      </c>
      <c r="BJ707" s="21">
        <v>0</v>
      </c>
      <c r="BK707" s="21">
        <v>0</v>
      </c>
      <c r="BL707" s="21">
        <v>0</v>
      </c>
      <c r="BM707" s="21">
        <v>0</v>
      </c>
      <c r="BN707" s="21">
        <v>0</v>
      </c>
      <c r="BO707" s="21">
        <v>0</v>
      </c>
      <c r="BP707" s="21">
        <v>0</v>
      </c>
      <c r="BQ707" s="21">
        <v>1</v>
      </c>
      <c r="BR707" s="21">
        <v>0</v>
      </c>
      <c r="BS707" s="21">
        <v>0</v>
      </c>
    </row>
    <row r="708" spans="1:71">
      <c r="A708" s="20" t="s">
        <v>5215</v>
      </c>
      <c r="B708">
        <v>35</v>
      </c>
      <c r="C708">
        <v>219</v>
      </c>
      <c r="D708" s="21">
        <v>2014</v>
      </c>
      <c r="E708" s="23">
        <v>-1.53</v>
      </c>
      <c r="F708" s="23">
        <v>0.05</v>
      </c>
      <c r="G708" s="14">
        <f t="shared" si="43"/>
        <v>-30.599999999999998</v>
      </c>
      <c r="H708" s="27">
        <v>0</v>
      </c>
      <c r="I708" s="21">
        <v>1</v>
      </c>
      <c r="J708" s="21">
        <v>1404</v>
      </c>
      <c r="K708" s="21">
        <v>1</v>
      </c>
      <c r="L708" s="21">
        <v>0</v>
      </c>
      <c r="M708" s="21">
        <v>0</v>
      </c>
      <c r="N708" s="21">
        <v>0</v>
      </c>
      <c r="O708" s="21">
        <v>0</v>
      </c>
      <c r="P708">
        <v>0</v>
      </c>
      <c r="Q708" s="21">
        <v>0</v>
      </c>
      <c r="R708" s="21">
        <v>0</v>
      </c>
      <c r="S708" s="21">
        <v>1</v>
      </c>
      <c r="T708" s="21">
        <v>1</v>
      </c>
      <c r="U708" s="21">
        <v>2000</v>
      </c>
      <c r="V708" s="21">
        <v>2005</v>
      </c>
      <c r="W708">
        <f t="shared" si="41"/>
        <v>2003</v>
      </c>
      <c r="X708" s="21">
        <v>1</v>
      </c>
      <c r="Y708" s="21">
        <v>0</v>
      </c>
      <c r="Z708" s="21">
        <v>0</v>
      </c>
      <c r="AA708" s="21">
        <v>0</v>
      </c>
      <c r="AB708" s="21">
        <v>0</v>
      </c>
      <c r="AC708" s="21">
        <v>1</v>
      </c>
      <c r="AD708" s="21">
        <v>0</v>
      </c>
      <c r="AE708" s="21">
        <v>0</v>
      </c>
      <c r="AF708" s="21">
        <v>0</v>
      </c>
      <c r="AG708" s="21">
        <v>0</v>
      </c>
      <c r="AH708" s="21">
        <v>0</v>
      </c>
      <c r="AI708" s="21">
        <v>0</v>
      </c>
      <c r="AJ708" s="21">
        <v>0</v>
      </c>
      <c r="AK708" s="21">
        <v>0</v>
      </c>
      <c r="AL708" s="21">
        <v>0</v>
      </c>
      <c r="AM708" s="21">
        <v>1</v>
      </c>
      <c r="AN708" s="21">
        <v>0</v>
      </c>
      <c r="AO708" s="21">
        <v>1</v>
      </c>
      <c r="AP708" s="21">
        <v>0</v>
      </c>
      <c r="AQ708" s="21">
        <v>0</v>
      </c>
      <c r="AR708" s="21">
        <v>0</v>
      </c>
      <c r="AS708" s="21">
        <v>1</v>
      </c>
      <c r="AT708" s="21">
        <v>1</v>
      </c>
      <c r="AU708" s="21">
        <v>1</v>
      </c>
      <c r="AV708" s="21">
        <v>0</v>
      </c>
      <c r="AW708" s="21">
        <v>1</v>
      </c>
      <c r="AX708" s="21">
        <v>0</v>
      </c>
      <c r="AY708" s="21">
        <v>1</v>
      </c>
      <c r="AZ708" s="21">
        <v>0</v>
      </c>
      <c r="BA708" s="21">
        <v>1</v>
      </c>
      <c r="BB708" s="21">
        <v>1</v>
      </c>
      <c r="BC708" s="21">
        <v>0</v>
      </c>
      <c r="BD708" s="21">
        <v>0</v>
      </c>
      <c r="BE708" s="21">
        <v>0</v>
      </c>
      <c r="BF708" s="21">
        <v>1</v>
      </c>
      <c r="BG708" s="21">
        <v>0</v>
      </c>
      <c r="BH708" s="21">
        <v>1</v>
      </c>
      <c r="BI708" s="21">
        <v>0</v>
      </c>
      <c r="BJ708" s="21">
        <v>0</v>
      </c>
      <c r="BK708" s="21">
        <v>0</v>
      </c>
      <c r="BL708" s="21">
        <v>0</v>
      </c>
      <c r="BM708" s="21">
        <v>0</v>
      </c>
      <c r="BN708" s="21">
        <v>0</v>
      </c>
      <c r="BO708" s="21">
        <v>0</v>
      </c>
      <c r="BP708" s="21">
        <v>0</v>
      </c>
      <c r="BQ708" s="21">
        <v>1</v>
      </c>
      <c r="BR708" s="21">
        <v>0</v>
      </c>
      <c r="BS708" s="21">
        <v>0</v>
      </c>
    </row>
    <row r="709" spans="1:71">
      <c r="A709" s="20" t="s">
        <v>5215</v>
      </c>
      <c r="B709">
        <v>35</v>
      </c>
      <c r="C709">
        <v>220</v>
      </c>
      <c r="D709" s="21">
        <v>2014</v>
      </c>
      <c r="E709" s="23">
        <v>-1.5</v>
      </c>
      <c r="F709" s="23">
        <v>0.04</v>
      </c>
      <c r="G709" s="14">
        <f t="shared" si="43"/>
        <v>-37.5</v>
      </c>
      <c r="H709" s="27">
        <v>0</v>
      </c>
      <c r="I709" s="21">
        <v>1</v>
      </c>
      <c r="J709" s="21">
        <v>1404</v>
      </c>
      <c r="K709" s="21">
        <v>1</v>
      </c>
      <c r="L709" s="21">
        <v>0</v>
      </c>
      <c r="M709" s="21">
        <v>0</v>
      </c>
      <c r="N709" s="21">
        <v>0</v>
      </c>
      <c r="O709" s="21">
        <v>0</v>
      </c>
      <c r="P709">
        <v>0</v>
      </c>
      <c r="Q709" s="21">
        <v>1</v>
      </c>
      <c r="R709" s="21">
        <v>0</v>
      </c>
      <c r="S709" s="21">
        <v>0</v>
      </c>
      <c r="T709" s="21">
        <v>1</v>
      </c>
      <c r="U709" s="21">
        <v>2000</v>
      </c>
      <c r="V709" s="21">
        <v>2005</v>
      </c>
      <c r="W709">
        <f t="shared" si="41"/>
        <v>2003</v>
      </c>
      <c r="X709" s="21">
        <v>1</v>
      </c>
      <c r="Y709" s="21">
        <v>0</v>
      </c>
      <c r="Z709" s="21">
        <v>0</v>
      </c>
      <c r="AA709" s="21">
        <v>0</v>
      </c>
      <c r="AB709" s="21">
        <v>0</v>
      </c>
      <c r="AC709" s="21">
        <v>1</v>
      </c>
      <c r="AD709" s="21">
        <v>0</v>
      </c>
      <c r="AE709" s="21">
        <v>0</v>
      </c>
      <c r="AF709" s="21">
        <v>0</v>
      </c>
      <c r="AG709" s="21">
        <v>0</v>
      </c>
      <c r="AH709" s="21">
        <v>0</v>
      </c>
      <c r="AI709" s="21">
        <v>0</v>
      </c>
      <c r="AJ709" s="21">
        <v>0</v>
      </c>
      <c r="AK709" s="21">
        <v>0</v>
      </c>
      <c r="AL709" s="21">
        <v>0</v>
      </c>
      <c r="AM709" s="21">
        <v>1</v>
      </c>
      <c r="AN709" s="21">
        <v>0</v>
      </c>
      <c r="AO709" s="21">
        <v>1</v>
      </c>
      <c r="AP709" s="21">
        <v>0</v>
      </c>
      <c r="AQ709" s="21">
        <v>0</v>
      </c>
      <c r="AR709" s="21">
        <v>0</v>
      </c>
      <c r="AS709" s="21">
        <v>1</v>
      </c>
      <c r="AT709" s="21">
        <v>1</v>
      </c>
      <c r="AU709" s="21">
        <v>1</v>
      </c>
      <c r="AV709" s="21">
        <v>0</v>
      </c>
      <c r="AW709" s="21">
        <v>1</v>
      </c>
      <c r="AX709" s="21">
        <v>0</v>
      </c>
      <c r="AY709" s="21">
        <v>1</v>
      </c>
      <c r="AZ709" s="21">
        <v>0</v>
      </c>
      <c r="BA709" s="21">
        <v>1</v>
      </c>
      <c r="BB709" s="21">
        <v>1</v>
      </c>
      <c r="BC709" s="21">
        <v>0</v>
      </c>
      <c r="BD709" s="21">
        <v>0</v>
      </c>
      <c r="BE709" s="21">
        <v>0</v>
      </c>
      <c r="BF709" s="21">
        <v>1</v>
      </c>
      <c r="BG709" s="21">
        <v>0</v>
      </c>
      <c r="BH709" s="21">
        <v>1</v>
      </c>
      <c r="BI709" s="21">
        <v>0</v>
      </c>
      <c r="BJ709" s="21">
        <v>0</v>
      </c>
      <c r="BK709" s="21">
        <v>0</v>
      </c>
      <c r="BL709" s="21">
        <v>0</v>
      </c>
      <c r="BM709" s="21">
        <v>0</v>
      </c>
      <c r="BN709" s="21">
        <v>0</v>
      </c>
      <c r="BO709" s="21">
        <v>0</v>
      </c>
      <c r="BP709" s="21">
        <v>0</v>
      </c>
      <c r="BQ709" s="21">
        <v>1</v>
      </c>
      <c r="BR709" s="21">
        <v>0</v>
      </c>
      <c r="BS709" s="21">
        <v>0</v>
      </c>
    </row>
    <row r="710" spans="1:71">
      <c r="A710" s="20" t="s">
        <v>5215</v>
      </c>
      <c r="B710">
        <v>35</v>
      </c>
      <c r="C710">
        <v>221</v>
      </c>
      <c r="D710" s="21">
        <v>2014</v>
      </c>
      <c r="E710" s="23">
        <v>-1.53</v>
      </c>
      <c r="F710" s="23">
        <v>0.05</v>
      </c>
      <c r="G710" s="14">
        <f t="shared" si="43"/>
        <v>-30.599999999999998</v>
      </c>
      <c r="H710" s="27">
        <v>0</v>
      </c>
      <c r="I710" s="21">
        <v>1</v>
      </c>
      <c r="J710" s="21">
        <v>1404</v>
      </c>
      <c r="K710" s="21">
        <v>1</v>
      </c>
      <c r="L710" s="21">
        <v>0</v>
      </c>
      <c r="M710" s="21">
        <v>0</v>
      </c>
      <c r="N710" s="21">
        <v>0</v>
      </c>
      <c r="O710" s="21">
        <v>0</v>
      </c>
      <c r="P710">
        <v>0</v>
      </c>
      <c r="Q710" s="21">
        <v>0</v>
      </c>
      <c r="R710" s="21">
        <v>0</v>
      </c>
      <c r="S710" s="21">
        <v>1</v>
      </c>
      <c r="T710" s="21">
        <v>1</v>
      </c>
      <c r="U710" s="21">
        <v>2000</v>
      </c>
      <c r="V710" s="21">
        <v>2005</v>
      </c>
      <c r="W710">
        <f t="shared" si="41"/>
        <v>2003</v>
      </c>
      <c r="X710" s="21">
        <v>1</v>
      </c>
      <c r="Y710" s="21">
        <v>0</v>
      </c>
      <c r="Z710" s="21">
        <v>0</v>
      </c>
      <c r="AA710" s="21">
        <v>0</v>
      </c>
      <c r="AB710" s="21">
        <v>0</v>
      </c>
      <c r="AC710" s="21">
        <v>1</v>
      </c>
      <c r="AD710" s="21">
        <v>0</v>
      </c>
      <c r="AE710" s="21">
        <v>0</v>
      </c>
      <c r="AF710" s="21">
        <v>0</v>
      </c>
      <c r="AG710" s="21">
        <v>0</v>
      </c>
      <c r="AH710" s="21">
        <v>0</v>
      </c>
      <c r="AI710" s="21">
        <v>0</v>
      </c>
      <c r="AJ710" s="21">
        <v>0</v>
      </c>
      <c r="AK710" s="21">
        <v>0</v>
      </c>
      <c r="AL710" s="21">
        <v>0</v>
      </c>
      <c r="AM710" s="21">
        <v>1</v>
      </c>
      <c r="AN710" s="21">
        <v>0</v>
      </c>
      <c r="AO710" s="21">
        <v>1</v>
      </c>
      <c r="AP710" s="21">
        <v>0</v>
      </c>
      <c r="AQ710" s="21">
        <v>0</v>
      </c>
      <c r="AR710" s="21">
        <v>0</v>
      </c>
      <c r="AS710" s="21">
        <v>1</v>
      </c>
      <c r="AT710" s="21">
        <v>1</v>
      </c>
      <c r="AU710" s="21">
        <v>1</v>
      </c>
      <c r="AV710" s="21">
        <v>0</v>
      </c>
      <c r="AW710" s="21">
        <v>1</v>
      </c>
      <c r="AX710" s="21">
        <v>0</v>
      </c>
      <c r="AY710" s="21">
        <v>1</v>
      </c>
      <c r="AZ710" s="21">
        <v>0</v>
      </c>
      <c r="BA710" s="21">
        <v>1</v>
      </c>
      <c r="BB710" s="21">
        <v>1</v>
      </c>
      <c r="BC710" s="21">
        <v>0</v>
      </c>
      <c r="BD710" s="21">
        <v>0</v>
      </c>
      <c r="BE710" s="21">
        <v>0</v>
      </c>
      <c r="BF710" s="21">
        <v>1</v>
      </c>
      <c r="BG710" s="21">
        <v>0</v>
      </c>
      <c r="BH710" s="21">
        <v>1</v>
      </c>
      <c r="BI710" s="21">
        <v>0</v>
      </c>
      <c r="BJ710" s="21">
        <v>0</v>
      </c>
      <c r="BK710" s="21">
        <v>0</v>
      </c>
      <c r="BL710" s="21">
        <v>0</v>
      </c>
      <c r="BM710" s="21">
        <v>0</v>
      </c>
      <c r="BN710" s="21">
        <v>0</v>
      </c>
      <c r="BO710" s="21">
        <v>0</v>
      </c>
      <c r="BP710" s="21">
        <v>0</v>
      </c>
      <c r="BQ710" s="21">
        <v>1</v>
      </c>
      <c r="BR710" s="21">
        <v>0</v>
      </c>
      <c r="BS710" s="21">
        <v>0</v>
      </c>
    </row>
    <row r="711" spans="1:71">
      <c r="A711" s="20" t="s">
        <v>5215</v>
      </c>
      <c r="B711">
        <v>35</v>
      </c>
      <c r="C711">
        <v>222</v>
      </c>
      <c r="D711" s="21">
        <v>2014</v>
      </c>
      <c r="E711" s="23">
        <v>-1.1499999999999999</v>
      </c>
      <c r="F711" s="23">
        <v>0.04</v>
      </c>
      <c r="G711" s="14">
        <f t="shared" si="43"/>
        <v>-28.749999999999996</v>
      </c>
      <c r="H711" s="27">
        <v>0</v>
      </c>
      <c r="I711" s="21">
        <v>1</v>
      </c>
      <c r="J711" s="21">
        <v>1404</v>
      </c>
      <c r="K711" s="21">
        <v>1</v>
      </c>
      <c r="L711" s="21">
        <v>0</v>
      </c>
      <c r="M711" s="21">
        <v>0</v>
      </c>
      <c r="N711" s="21">
        <v>0</v>
      </c>
      <c r="O711" s="21">
        <v>0</v>
      </c>
      <c r="P711">
        <v>0</v>
      </c>
      <c r="Q711" s="21">
        <v>1</v>
      </c>
      <c r="R711" s="21">
        <v>0</v>
      </c>
      <c r="S711" s="21">
        <v>0</v>
      </c>
      <c r="T711" s="21">
        <v>1</v>
      </c>
      <c r="U711" s="21">
        <v>2000</v>
      </c>
      <c r="V711" s="21">
        <v>2005</v>
      </c>
      <c r="W711">
        <f t="shared" si="41"/>
        <v>2003</v>
      </c>
      <c r="X711" s="21">
        <v>1</v>
      </c>
      <c r="Y711" s="21">
        <v>0</v>
      </c>
      <c r="Z711" s="21">
        <v>0</v>
      </c>
      <c r="AA711" s="21">
        <v>0</v>
      </c>
      <c r="AB711" s="21">
        <v>0</v>
      </c>
      <c r="AC711" s="21">
        <v>1</v>
      </c>
      <c r="AD711" s="21">
        <v>0</v>
      </c>
      <c r="AE711" s="21">
        <v>0</v>
      </c>
      <c r="AF711" s="21">
        <v>0</v>
      </c>
      <c r="AG711" s="21">
        <v>0</v>
      </c>
      <c r="AH711" s="21">
        <v>0</v>
      </c>
      <c r="AI711" s="21">
        <v>0</v>
      </c>
      <c r="AJ711" s="21">
        <v>0</v>
      </c>
      <c r="AK711" s="21">
        <v>0</v>
      </c>
      <c r="AL711" s="21">
        <v>0</v>
      </c>
      <c r="AM711" s="21">
        <v>1</v>
      </c>
      <c r="AN711" s="21">
        <v>0</v>
      </c>
      <c r="AO711" s="21">
        <v>1</v>
      </c>
      <c r="AP711" s="21">
        <v>0</v>
      </c>
      <c r="AQ711" s="21">
        <v>0</v>
      </c>
      <c r="AR711" s="21">
        <v>0</v>
      </c>
      <c r="AS711" s="21">
        <v>1</v>
      </c>
      <c r="AT711" s="21">
        <v>1</v>
      </c>
      <c r="AU711" s="21">
        <v>1</v>
      </c>
      <c r="AV711" s="21">
        <v>0</v>
      </c>
      <c r="AW711" s="21">
        <v>1</v>
      </c>
      <c r="AX711" s="21">
        <v>0</v>
      </c>
      <c r="AY711" s="21">
        <v>1</v>
      </c>
      <c r="AZ711" s="21">
        <v>0</v>
      </c>
      <c r="BA711" s="21">
        <v>1</v>
      </c>
      <c r="BB711" s="21">
        <v>1</v>
      </c>
      <c r="BC711" s="21">
        <v>0</v>
      </c>
      <c r="BD711" s="21">
        <v>0</v>
      </c>
      <c r="BE711" s="21">
        <v>0</v>
      </c>
      <c r="BF711" s="21">
        <v>1</v>
      </c>
      <c r="BG711" s="21">
        <v>0</v>
      </c>
      <c r="BH711" s="21">
        <v>1</v>
      </c>
      <c r="BI711" s="21">
        <v>0</v>
      </c>
      <c r="BJ711" s="21">
        <v>0</v>
      </c>
      <c r="BK711" s="21">
        <v>0</v>
      </c>
      <c r="BL711" s="21">
        <v>0</v>
      </c>
      <c r="BM711" s="21">
        <v>0</v>
      </c>
      <c r="BN711" s="21">
        <v>0</v>
      </c>
      <c r="BO711" s="21">
        <v>0</v>
      </c>
      <c r="BP711" s="21">
        <v>0</v>
      </c>
      <c r="BQ711" s="21">
        <v>1</v>
      </c>
      <c r="BR711" s="21">
        <v>0</v>
      </c>
      <c r="BS711" s="21">
        <v>0</v>
      </c>
    </row>
    <row r="712" spans="1:71">
      <c r="A712" s="20" t="s">
        <v>5215</v>
      </c>
      <c r="B712">
        <v>35</v>
      </c>
      <c r="C712">
        <v>223</v>
      </c>
      <c r="D712" s="21">
        <v>2014</v>
      </c>
      <c r="E712" s="23">
        <v>-1.5</v>
      </c>
      <c r="F712" s="23">
        <v>0.04</v>
      </c>
      <c r="G712" s="14">
        <f t="shared" si="43"/>
        <v>-37.5</v>
      </c>
      <c r="H712" s="27">
        <v>0</v>
      </c>
      <c r="I712" s="21">
        <v>1</v>
      </c>
      <c r="J712" s="21">
        <v>1404</v>
      </c>
      <c r="K712" s="21">
        <v>1</v>
      </c>
      <c r="L712" s="21">
        <v>0</v>
      </c>
      <c r="M712" s="21">
        <v>0</v>
      </c>
      <c r="N712" s="21">
        <v>0</v>
      </c>
      <c r="O712" s="21">
        <v>0</v>
      </c>
      <c r="P712">
        <v>0</v>
      </c>
      <c r="Q712" s="21">
        <v>1</v>
      </c>
      <c r="R712" s="21">
        <v>0</v>
      </c>
      <c r="S712" s="21">
        <v>0</v>
      </c>
      <c r="T712" s="21">
        <v>1</v>
      </c>
      <c r="U712" s="21">
        <v>2000</v>
      </c>
      <c r="V712" s="21">
        <v>2005</v>
      </c>
      <c r="W712">
        <f t="shared" si="41"/>
        <v>2003</v>
      </c>
      <c r="X712" s="21">
        <v>1</v>
      </c>
      <c r="Y712" s="21">
        <v>0</v>
      </c>
      <c r="Z712" s="21">
        <v>0</v>
      </c>
      <c r="AA712" s="21">
        <v>0</v>
      </c>
      <c r="AB712" s="21">
        <v>0</v>
      </c>
      <c r="AC712" s="21">
        <v>1</v>
      </c>
      <c r="AD712" s="21">
        <v>0</v>
      </c>
      <c r="AE712" s="21">
        <v>0</v>
      </c>
      <c r="AF712" s="21">
        <v>0</v>
      </c>
      <c r="AG712" s="21">
        <v>0</v>
      </c>
      <c r="AH712" s="21">
        <v>0</v>
      </c>
      <c r="AI712" s="21">
        <v>0</v>
      </c>
      <c r="AJ712" s="21">
        <v>0</v>
      </c>
      <c r="AK712" s="21">
        <v>0</v>
      </c>
      <c r="AL712" s="21">
        <v>0</v>
      </c>
      <c r="AM712" s="21">
        <v>1</v>
      </c>
      <c r="AN712" s="21">
        <v>0</v>
      </c>
      <c r="AO712" s="21">
        <v>1</v>
      </c>
      <c r="AP712" s="21">
        <v>0</v>
      </c>
      <c r="AQ712" s="21">
        <v>0</v>
      </c>
      <c r="AR712" s="21">
        <v>0</v>
      </c>
      <c r="AS712" s="21">
        <v>1</v>
      </c>
      <c r="AT712" s="21">
        <v>1</v>
      </c>
      <c r="AU712" s="21">
        <v>1</v>
      </c>
      <c r="AV712" s="21">
        <v>0</v>
      </c>
      <c r="AW712" s="21">
        <v>1</v>
      </c>
      <c r="AX712" s="21">
        <v>0</v>
      </c>
      <c r="AY712" s="21">
        <v>1</v>
      </c>
      <c r="AZ712" s="21">
        <v>0</v>
      </c>
      <c r="BA712" s="21">
        <v>1</v>
      </c>
      <c r="BB712" s="21">
        <v>1</v>
      </c>
      <c r="BC712" s="21">
        <v>0</v>
      </c>
      <c r="BD712" s="21">
        <v>0</v>
      </c>
      <c r="BE712" s="21">
        <v>0</v>
      </c>
      <c r="BF712" s="21">
        <v>1</v>
      </c>
      <c r="BG712" s="21">
        <v>0</v>
      </c>
      <c r="BH712" s="21">
        <v>1</v>
      </c>
      <c r="BI712" s="21">
        <v>0</v>
      </c>
      <c r="BJ712" s="21">
        <v>0</v>
      </c>
      <c r="BK712" s="21">
        <v>0</v>
      </c>
      <c r="BL712" s="21">
        <v>0</v>
      </c>
      <c r="BM712" s="21">
        <v>0</v>
      </c>
      <c r="BN712" s="21">
        <v>0</v>
      </c>
      <c r="BO712" s="21">
        <v>0</v>
      </c>
      <c r="BP712" s="21">
        <v>0</v>
      </c>
      <c r="BQ712" s="21">
        <v>1</v>
      </c>
      <c r="BR712" s="21">
        <v>0</v>
      </c>
      <c r="BS712" s="21">
        <v>0</v>
      </c>
    </row>
    <row r="713" spans="1:71">
      <c r="A713" s="20" t="s">
        <v>4850</v>
      </c>
      <c r="B713">
        <v>52</v>
      </c>
      <c r="C713">
        <v>355</v>
      </c>
      <c r="D713" s="21">
        <v>2014</v>
      </c>
      <c r="E713" s="23">
        <v>-0.78</v>
      </c>
      <c r="F713">
        <f>E713/G713</f>
        <v>2.2867194371152155E-2</v>
      </c>
      <c r="G713">
        <v>-34.11</v>
      </c>
      <c r="H713" s="27">
        <v>0</v>
      </c>
      <c r="I713" s="21">
        <v>1</v>
      </c>
      <c r="J713" s="21">
        <v>9380</v>
      </c>
      <c r="K713" s="21">
        <v>0</v>
      </c>
      <c r="L713" s="21">
        <v>0</v>
      </c>
      <c r="M713" s="21">
        <v>0</v>
      </c>
      <c r="N713" s="21">
        <v>0</v>
      </c>
      <c r="O713" s="21">
        <v>0</v>
      </c>
      <c r="P713">
        <v>0</v>
      </c>
      <c r="Q713" s="21">
        <v>0</v>
      </c>
      <c r="R713" s="21">
        <v>0</v>
      </c>
      <c r="S713" s="21">
        <v>0</v>
      </c>
      <c r="T713" s="21">
        <v>1</v>
      </c>
      <c r="U713" s="21">
        <v>1980</v>
      </c>
      <c r="V713" s="21">
        <v>2011</v>
      </c>
      <c r="W713">
        <f t="shared" si="41"/>
        <v>1996</v>
      </c>
      <c r="X713" s="21">
        <v>1</v>
      </c>
      <c r="Y713" s="21">
        <v>0</v>
      </c>
      <c r="Z713" s="21">
        <v>1</v>
      </c>
      <c r="AA713" s="21">
        <v>0</v>
      </c>
      <c r="AB713" s="21">
        <v>0</v>
      </c>
      <c r="AC713" s="21">
        <v>0</v>
      </c>
      <c r="AD713" s="21">
        <v>0</v>
      </c>
      <c r="AE713" s="21">
        <v>1</v>
      </c>
      <c r="AF713" s="21">
        <v>0</v>
      </c>
      <c r="AG713" s="21">
        <v>1</v>
      </c>
      <c r="AH713" s="21">
        <v>1</v>
      </c>
      <c r="AI713" s="21">
        <v>1</v>
      </c>
      <c r="AJ713" s="21">
        <v>0</v>
      </c>
      <c r="AK713" s="21">
        <v>1</v>
      </c>
      <c r="AL713" s="21">
        <v>0</v>
      </c>
      <c r="AM713" s="21">
        <v>1</v>
      </c>
      <c r="AN713" s="21">
        <v>0</v>
      </c>
      <c r="AO713" s="21">
        <v>0</v>
      </c>
      <c r="AP713" s="21">
        <v>1</v>
      </c>
      <c r="AQ713" s="21">
        <v>1</v>
      </c>
      <c r="AR713" s="21">
        <v>0</v>
      </c>
      <c r="AS713" s="21">
        <v>1</v>
      </c>
      <c r="AT713" s="21">
        <v>1</v>
      </c>
      <c r="AU713" s="21">
        <v>1</v>
      </c>
      <c r="AV713" s="21">
        <v>0</v>
      </c>
      <c r="AW713" s="21">
        <v>1</v>
      </c>
      <c r="AX713" s="21">
        <v>0</v>
      </c>
      <c r="AY713" s="21">
        <v>1</v>
      </c>
      <c r="AZ713" s="21">
        <v>0</v>
      </c>
      <c r="BA713" s="21">
        <v>0</v>
      </c>
      <c r="BB713" s="21">
        <v>1</v>
      </c>
      <c r="BC713" s="21">
        <v>1</v>
      </c>
      <c r="BD713" s="21">
        <v>1</v>
      </c>
      <c r="BE713" s="21">
        <v>1</v>
      </c>
      <c r="BF713" s="21">
        <v>1</v>
      </c>
      <c r="BG713" s="21">
        <v>1</v>
      </c>
      <c r="BH713" s="21">
        <v>0</v>
      </c>
      <c r="BI713" s="21">
        <v>0</v>
      </c>
      <c r="BJ713" s="21">
        <v>0</v>
      </c>
      <c r="BK713" s="21">
        <v>0</v>
      </c>
      <c r="BL713" s="21">
        <v>0</v>
      </c>
      <c r="BM713" s="21">
        <v>0</v>
      </c>
      <c r="BN713" s="21">
        <v>1</v>
      </c>
      <c r="BO713" s="21">
        <v>1</v>
      </c>
      <c r="BP713" s="21">
        <v>0</v>
      </c>
      <c r="BQ713" s="21">
        <v>0</v>
      </c>
      <c r="BR713" s="21">
        <v>0</v>
      </c>
      <c r="BS713" s="21">
        <v>1</v>
      </c>
    </row>
    <row r="714" spans="1:71">
      <c r="A714" s="20" t="s">
        <v>4850</v>
      </c>
      <c r="B714">
        <v>52</v>
      </c>
      <c r="C714">
        <v>356</v>
      </c>
      <c r="D714" s="21">
        <v>2014</v>
      </c>
      <c r="E714" s="23">
        <v>-0.76</v>
      </c>
      <c r="F714">
        <f>E714/G714</f>
        <v>2.9757243539545813E-2</v>
      </c>
      <c r="G714">
        <v>-25.54</v>
      </c>
      <c r="H714" s="27">
        <v>0</v>
      </c>
      <c r="I714" s="21">
        <v>1</v>
      </c>
      <c r="J714" s="21">
        <v>7390</v>
      </c>
      <c r="K714" s="21">
        <v>0</v>
      </c>
      <c r="L714" s="21">
        <v>0</v>
      </c>
      <c r="M714" s="21">
        <v>0</v>
      </c>
      <c r="N714" s="21">
        <v>0</v>
      </c>
      <c r="O714" s="21">
        <v>0</v>
      </c>
      <c r="P714">
        <v>0</v>
      </c>
      <c r="Q714" s="21">
        <v>0</v>
      </c>
      <c r="R714" s="21">
        <v>0</v>
      </c>
      <c r="S714" s="21">
        <v>0</v>
      </c>
      <c r="T714" s="21">
        <v>1</v>
      </c>
      <c r="U714" s="21">
        <v>1980</v>
      </c>
      <c r="V714" s="21">
        <v>2004</v>
      </c>
      <c r="W714">
        <f t="shared" si="41"/>
        <v>1992</v>
      </c>
      <c r="X714" s="21">
        <v>1</v>
      </c>
      <c r="Y714" s="21">
        <v>0</v>
      </c>
      <c r="Z714" s="21">
        <v>1</v>
      </c>
      <c r="AA714" s="21">
        <v>0</v>
      </c>
      <c r="AB714" s="21">
        <v>0</v>
      </c>
      <c r="AC714" s="21">
        <v>0</v>
      </c>
      <c r="AD714" s="21">
        <v>0</v>
      </c>
      <c r="AE714" s="21">
        <v>1</v>
      </c>
      <c r="AF714" s="21">
        <v>0</v>
      </c>
      <c r="AG714" s="21">
        <v>1</v>
      </c>
      <c r="AH714" s="21">
        <v>1</v>
      </c>
      <c r="AI714" s="21">
        <v>1</v>
      </c>
      <c r="AJ714" s="21">
        <v>0</v>
      </c>
      <c r="AK714" s="21">
        <v>1</v>
      </c>
      <c r="AL714" s="21">
        <v>0</v>
      </c>
      <c r="AM714" s="21">
        <v>1</v>
      </c>
      <c r="AN714" s="21">
        <v>0</v>
      </c>
      <c r="AO714" s="21">
        <v>0</v>
      </c>
      <c r="AP714" s="21">
        <v>1</v>
      </c>
      <c r="AQ714" s="21">
        <v>1</v>
      </c>
      <c r="AR714" s="21">
        <v>0</v>
      </c>
      <c r="AS714" s="21">
        <v>1</v>
      </c>
      <c r="AT714" s="21">
        <v>1</v>
      </c>
      <c r="AU714" s="21">
        <v>1</v>
      </c>
      <c r="AV714" s="21">
        <v>0</v>
      </c>
      <c r="AW714" s="21">
        <v>1</v>
      </c>
      <c r="AX714" s="21">
        <v>0</v>
      </c>
      <c r="AY714" s="21">
        <v>1</v>
      </c>
      <c r="AZ714" s="21">
        <v>0</v>
      </c>
      <c r="BA714" s="21">
        <v>0</v>
      </c>
      <c r="BB714" s="21">
        <v>1</v>
      </c>
      <c r="BC714" s="21">
        <v>1</v>
      </c>
      <c r="BD714" s="21">
        <v>1</v>
      </c>
      <c r="BE714" s="21">
        <v>1</v>
      </c>
      <c r="BF714" s="21">
        <v>1</v>
      </c>
      <c r="BG714" s="21">
        <v>1</v>
      </c>
      <c r="BH714" s="21">
        <v>0</v>
      </c>
      <c r="BI714" s="21">
        <v>0</v>
      </c>
      <c r="BJ714" s="21">
        <v>0</v>
      </c>
      <c r="BK714" s="21">
        <v>0</v>
      </c>
      <c r="BL714" s="21">
        <v>0</v>
      </c>
      <c r="BM714" s="21">
        <v>0</v>
      </c>
      <c r="BN714" s="21">
        <v>1</v>
      </c>
      <c r="BO714" s="21">
        <v>1</v>
      </c>
      <c r="BP714" s="21">
        <v>0</v>
      </c>
      <c r="BQ714" s="21">
        <v>0</v>
      </c>
      <c r="BR714" s="21">
        <v>0</v>
      </c>
      <c r="BS714" s="21">
        <v>1</v>
      </c>
    </row>
    <row r="715" spans="1:71">
      <c r="A715" s="20" t="s">
        <v>4850</v>
      </c>
      <c r="B715">
        <v>52</v>
      </c>
      <c r="C715">
        <v>357</v>
      </c>
      <c r="D715" s="21">
        <v>2014</v>
      </c>
      <c r="E715" s="23">
        <v>-0.81</v>
      </c>
      <c r="F715">
        <f>E715/G715</f>
        <v>2.6618468616496881E-2</v>
      </c>
      <c r="G715">
        <v>-30.43</v>
      </c>
      <c r="H715" s="27">
        <v>0</v>
      </c>
      <c r="I715" s="21">
        <v>1</v>
      </c>
      <c r="J715" s="21">
        <v>7390</v>
      </c>
      <c r="K715" s="21">
        <v>0</v>
      </c>
      <c r="L715" s="21">
        <v>0</v>
      </c>
      <c r="M715" s="21">
        <v>0</v>
      </c>
      <c r="N715" s="21">
        <v>0</v>
      </c>
      <c r="O715" s="21">
        <v>0</v>
      </c>
      <c r="P715">
        <v>0</v>
      </c>
      <c r="Q715" s="21">
        <v>0</v>
      </c>
      <c r="R715" s="21">
        <v>0</v>
      </c>
      <c r="S715" s="21">
        <v>0</v>
      </c>
      <c r="T715" s="21">
        <v>1</v>
      </c>
      <c r="U715" s="21">
        <v>1980</v>
      </c>
      <c r="V715" s="21">
        <v>2004</v>
      </c>
      <c r="W715">
        <f t="shared" si="41"/>
        <v>1992</v>
      </c>
      <c r="X715" s="21">
        <v>1</v>
      </c>
      <c r="Y715" s="21">
        <v>0</v>
      </c>
      <c r="Z715" s="21">
        <v>1</v>
      </c>
      <c r="AA715" s="21">
        <v>0</v>
      </c>
      <c r="AB715" s="21">
        <v>0</v>
      </c>
      <c r="AC715" s="21">
        <v>0</v>
      </c>
      <c r="AD715" s="21">
        <v>0</v>
      </c>
      <c r="AE715" s="21">
        <v>1</v>
      </c>
      <c r="AF715" s="21">
        <v>0</v>
      </c>
      <c r="AG715" s="21">
        <v>1</v>
      </c>
      <c r="AH715" s="21">
        <v>1</v>
      </c>
      <c r="AI715" s="21">
        <v>1</v>
      </c>
      <c r="AJ715" s="21">
        <v>0</v>
      </c>
      <c r="AK715" s="21">
        <v>1</v>
      </c>
      <c r="AL715" s="21">
        <v>0</v>
      </c>
      <c r="AM715" s="21">
        <v>1</v>
      </c>
      <c r="AN715" s="21">
        <v>0</v>
      </c>
      <c r="AO715" s="21">
        <v>0</v>
      </c>
      <c r="AP715" s="21">
        <v>1</v>
      </c>
      <c r="AQ715" s="21">
        <v>1</v>
      </c>
      <c r="AR715" s="21">
        <v>0</v>
      </c>
      <c r="AS715" s="21">
        <v>1</v>
      </c>
      <c r="AT715" s="21">
        <v>1</v>
      </c>
      <c r="AU715" s="21">
        <v>1</v>
      </c>
      <c r="AV715" s="21">
        <v>0</v>
      </c>
      <c r="AW715" s="21">
        <v>1</v>
      </c>
      <c r="AX715" s="21">
        <v>0</v>
      </c>
      <c r="AY715" s="21">
        <v>1</v>
      </c>
      <c r="AZ715" s="21">
        <v>0</v>
      </c>
      <c r="BA715" s="21">
        <v>0</v>
      </c>
      <c r="BB715" s="21">
        <v>1</v>
      </c>
      <c r="BC715" s="21">
        <v>1</v>
      </c>
      <c r="BD715" s="21">
        <v>1</v>
      </c>
      <c r="BE715" s="21">
        <v>1</v>
      </c>
      <c r="BF715" s="21">
        <v>1</v>
      </c>
      <c r="BG715" s="21">
        <v>1</v>
      </c>
      <c r="BH715" s="21">
        <v>0</v>
      </c>
      <c r="BI715" s="21">
        <v>0</v>
      </c>
      <c r="BJ715" s="21">
        <v>0</v>
      </c>
      <c r="BK715" s="21">
        <v>0</v>
      </c>
      <c r="BL715" s="21">
        <v>0</v>
      </c>
      <c r="BM715" s="21">
        <v>0</v>
      </c>
      <c r="BN715" s="21">
        <v>1</v>
      </c>
      <c r="BO715" s="21">
        <v>1</v>
      </c>
      <c r="BP715" s="21">
        <v>0</v>
      </c>
      <c r="BQ715" s="21">
        <v>0</v>
      </c>
      <c r="BR715" s="21">
        <v>0</v>
      </c>
      <c r="BS715" s="21">
        <v>0</v>
      </c>
    </row>
    <row r="716" spans="1:71">
      <c r="A716" s="20" t="s">
        <v>4832</v>
      </c>
      <c r="B716">
        <v>59</v>
      </c>
      <c r="C716">
        <v>385</v>
      </c>
      <c r="D716">
        <v>2014</v>
      </c>
      <c r="E716">
        <v>-1.9159999999999999</v>
      </c>
      <c r="F716">
        <v>7.0000000000000001E-3</v>
      </c>
      <c r="G716">
        <f t="shared" ref="G716:G735" si="44">E716/F716</f>
        <v>-273.71428571428572</v>
      </c>
      <c r="H716" s="27">
        <v>0</v>
      </c>
      <c r="I716">
        <v>1</v>
      </c>
      <c r="J716">
        <v>104627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1</v>
      </c>
      <c r="U716">
        <v>1999</v>
      </c>
      <c r="V716">
        <v>2009</v>
      </c>
      <c r="W716">
        <f t="shared" si="41"/>
        <v>2004</v>
      </c>
      <c r="X716">
        <v>1</v>
      </c>
      <c r="Y716">
        <v>0</v>
      </c>
      <c r="Z716">
        <v>1</v>
      </c>
      <c r="AA716">
        <v>0</v>
      </c>
      <c r="AB716">
        <v>0</v>
      </c>
      <c r="AC716">
        <v>0</v>
      </c>
      <c r="AD716" s="21">
        <v>0</v>
      </c>
      <c r="AE716">
        <v>1</v>
      </c>
      <c r="AF716">
        <v>0</v>
      </c>
      <c r="AG716">
        <v>0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 s="21">
        <v>1</v>
      </c>
      <c r="AO716" s="21">
        <v>1</v>
      </c>
      <c r="AP716" s="21">
        <v>1</v>
      </c>
      <c r="AQ716">
        <v>1</v>
      </c>
      <c r="AR716">
        <v>0</v>
      </c>
      <c r="AS716">
        <v>0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 s="21">
        <v>1</v>
      </c>
      <c r="BA716" s="21">
        <v>1</v>
      </c>
      <c r="BB716" s="21">
        <v>1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 s="21">
        <v>0</v>
      </c>
      <c r="BS716" s="21">
        <v>0</v>
      </c>
    </row>
    <row r="717" spans="1:71">
      <c r="A717" s="20" t="s">
        <v>4832</v>
      </c>
      <c r="B717">
        <v>59</v>
      </c>
      <c r="C717">
        <v>386</v>
      </c>
      <c r="D717">
        <v>2014</v>
      </c>
      <c r="E717">
        <v>-1.589</v>
      </c>
      <c r="F717">
        <v>7.0000000000000001E-3</v>
      </c>
      <c r="G717">
        <f t="shared" si="44"/>
        <v>-227</v>
      </c>
      <c r="H717" s="27">
        <v>0</v>
      </c>
      <c r="I717">
        <v>1</v>
      </c>
      <c r="J717">
        <v>104627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1</v>
      </c>
      <c r="U717">
        <v>1999</v>
      </c>
      <c r="V717">
        <v>2009</v>
      </c>
      <c r="W717">
        <f t="shared" si="41"/>
        <v>2004</v>
      </c>
      <c r="X717">
        <v>1</v>
      </c>
      <c r="Y717">
        <v>0</v>
      </c>
      <c r="Z717">
        <v>1</v>
      </c>
      <c r="AA717">
        <v>0</v>
      </c>
      <c r="AB717">
        <v>0</v>
      </c>
      <c r="AC717">
        <v>0</v>
      </c>
      <c r="AD717" s="21">
        <v>0</v>
      </c>
      <c r="AE717">
        <v>1</v>
      </c>
      <c r="AF717">
        <v>0</v>
      </c>
      <c r="AG717">
        <v>0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 s="21">
        <v>1</v>
      </c>
      <c r="AO717" s="21">
        <v>1</v>
      </c>
      <c r="AP717" s="21">
        <v>1</v>
      </c>
      <c r="AQ717">
        <v>1</v>
      </c>
      <c r="AR717">
        <v>0</v>
      </c>
      <c r="AS717">
        <v>0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 s="21">
        <v>1</v>
      </c>
      <c r="BA717" s="21">
        <v>1</v>
      </c>
      <c r="BB717" s="21">
        <v>1</v>
      </c>
      <c r="BC717">
        <v>1</v>
      </c>
      <c r="BD717">
        <v>1</v>
      </c>
      <c r="BE717">
        <v>1</v>
      </c>
      <c r="BF717">
        <v>0</v>
      </c>
      <c r="BG717">
        <v>0</v>
      </c>
      <c r="BH717">
        <v>1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1</v>
      </c>
      <c r="BP717">
        <v>0</v>
      </c>
      <c r="BQ717">
        <v>0</v>
      </c>
      <c r="BR717" s="21">
        <v>0</v>
      </c>
      <c r="BS717" s="21">
        <v>1</v>
      </c>
    </row>
    <row r="718" spans="1:71">
      <c r="A718" s="20" t="s">
        <v>4832</v>
      </c>
      <c r="B718">
        <v>59</v>
      </c>
      <c r="C718">
        <v>387</v>
      </c>
      <c r="D718">
        <v>2014</v>
      </c>
      <c r="E718">
        <v>-1.274</v>
      </c>
      <c r="F718">
        <v>1.2999999999999999E-2</v>
      </c>
      <c r="G718">
        <f t="shared" si="44"/>
        <v>-98</v>
      </c>
      <c r="H718" s="27">
        <v>0</v>
      </c>
      <c r="I718">
        <v>1</v>
      </c>
      <c r="J718">
        <v>9306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1</v>
      </c>
      <c r="U718">
        <v>1999</v>
      </c>
      <c r="V718">
        <v>2009</v>
      </c>
      <c r="W718">
        <f t="shared" si="41"/>
        <v>2004</v>
      </c>
      <c r="X718">
        <v>1</v>
      </c>
      <c r="Y718">
        <v>0</v>
      </c>
      <c r="Z718">
        <v>1</v>
      </c>
      <c r="AA718">
        <v>0</v>
      </c>
      <c r="AB718">
        <v>0</v>
      </c>
      <c r="AC718">
        <v>0</v>
      </c>
      <c r="AD718" s="21">
        <v>0</v>
      </c>
      <c r="AE718">
        <v>1</v>
      </c>
      <c r="AF718">
        <v>0</v>
      </c>
      <c r="AG718">
        <v>0</v>
      </c>
      <c r="AH718">
        <v>1</v>
      </c>
      <c r="AI718">
        <v>1</v>
      </c>
      <c r="AJ718">
        <v>0</v>
      </c>
      <c r="AK718">
        <v>1</v>
      </c>
      <c r="AL718">
        <v>1</v>
      </c>
      <c r="AM718">
        <v>1</v>
      </c>
      <c r="AN718" s="21">
        <v>1</v>
      </c>
      <c r="AO718" s="21">
        <v>1</v>
      </c>
      <c r="AP718" s="21">
        <v>1</v>
      </c>
      <c r="AQ718">
        <v>1</v>
      </c>
      <c r="AR718">
        <v>0</v>
      </c>
      <c r="AS718">
        <v>0</v>
      </c>
      <c r="AT718">
        <v>1</v>
      </c>
      <c r="AU718">
        <v>1</v>
      </c>
      <c r="AV718">
        <v>0</v>
      </c>
      <c r="AW718">
        <v>1</v>
      </c>
      <c r="AX718">
        <v>1</v>
      </c>
      <c r="AY718">
        <v>1</v>
      </c>
      <c r="AZ718" s="21">
        <v>1</v>
      </c>
      <c r="BA718" s="21">
        <v>1</v>
      </c>
      <c r="BB718" s="21">
        <v>1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 s="21">
        <v>0</v>
      </c>
      <c r="BS718" s="21">
        <v>0</v>
      </c>
    </row>
    <row r="719" spans="1:71">
      <c r="A719" s="20" t="s">
        <v>4832</v>
      </c>
      <c r="B719">
        <v>59</v>
      </c>
      <c r="C719">
        <v>388</v>
      </c>
      <c r="D719">
        <v>2014</v>
      </c>
      <c r="E719">
        <v>-1.073</v>
      </c>
      <c r="F719">
        <v>0.02</v>
      </c>
      <c r="G719">
        <f t="shared" si="44"/>
        <v>-53.65</v>
      </c>
      <c r="H719" s="27">
        <v>0</v>
      </c>
      <c r="I719">
        <v>1</v>
      </c>
      <c r="J719">
        <v>9306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1</v>
      </c>
      <c r="U719">
        <v>1999</v>
      </c>
      <c r="V719">
        <v>2009</v>
      </c>
      <c r="W719">
        <f t="shared" si="41"/>
        <v>2004</v>
      </c>
      <c r="X719">
        <v>1</v>
      </c>
      <c r="Y719">
        <v>0</v>
      </c>
      <c r="Z719">
        <v>1</v>
      </c>
      <c r="AA719">
        <v>0</v>
      </c>
      <c r="AB719">
        <v>0</v>
      </c>
      <c r="AC719">
        <v>0</v>
      </c>
      <c r="AD719" s="21">
        <v>0</v>
      </c>
      <c r="AE719">
        <v>1</v>
      </c>
      <c r="AF719">
        <v>0</v>
      </c>
      <c r="AG719">
        <v>0</v>
      </c>
      <c r="AH719">
        <v>1</v>
      </c>
      <c r="AI719">
        <v>1</v>
      </c>
      <c r="AJ719">
        <v>0</v>
      </c>
      <c r="AK719">
        <v>1</v>
      </c>
      <c r="AL719">
        <v>1</v>
      </c>
      <c r="AM719">
        <v>1</v>
      </c>
      <c r="AN719" s="21">
        <v>1</v>
      </c>
      <c r="AO719" s="21">
        <v>1</v>
      </c>
      <c r="AP719" s="21">
        <v>1</v>
      </c>
      <c r="AQ719">
        <v>1</v>
      </c>
      <c r="AR719">
        <v>0</v>
      </c>
      <c r="AS719">
        <v>0</v>
      </c>
      <c r="AT719">
        <v>1</v>
      </c>
      <c r="AU719">
        <v>1</v>
      </c>
      <c r="AV719">
        <v>0</v>
      </c>
      <c r="AW719">
        <v>1</v>
      </c>
      <c r="AX719">
        <v>1</v>
      </c>
      <c r="AY719">
        <v>1</v>
      </c>
      <c r="AZ719" s="21">
        <v>1</v>
      </c>
      <c r="BA719" s="21">
        <v>1</v>
      </c>
      <c r="BB719" s="21">
        <v>1</v>
      </c>
      <c r="BC719">
        <v>1</v>
      </c>
      <c r="BD719">
        <v>1</v>
      </c>
      <c r="BE719">
        <v>1</v>
      </c>
      <c r="BF719">
        <v>0</v>
      </c>
      <c r="BG719">
        <v>0</v>
      </c>
      <c r="BH719">
        <v>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1</v>
      </c>
      <c r="BP719">
        <v>0</v>
      </c>
      <c r="BQ719">
        <v>0</v>
      </c>
      <c r="BR719" s="21">
        <v>0</v>
      </c>
      <c r="BS719" s="21">
        <v>1</v>
      </c>
    </row>
    <row r="720" spans="1:71">
      <c r="A720" s="20" t="s">
        <v>4832</v>
      </c>
      <c r="B720">
        <v>59</v>
      </c>
      <c r="C720">
        <v>389</v>
      </c>
      <c r="D720">
        <v>2014</v>
      </c>
      <c r="E720">
        <v>-1.292</v>
      </c>
      <c r="F720">
        <v>1.9E-2</v>
      </c>
      <c r="G720">
        <f t="shared" si="44"/>
        <v>-68</v>
      </c>
      <c r="H720" s="27">
        <v>0</v>
      </c>
      <c r="I720">
        <v>1</v>
      </c>
      <c r="J720">
        <v>67673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1</v>
      </c>
      <c r="U720">
        <v>1999</v>
      </c>
      <c r="V720">
        <v>2009</v>
      </c>
      <c r="W720">
        <f t="shared" si="41"/>
        <v>2004</v>
      </c>
      <c r="X720">
        <v>1</v>
      </c>
      <c r="Y720">
        <v>0</v>
      </c>
      <c r="Z720">
        <v>1</v>
      </c>
      <c r="AA720">
        <v>0</v>
      </c>
      <c r="AB720">
        <v>0</v>
      </c>
      <c r="AC720">
        <v>0</v>
      </c>
      <c r="AD720" s="21">
        <v>0</v>
      </c>
      <c r="AE720">
        <v>1</v>
      </c>
      <c r="AF720">
        <v>0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 s="21">
        <v>1</v>
      </c>
      <c r="AO720" s="21">
        <v>1</v>
      </c>
      <c r="AP720" s="21">
        <v>1</v>
      </c>
      <c r="AQ720">
        <v>1</v>
      </c>
      <c r="AR720">
        <v>0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 s="21">
        <v>1</v>
      </c>
      <c r="BA720" s="21">
        <v>1</v>
      </c>
      <c r="BB720" s="21">
        <v>1</v>
      </c>
      <c r="BC720">
        <v>1</v>
      </c>
      <c r="BD720">
        <v>1</v>
      </c>
      <c r="BE720">
        <v>1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 s="21">
        <v>0</v>
      </c>
      <c r="BS720" s="21">
        <v>0</v>
      </c>
    </row>
    <row r="721" spans="1:71">
      <c r="A721" s="20" t="s">
        <v>4832</v>
      </c>
      <c r="B721">
        <v>59</v>
      </c>
      <c r="C721">
        <v>390</v>
      </c>
      <c r="D721">
        <v>2014</v>
      </c>
      <c r="E721">
        <v>-1.206</v>
      </c>
      <c r="F721">
        <v>0.02</v>
      </c>
      <c r="G721">
        <f t="shared" si="44"/>
        <v>-60.3</v>
      </c>
      <c r="H721" s="27">
        <v>0</v>
      </c>
      <c r="I721">
        <v>1</v>
      </c>
      <c r="J721">
        <v>67673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1</v>
      </c>
      <c r="U721">
        <v>1999</v>
      </c>
      <c r="V721">
        <v>2009</v>
      </c>
      <c r="W721">
        <f t="shared" si="41"/>
        <v>2004</v>
      </c>
      <c r="X721">
        <v>1</v>
      </c>
      <c r="Y721">
        <v>0</v>
      </c>
      <c r="Z721">
        <v>1</v>
      </c>
      <c r="AA721">
        <v>0</v>
      </c>
      <c r="AB721">
        <v>0</v>
      </c>
      <c r="AC721">
        <v>0</v>
      </c>
      <c r="AD721" s="21">
        <v>0</v>
      </c>
      <c r="AE721">
        <v>1</v>
      </c>
      <c r="AF721">
        <v>0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 s="21">
        <v>1</v>
      </c>
      <c r="AO721" s="21">
        <v>1</v>
      </c>
      <c r="AP721" s="21">
        <v>1</v>
      </c>
      <c r="AQ721">
        <v>1</v>
      </c>
      <c r="AR721">
        <v>0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 s="21">
        <v>1</v>
      </c>
      <c r="BA721" s="21">
        <v>1</v>
      </c>
      <c r="BB721" s="21">
        <v>1</v>
      </c>
      <c r="BC721">
        <v>1</v>
      </c>
      <c r="BD721">
        <v>1</v>
      </c>
      <c r="BE721">
        <v>1</v>
      </c>
      <c r="BF721">
        <v>0</v>
      </c>
      <c r="BG721">
        <v>0</v>
      </c>
      <c r="BH721">
        <v>0</v>
      </c>
      <c r="BI721">
        <v>1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1</v>
      </c>
      <c r="BP721">
        <v>0</v>
      </c>
      <c r="BQ721">
        <v>0</v>
      </c>
      <c r="BR721" s="21">
        <v>0</v>
      </c>
      <c r="BS721" s="21">
        <v>1</v>
      </c>
    </row>
    <row r="722" spans="1:71">
      <c r="A722" s="18" t="s">
        <v>4832</v>
      </c>
      <c r="B722">
        <v>59</v>
      </c>
      <c r="C722">
        <v>391</v>
      </c>
      <c r="D722">
        <v>2014</v>
      </c>
      <c r="E722">
        <v>-0.77300000000000002</v>
      </c>
      <c r="F722">
        <v>3.1E-2</v>
      </c>
      <c r="G722">
        <f t="shared" si="44"/>
        <v>-24.935483870967744</v>
      </c>
      <c r="H722" s="27">
        <v>0</v>
      </c>
      <c r="I722">
        <v>1</v>
      </c>
      <c r="J722">
        <v>55438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1</v>
      </c>
      <c r="U722">
        <v>1999</v>
      </c>
      <c r="V722">
        <v>2009</v>
      </c>
      <c r="W722">
        <f t="shared" si="41"/>
        <v>2004</v>
      </c>
      <c r="X722">
        <v>1</v>
      </c>
      <c r="Y722">
        <v>0</v>
      </c>
      <c r="Z722">
        <v>1</v>
      </c>
      <c r="AA722">
        <v>0</v>
      </c>
      <c r="AB722">
        <v>0</v>
      </c>
      <c r="AC722">
        <v>0</v>
      </c>
      <c r="AD722" s="21">
        <v>0</v>
      </c>
      <c r="AE722">
        <v>1</v>
      </c>
      <c r="AF722">
        <v>0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 s="21">
        <v>1</v>
      </c>
      <c r="AO722" s="21">
        <v>1</v>
      </c>
      <c r="AP722" s="21">
        <v>1</v>
      </c>
      <c r="AQ722">
        <v>1</v>
      </c>
      <c r="AR722">
        <v>0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 s="21">
        <v>1</v>
      </c>
      <c r="BA722" s="21">
        <v>1</v>
      </c>
      <c r="BB722" s="21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0</v>
      </c>
      <c r="BL722">
        <v>0</v>
      </c>
      <c r="BM722">
        <v>0</v>
      </c>
      <c r="BN722">
        <v>1</v>
      </c>
      <c r="BO722">
        <v>1</v>
      </c>
      <c r="BP722">
        <v>0</v>
      </c>
      <c r="BQ722">
        <v>0</v>
      </c>
      <c r="BR722" s="21">
        <v>0</v>
      </c>
      <c r="BS722" s="21">
        <v>1</v>
      </c>
    </row>
    <row r="723" spans="1:71">
      <c r="A723" s="18" t="s">
        <v>4832</v>
      </c>
      <c r="B723">
        <v>59</v>
      </c>
      <c r="C723">
        <v>392</v>
      </c>
      <c r="D723">
        <v>2014</v>
      </c>
      <c r="E723">
        <v>-1.6140000000000001</v>
      </c>
      <c r="F723">
        <v>7.0000000000000001E-3</v>
      </c>
      <c r="G723">
        <f t="shared" si="44"/>
        <v>-230.57142857142858</v>
      </c>
      <c r="H723" s="27">
        <v>0</v>
      </c>
      <c r="I723">
        <v>1</v>
      </c>
      <c r="J723">
        <v>67673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1</v>
      </c>
      <c r="U723">
        <v>1999</v>
      </c>
      <c r="V723">
        <v>2009</v>
      </c>
      <c r="W723">
        <f t="shared" si="41"/>
        <v>2004</v>
      </c>
      <c r="X723">
        <v>1</v>
      </c>
      <c r="Y723">
        <v>0</v>
      </c>
      <c r="Z723">
        <v>1</v>
      </c>
      <c r="AA723">
        <v>0</v>
      </c>
      <c r="AB723">
        <v>0</v>
      </c>
      <c r="AC723">
        <v>0</v>
      </c>
      <c r="AD723" s="21">
        <v>0</v>
      </c>
      <c r="AE723">
        <v>1</v>
      </c>
      <c r="AF723">
        <v>0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 s="21">
        <v>1</v>
      </c>
      <c r="AO723" s="21">
        <v>1</v>
      </c>
      <c r="AP723" s="21">
        <v>1</v>
      </c>
      <c r="AQ723">
        <v>1</v>
      </c>
      <c r="AR723">
        <v>0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 s="21">
        <v>1</v>
      </c>
      <c r="BA723" s="21">
        <v>1</v>
      </c>
      <c r="BB723" s="21">
        <v>1</v>
      </c>
      <c r="BC723">
        <v>1</v>
      </c>
      <c r="BD723">
        <v>1</v>
      </c>
      <c r="BE723">
        <v>1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 s="21">
        <v>0</v>
      </c>
      <c r="BS723" s="21">
        <v>0</v>
      </c>
    </row>
    <row r="724" spans="1:71">
      <c r="A724" s="18" t="s">
        <v>4832</v>
      </c>
      <c r="B724">
        <v>59</v>
      </c>
      <c r="C724">
        <v>393</v>
      </c>
      <c r="D724">
        <v>2014</v>
      </c>
      <c r="E724">
        <v>-1.2789999999999999</v>
      </c>
      <c r="F724">
        <v>8.0000000000000002E-3</v>
      </c>
      <c r="G724">
        <f t="shared" si="44"/>
        <v>-159.875</v>
      </c>
      <c r="H724" s="27">
        <v>0</v>
      </c>
      <c r="I724">
        <v>1</v>
      </c>
      <c r="J724">
        <v>67673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1</v>
      </c>
      <c r="U724">
        <v>1999</v>
      </c>
      <c r="V724">
        <v>2009</v>
      </c>
      <c r="W724">
        <f t="shared" si="41"/>
        <v>2004</v>
      </c>
      <c r="X724">
        <v>1</v>
      </c>
      <c r="Y724">
        <v>0</v>
      </c>
      <c r="Z724">
        <v>1</v>
      </c>
      <c r="AA724">
        <v>0</v>
      </c>
      <c r="AB724">
        <v>0</v>
      </c>
      <c r="AC724">
        <v>0</v>
      </c>
      <c r="AD724" s="21">
        <v>0</v>
      </c>
      <c r="AE724">
        <v>1</v>
      </c>
      <c r="AF724">
        <v>0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 s="21">
        <v>1</v>
      </c>
      <c r="AO724" s="21">
        <v>1</v>
      </c>
      <c r="AP724" s="21">
        <v>1</v>
      </c>
      <c r="AQ724">
        <v>1</v>
      </c>
      <c r="AR724">
        <v>0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 s="21">
        <v>1</v>
      </c>
      <c r="BA724" s="21">
        <v>1</v>
      </c>
      <c r="BB724" s="21">
        <v>1</v>
      </c>
      <c r="BC724">
        <v>1</v>
      </c>
      <c r="BD724">
        <v>1</v>
      </c>
      <c r="BE724">
        <v>1</v>
      </c>
      <c r="BF724">
        <v>0</v>
      </c>
      <c r="BG724">
        <v>0</v>
      </c>
      <c r="BH724">
        <v>0</v>
      </c>
      <c r="BI724">
        <v>1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1</v>
      </c>
      <c r="BP724">
        <v>0</v>
      </c>
      <c r="BQ724">
        <v>0</v>
      </c>
      <c r="BR724" s="21">
        <v>0</v>
      </c>
      <c r="BS724" s="21">
        <v>1</v>
      </c>
    </row>
    <row r="725" spans="1:71">
      <c r="A725" s="18" t="s">
        <v>4832</v>
      </c>
      <c r="B725">
        <v>59</v>
      </c>
      <c r="C725">
        <v>394</v>
      </c>
      <c r="D725">
        <v>2014</v>
      </c>
      <c r="E725">
        <v>-0.97899999999999998</v>
      </c>
      <c r="F725">
        <v>1.2E-2</v>
      </c>
      <c r="G725">
        <f t="shared" si="44"/>
        <v>-81.583333333333329</v>
      </c>
      <c r="H725" s="27">
        <v>0</v>
      </c>
      <c r="I725">
        <v>1</v>
      </c>
      <c r="J725">
        <v>55438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1</v>
      </c>
      <c r="U725">
        <v>1999</v>
      </c>
      <c r="V725">
        <v>2009</v>
      </c>
      <c r="W725">
        <f t="shared" si="41"/>
        <v>2004</v>
      </c>
      <c r="X725">
        <v>1</v>
      </c>
      <c r="Y725">
        <v>0</v>
      </c>
      <c r="Z725">
        <v>1</v>
      </c>
      <c r="AA725">
        <v>0</v>
      </c>
      <c r="AB725">
        <v>0</v>
      </c>
      <c r="AC725">
        <v>0</v>
      </c>
      <c r="AD725" s="21">
        <v>0</v>
      </c>
      <c r="AE725">
        <v>1</v>
      </c>
      <c r="AF725">
        <v>0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 s="21">
        <v>1</v>
      </c>
      <c r="AO725" s="21">
        <v>1</v>
      </c>
      <c r="AP725" s="21">
        <v>1</v>
      </c>
      <c r="AQ725">
        <v>1</v>
      </c>
      <c r="AR725">
        <v>0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 s="21">
        <v>1</v>
      </c>
      <c r="BA725" s="21">
        <v>1</v>
      </c>
      <c r="BB725" s="21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0</v>
      </c>
      <c r="BL725">
        <v>0</v>
      </c>
      <c r="BM725">
        <v>0</v>
      </c>
      <c r="BN725">
        <v>1</v>
      </c>
      <c r="BO725">
        <v>1</v>
      </c>
      <c r="BP725">
        <v>0</v>
      </c>
      <c r="BQ725">
        <v>0</v>
      </c>
      <c r="BR725" s="21">
        <v>0</v>
      </c>
      <c r="BS725" s="21">
        <v>1</v>
      </c>
    </row>
    <row r="726" spans="1:71">
      <c r="A726" s="20" t="s">
        <v>4832</v>
      </c>
      <c r="B726">
        <v>59</v>
      </c>
      <c r="C726">
        <v>395</v>
      </c>
      <c r="D726">
        <v>2014</v>
      </c>
      <c r="E726">
        <v>-1.272</v>
      </c>
      <c r="F726">
        <v>1.2999999999999999E-2</v>
      </c>
      <c r="G726">
        <f t="shared" si="44"/>
        <v>-97.846153846153854</v>
      </c>
      <c r="H726" s="27">
        <v>0</v>
      </c>
      <c r="I726">
        <v>1</v>
      </c>
      <c r="J726">
        <v>67673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1999</v>
      </c>
      <c r="V726">
        <v>2009</v>
      </c>
      <c r="W726">
        <f t="shared" si="41"/>
        <v>2004</v>
      </c>
      <c r="X726">
        <v>1</v>
      </c>
      <c r="Y726">
        <v>0</v>
      </c>
      <c r="Z726">
        <v>1</v>
      </c>
      <c r="AA726">
        <v>0</v>
      </c>
      <c r="AB726">
        <v>0</v>
      </c>
      <c r="AC726">
        <v>0</v>
      </c>
      <c r="AD726" s="21">
        <v>0</v>
      </c>
      <c r="AE726">
        <v>1</v>
      </c>
      <c r="AF726">
        <v>0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 s="21">
        <v>1</v>
      </c>
      <c r="AO726" s="21">
        <v>1</v>
      </c>
      <c r="AP726" s="21">
        <v>1</v>
      </c>
      <c r="AQ726">
        <v>1</v>
      </c>
      <c r="AR726">
        <v>0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 s="21">
        <v>1</v>
      </c>
      <c r="BA726" s="21">
        <v>1</v>
      </c>
      <c r="BB726" s="21">
        <v>1</v>
      </c>
      <c r="BC726">
        <v>1</v>
      </c>
      <c r="BD726">
        <v>1</v>
      </c>
      <c r="BE726">
        <v>1</v>
      </c>
      <c r="BF726">
        <v>0</v>
      </c>
      <c r="BG726">
        <v>0</v>
      </c>
      <c r="BH726">
        <v>0</v>
      </c>
      <c r="BI726">
        <v>1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1</v>
      </c>
      <c r="BP726">
        <v>0</v>
      </c>
      <c r="BQ726">
        <v>0</v>
      </c>
      <c r="BR726" s="21">
        <v>0</v>
      </c>
      <c r="BS726" s="21">
        <v>1</v>
      </c>
    </row>
    <row r="727" spans="1:71">
      <c r="A727" s="20" t="s">
        <v>4832</v>
      </c>
      <c r="B727">
        <v>59</v>
      </c>
      <c r="C727">
        <v>396</v>
      </c>
      <c r="D727">
        <v>2014</v>
      </c>
      <c r="E727">
        <v>-1.131</v>
      </c>
      <c r="F727">
        <v>1.7999999999999999E-2</v>
      </c>
      <c r="G727">
        <f t="shared" si="44"/>
        <v>-62.833333333333336</v>
      </c>
      <c r="H727" s="27">
        <v>0</v>
      </c>
      <c r="I727">
        <v>1</v>
      </c>
      <c r="J727">
        <v>55438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1999</v>
      </c>
      <c r="V727">
        <v>2009</v>
      </c>
      <c r="W727">
        <f t="shared" ref="W727:W790" si="45">ROUND(AVERAGE(U727:V727), 0)</f>
        <v>2004</v>
      </c>
      <c r="X727">
        <v>1</v>
      </c>
      <c r="Y727">
        <v>0</v>
      </c>
      <c r="Z727">
        <v>1</v>
      </c>
      <c r="AA727">
        <v>0</v>
      </c>
      <c r="AB727">
        <v>0</v>
      </c>
      <c r="AC727">
        <v>0</v>
      </c>
      <c r="AD727" s="21">
        <v>0</v>
      </c>
      <c r="AE727">
        <v>1</v>
      </c>
      <c r="AF727">
        <v>0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 s="21">
        <v>1</v>
      </c>
      <c r="AO727" s="21">
        <v>1</v>
      </c>
      <c r="AP727" s="21">
        <v>1</v>
      </c>
      <c r="AQ727">
        <v>1</v>
      </c>
      <c r="AR727">
        <v>0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 s="21">
        <v>1</v>
      </c>
      <c r="BA727" s="21">
        <v>1</v>
      </c>
      <c r="BB727" s="21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0</v>
      </c>
      <c r="BL727">
        <v>0</v>
      </c>
      <c r="BM727">
        <v>0</v>
      </c>
      <c r="BN727">
        <v>1</v>
      </c>
      <c r="BO727">
        <v>1</v>
      </c>
      <c r="BP727">
        <v>0</v>
      </c>
      <c r="BQ727">
        <v>0</v>
      </c>
      <c r="BR727" s="21">
        <v>0</v>
      </c>
      <c r="BS727" s="21">
        <v>1</v>
      </c>
    </row>
    <row r="728" spans="1:71">
      <c r="A728" s="20" t="s">
        <v>4832</v>
      </c>
      <c r="B728">
        <v>59</v>
      </c>
      <c r="C728">
        <v>397</v>
      </c>
      <c r="D728">
        <v>2014</v>
      </c>
      <c r="E728">
        <v>-1.087</v>
      </c>
      <c r="F728">
        <v>3.3000000000000002E-2</v>
      </c>
      <c r="G728">
        <f t="shared" si="44"/>
        <v>-32.939393939393938</v>
      </c>
      <c r="H728" s="27">
        <v>0</v>
      </c>
      <c r="I728">
        <v>1</v>
      </c>
      <c r="J728">
        <v>9230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1</v>
      </c>
      <c r="U728">
        <v>1999</v>
      </c>
      <c r="V728">
        <v>2009</v>
      </c>
      <c r="W728">
        <f t="shared" si="45"/>
        <v>2004</v>
      </c>
      <c r="X728">
        <v>1</v>
      </c>
      <c r="Y728">
        <v>0</v>
      </c>
      <c r="Z728">
        <v>1</v>
      </c>
      <c r="AA728">
        <v>0</v>
      </c>
      <c r="AB728">
        <v>0</v>
      </c>
      <c r="AC728">
        <v>0</v>
      </c>
      <c r="AD728" s="21">
        <v>0</v>
      </c>
      <c r="AE728">
        <v>1</v>
      </c>
      <c r="AF728">
        <v>0</v>
      </c>
      <c r="AG728">
        <v>1</v>
      </c>
      <c r="AH728">
        <v>1</v>
      </c>
      <c r="AI728">
        <v>1</v>
      </c>
      <c r="AJ728">
        <v>0</v>
      </c>
      <c r="AK728">
        <v>1</v>
      </c>
      <c r="AL728">
        <v>1</v>
      </c>
      <c r="AM728">
        <v>1</v>
      </c>
      <c r="AN728" s="21">
        <v>1</v>
      </c>
      <c r="AO728" s="21">
        <v>1</v>
      </c>
      <c r="AP728" s="21">
        <v>1</v>
      </c>
      <c r="AQ728">
        <v>1</v>
      </c>
      <c r="AR728">
        <v>0</v>
      </c>
      <c r="AS728">
        <v>1</v>
      </c>
      <c r="AT728">
        <v>1</v>
      </c>
      <c r="AU728">
        <v>1</v>
      </c>
      <c r="AV728">
        <v>0</v>
      </c>
      <c r="AW728">
        <v>1</v>
      </c>
      <c r="AX728">
        <v>1</v>
      </c>
      <c r="AY728">
        <v>1</v>
      </c>
      <c r="AZ728" s="21">
        <v>1</v>
      </c>
      <c r="BA728" s="21">
        <v>1</v>
      </c>
      <c r="BB728" s="21">
        <v>1</v>
      </c>
      <c r="BC728">
        <v>1</v>
      </c>
      <c r="BD728">
        <v>1</v>
      </c>
      <c r="BE728">
        <v>1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 s="21">
        <v>0</v>
      </c>
      <c r="BS728" s="21">
        <v>0</v>
      </c>
    </row>
    <row r="729" spans="1:71">
      <c r="A729" s="20" t="s">
        <v>4832</v>
      </c>
      <c r="B729">
        <v>59</v>
      </c>
      <c r="C729">
        <v>398</v>
      </c>
      <c r="D729">
        <v>2014</v>
      </c>
      <c r="E729">
        <v>-1.2</v>
      </c>
      <c r="F729">
        <v>4.3999999999999997E-2</v>
      </c>
      <c r="G729">
        <f t="shared" si="44"/>
        <v>-27.272727272727273</v>
      </c>
      <c r="H729" s="27">
        <v>0</v>
      </c>
      <c r="I729">
        <v>1</v>
      </c>
      <c r="J729">
        <v>9230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1</v>
      </c>
      <c r="U729">
        <v>1999</v>
      </c>
      <c r="V729">
        <v>2009</v>
      </c>
      <c r="W729">
        <f t="shared" si="45"/>
        <v>2004</v>
      </c>
      <c r="X729">
        <v>1</v>
      </c>
      <c r="Y729">
        <v>0</v>
      </c>
      <c r="Z729">
        <v>1</v>
      </c>
      <c r="AA729">
        <v>0</v>
      </c>
      <c r="AB729">
        <v>0</v>
      </c>
      <c r="AC729">
        <v>0</v>
      </c>
      <c r="AD729" s="21">
        <v>0</v>
      </c>
      <c r="AE729">
        <v>1</v>
      </c>
      <c r="AF729">
        <v>0</v>
      </c>
      <c r="AG729">
        <v>1</v>
      </c>
      <c r="AH729">
        <v>1</v>
      </c>
      <c r="AI729">
        <v>1</v>
      </c>
      <c r="AJ729">
        <v>0</v>
      </c>
      <c r="AK729">
        <v>1</v>
      </c>
      <c r="AL729">
        <v>1</v>
      </c>
      <c r="AM729">
        <v>1</v>
      </c>
      <c r="AN729" s="21">
        <v>1</v>
      </c>
      <c r="AO729" s="21">
        <v>1</v>
      </c>
      <c r="AP729" s="21">
        <v>1</v>
      </c>
      <c r="AQ729">
        <v>1</v>
      </c>
      <c r="AR729">
        <v>0</v>
      </c>
      <c r="AS729">
        <v>1</v>
      </c>
      <c r="AT729">
        <v>1</v>
      </c>
      <c r="AU729">
        <v>1</v>
      </c>
      <c r="AV729">
        <v>0</v>
      </c>
      <c r="AW729">
        <v>1</v>
      </c>
      <c r="AX729">
        <v>1</v>
      </c>
      <c r="AY729">
        <v>1</v>
      </c>
      <c r="AZ729" s="21">
        <v>1</v>
      </c>
      <c r="BA729" s="21">
        <v>1</v>
      </c>
      <c r="BB729" s="21">
        <v>1</v>
      </c>
      <c r="BC729">
        <v>1</v>
      </c>
      <c r="BD729">
        <v>1</v>
      </c>
      <c r="BE729">
        <v>1</v>
      </c>
      <c r="BF729">
        <v>0</v>
      </c>
      <c r="BG729">
        <v>0</v>
      </c>
      <c r="BH729">
        <v>0</v>
      </c>
      <c r="BI729">
        <v>1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1</v>
      </c>
      <c r="BP729">
        <v>0</v>
      </c>
      <c r="BQ729">
        <v>0</v>
      </c>
      <c r="BR729" s="21">
        <v>0</v>
      </c>
      <c r="BS729" s="21">
        <v>1</v>
      </c>
    </row>
    <row r="730" spans="1:71">
      <c r="A730" s="20" t="s">
        <v>4832</v>
      </c>
      <c r="B730">
        <v>59</v>
      </c>
      <c r="C730">
        <v>399</v>
      </c>
      <c r="D730">
        <v>2014</v>
      </c>
      <c r="E730">
        <v>-1.1359999999999999</v>
      </c>
      <c r="F730">
        <v>8.5000000000000006E-2</v>
      </c>
      <c r="G730">
        <f t="shared" si="44"/>
        <v>-13.36470588235294</v>
      </c>
      <c r="H730" s="27">
        <v>0</v>
      </c>
      <c r="I730">
        <v>1</v>
      </c>
      <c r="J730">
        <v>8638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1</v>
      </c>
      <c r="U730">
        <v>1999</v>
      </c>
      <c r="V730">
        <v>2009</v>
      </c>
      <c r="W730">
        <f t="shared" si="45"/>
        <v>2004</v>
      </c>
      <c r="X730">
        <v>1</v>
      </c>
      <c r="Y730">
        <v>0</v>
      </c>
      <c r="Z730">
        <v>1</v>
      </c>
      <c r="AA730">
        <v>0</v>
      </c>
      <c r="AB730">
        <v>0</v>
      </c>
      <c r="AC730">
        <v>0</v>
      </c>
      <c r="AD730" s="21">
        <v>0</v>
      </c>
      <c r="AE730">
        <v>1</v>
      </c>
      <c r="AF730">
        <v>0</v>
      </c>
      <c r="AG730">
        <v>1</v>
      </c>
      <c r="AH730">
        <v>1</v>
      </c>
      <c r="AI730">
        <v>1</v>
      </c>
      <c r="AJ730">
        <v>0</v>
      </c>
      <c r="AK730">
        <v>1</v>
      </c>
      <c r="AL730">
        <v>1</v>
      </c>
      <c r="AM730">
        <v>1</v>
      </c>
      <c r="AN730" s="21">
        <v>1</v>
      </c>
      <c r="AO730" s="21">
        <v>1</v>
      </c>
      <c r="AP730" s="21">
        <v>1</v>
      </c>
      <c r="AQ730">
        <v>1</v>
      </c>
      <c r="AR730">
        <v>0</v>
      </c>
      <c r="AS730">
        <v>1</v>
      </c>
      <c r="AT730">
        <v>1</v>
      </c>
      <c r="AU730">
        <v>1</v>
      </c>
      <c r="AV730">
        <v>0</v>
      </c>
      <c r="AW730">
        <v>1</v>
      </c>
      <c r="AX730">
        <v>1</v>
      </c>
      <c r="AY730">
        <v>1</v>
      </c>
      <c r="AZ730" s="21">
        <v>1</v>
      </c>
      <c r="BA730" s="21">
        <v>1</v>
      </c>
      <c r="BB730" s="21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0</v>
      </c>
      <c r="BL730">
        <v>0</v>
      </c>
      <c r="BM730">
        <v>0</v>
      </c>
      <c r="BN730">
        <v>1</v>
      </c>
      <c r="BO730">
        <v>1</v>
      </c>
      <c r="BP730">
        <v>0</v>
      </c>
      <c r="BQ730">
        <v>0</v>
      </c>
      <c r="BR730" s="21">
        <v>0</v>
      </c>
      <c r="BS730" s="21">
        <v>1</v>
      </c>
    </row>
    <row r="731" spans="1:71">
      <c r="A731" s="20" t="s">
        <v>4832</v>
      </c>
      <c r="B731">
        <v>59</v>
      </c>
      <c r="C731">
        <v>400</v>
      </c>
      <c r="D731">
        <v>2014</v>
      </c>
      <c r="E731">
        <v>-1.2649999999999999</v>
      </c>
      <c r="F731">
        <v>1.2999999999999999E-2</v>
      </c>
      <c r="G731">
        <f t="shared" si="44"/>
        <v>-97.307692307692307</v>
      </c>
      <c r="H731" s="27">
        <v>0</v>
      </c>
      <c r="I731">
        <v>1</v>
      </c>
      <c r="J731">
        <v>9230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1</v>
      </c>
      <c r="U731">
        <v>1999</v>
      </c>
      <c r="V731">
        <v>2009</v>
      </c>
      <c r="W731">
        <f t="shared" si="45"/>
        <v>2004</v>
      </c>
      <c r="X731">
        <v>1</v>
      </c>
      <c r="Y731">
        <v>0</v>
      </c>
      <c r="Z731">
        <v>1</v>
      </c>
      <c r="AA731">
        <v>0</v>
      </c>
      <c r="AB731">
        <v>0</v>
      </c>
      <c r="AC731">
        <v>0</v>
      </c>
      <c r="AD731" s="21">
        <v>0</v>
      </c>
      <c r="AE731">
        <v>1</v>
      </c>
      <c r="AF731">
        <v>0</v>
      </c>
      <c r="AG731">
        <v>1</v>
      </c>
      <c r="AH731">
        <v>1</v>
      </c>
      <c r="AI731">
        <v>1</v>
      </c>
      <c r="AJ731">
        <v>0</v>
      </c>
      <c r="AK731">
        <v>1</v>
      </c>
      <c r="AL731">
        <v>1</v>
      </c>
      <c r="AM731">
        <v>1</v>
      </c>
      <c r="AN731" s="21">
        <v>1</v>
      </c>
      <c r="AO731" s="21">
        <v>1</v>
      </c>
      <c r="AP731" s="21">
        <v>1</v>
      </c>
      <c r="AQ731">
        <v>1</v>
      </c>
      <c r="AR731">
        <v>0</v>
      </c>
      <c r="AS731">
        <v>1</v>
      </c>
      <c r="AT731">
        <v>1</v>
      </c>
      <c r="AU731">
        <v>1</v>
      </c>
      <c r="AV731">
        <v>0</v>
      </c>
      <c r="AW731">
        <v>1</v>
      </c>
      <c r="AX731">
        <v>1</v>
      </c>
      <c r="AY731">
        <v>1</v>
      </c>
      <c r="AZ731" s="21">
        <v>1</v>
      </c>
      <c r="BA731" s="21">
        <v>1</v>
      </c>
      <c r="BB731" s="21">
        <v>1</v>
      </c>
      <c r="BC731">
        <v>1</v>
      </c>
      <c r="BD731">
        <v>1</v>
      </c>
      <c r="BE731">
        <v>1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 s="21">
        <v>0</v>
      </c>
      <c r="BS731" s="21">
        <v>0</v>
      </c>
    </row>
    <row r="732" spans="1:71">
      <c r="A732" s="20" t="s">
        <v>4832</v>
      </c>
      <c r="B732">
        <v>59</v>
      </c>
      <c r="C732">
        <v>401</v>
      </c>
      <c r="D732">
        <v>2014</v>
      </c>
      <c r="E732">
        <v>-1.06</v>
      </c>
      <c r="F732">
        <v>0.02</v>
      </c>
      <c r="G732">
        <f t="shared" si="44"/>
        <v>-53</v>
      </c>
      <c r="H732" s="27">
        <v>0</v>
      </c>
      <c r="I732">
        <v>1</v>
      </c>
      <c r="J732">
        <v>9230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1</v>
      </c>
      <c r="U732">
        <v>1999</v>
      </c>
      <c r="V732">
        <v>2009</v>
      </c>
      <c r="W732">
        <f t="shared" si="45"/>
        <v>2004</v>
      </c>
      <c r="X732">
        <v>1</v>
      </c>
      <c r="Y732">
        <v>0</v>
      </c>
      <c r="Z732">
        <v>1</v>
      </c>
      <c r="AA732">
        <v>0</v>
      </c>
      <c r="AB732">
        <v>0</v>
      </c>
      <c r="AC732">
        <v>0</v>
      </c>
      <c r="AD732" s="21">
        <v>0</v>
      </c>
      <c r="AE732">
        <v>1</v>
      </c>
      <c r="AF732">
        <v>0</v>
      </c>
      <c r="AG732">
        <v>1</v>
      </c>
      <c r="AH732">
        <v>1</v>
      </c>
      <c r="AI732">
        <v>1</v>
      </c>
      <c r="AJ732">
        <v>0</v>
      </c>
      <c r="AK732">
        <v>1</v>
      </c>
      <c r="AL732">
        <v>1</v>
      </c>
      <c r="AM732">
        <v>1</v>
      </c>
      <c r="AN732" s="21">
        <v>1</v>
      </c>
      <c r="AO732" s="21">
        <v>1</v>
      </c>
      <c r="AP732" s="21">
        <v>1</v>
      </c>
      <c r="AQ732">
        <v>1</v>
      </c>
      <c r="AR732">
        <v>0</v>
      </c>
      <c r="AS732">
        <v>1</v>
      </c>
      <c r="AT732">
        <v>1</v>
      </c>
      <c r="AU732">
        <v>1</v>
      </c>
      <c r="AV732">
        <v>0</v>
      </c>
      <c r="AW732">
        <v>1</v>
      </c>
      <c r="AX732">
        <v>1</v>
      </c>
      <c r="AY732">
        <v>1</v>
      </c>
      <c r="AZ732" s="21">
        <v>1</v>
      </c>
      <c r="BA732" s="21">
        <v>1</v>
      </c>
      <c r="BB732" s="21">
        <v>1</v>
      </c>
      <c r="BC732">
        <v>1</v>
      </c>
      <c r="BD732">
        <v>1</v>
      </c>
      <c r="BE732">
        <v>1</v>
      </c>
      <c r="BF732">
        <v>0</v>
      </c>
      <c r="BG732">
        <v>0</v>
      </c>
      <c r="BH732">
        <v>0</v>
      </c>
      <c r="BI732">
        <v>1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1</v>
      </c>
      <c r="BP732">
        <v>0</v>
      </c>
      <c r="BQ732">
        <v>0</v>
      </c>
      <c r="BR732" s="21">
        <v>0</v>
      </c>
      <c r="BS732" s="21">
        <v>1</v>
      </c>
    </row>
    <row r="733" spans="1:71">
      <c r="A733" s="20" t="s">
        <v>4832</v>
      </c>
      <c r="B733">
        <v>59</v>
      </c>
      <c r="C733">
        <v>402</v>
      </c>
      <c r="D733">
        <v>2014</v>
      </c>
      <c r="E733">
        <v>-1.1379999999999999</v>
      </c>
      <c r="F733">
        <v>0.03</v>
      </c>
      <c r="G733">
        <f t="shared" si="44"/>
        <v>-37.93333333333333</v>
      </c>
      <c r="H733" s="27">
        <v>0</v>
      </c>
      <c r="I733">
        <v>1</v>
      </c>
      <c r="J733">
        <v>8638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1</v>
      </c>
      <c r="U733">
        <v>1999</v>
      </c>
      <c r="V733">
        <v>2009</v>
      </c>
      <c r="W733">
        <f t="shared" si="45"/>
        <v>2004</v>
      </c>
      <c r="X733">
        <v>1</v>
      </c>
      <c r="Y733">
        <v>0</v>
      </c>
      <c r="Z733">
        <v>1</v>
      </c>
      <c r="AA733">
        <v>0</v>
      </c>
      <c r="AB733">
        <v>0</v>
      </c>
      <c r="AC733">
        <v>0</v>
      </c>
      <c r="AD733" s="21">
        <v>0</v>
      </c>
      <c r="AE733">
        <v>1</v>
      </c>
      <c r="AF733">
        <v>0</v>
      </c>
      <c r="AG733">
        <v>1</v>
      </c>
      <c r="AH733">
        <v>1</v>
      </c>
      <c r="AI733">
        <v>1</v>
      </c>
      <c r="AJ733">
        <v>0</v>
      </c>
      <c r="AK733">
        <v>1</v>
      </c>
      <c r="AL733">
        <v>1</v>
      </c>
      <c r="AM733">
        <v>1</v>
      </c>
      <c r="AN733" s="21">
        <v>1</v>
      </c>
      <c r="AO733" s="21">
        <v>1</v>
      </c>
      <c r="AP733" s="21">
        <v>1</v>
      </c>
      <c r="AQ733">
        <v>1</v>
      </c>
      <c r="AR733">
        <v>0</v>
      </c>
      <c r="AS733">
        <v>1</v>
      </c>
      <c r="AT733">
        <v>1</v>
      </c>
      <c r="AU733">
        <v>1</v>
      </c>
      <c r="AV733">
        <v>0</v>
      </c>
      <c r="AW733">
        <v>1</v>
      </c>
      <c r="AX733">
        <v>1</v>
      </c>
      <c r="AY733">
        <v>1</v>
      </c>
      <c r="AZ733" s="21">
        <v>1</v>
      </c>
      <c r="BA733" s="21">
        <v>1</v>
      </c>
      <c r="BB733" s="21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0</v>
      </c>
      <c r="BL733">
        <v>0</v>
      </c>
      <c r="BM733">
        <v>0</v>
      </c>
      <c r="BN733">
        <v>1</v>
      </c>
      <c r="BO733">
        <v>1</v>
      </c>
      <c r="BP733">
        <v>0</v>
      </c>
      <c r="BQ733">
        <v>0</v>
      </c>
      <c r="BR733" s="21">
        <v>0</v>
      </c>
      <c r="BS733" s="21">
        <v>1</v>
      </c>
    </row>
    <row r="734" spans="1:71">
      <c r="A734" s="20" t="s">
        <v>4832</v>
      </c>
      <c r="B734">
        <v>59</v>
      </c>
      <c r="C734">
        <v>403</v>
      </c>
      <c r="D734">
        <v>2014</v>
      </c>
      <c r="E734">
        <v>-1.149</v>
      </c>
      <c r="F734">
        <v>7.2999999999999995E-2</v>
      </c>
      <c r="G734">
        <f t="shared" si="44"/>
        <v>-15.739726027397262</v>
      </c>
      <c r="H734" s="27">
        <v>0</v>
      </c>
      <c r="I734">
        <v>1</v>
      </c>
      <c r="J734">
        <v>9230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1999</v>
      </c>
      <c r="V734">
        <v>2009</v>
      </c>
      <c r="W734">
        <f t="shared" si="45"/>
        <v>2004</v>
      </c>
      <c r="X734">
        <v>1</v>
      </c>
      <c r="Y734">
        <v>0</v>
      </c>
      <c r="Z734">
        <v>1</v>
      </c>
      <c r="AA734">
        <v>0</v>
      </c>
      <c r="AB734">
        <v>0</v>
      </c>
      <c r="AC734">
        <v>0</v>
      </c>
      <c r="AD734" s="21">
        <v>0</v>
      </c>
      <c r="AE734">
        <v>1</v>
      </c>
      <c r="AF734">
        <v>0</v>
      </c>
      <c r="AG734">
        <v>1</v>
      </c>
      <c r="AH734">
        <v>1</v>
      </c>
      <c r="AI734">
        <v>1</v>
      </c>
      <c r="AJ734">
        <v>0</v>
      </c>
      <c r="AK734">
        <v>1</v>
      </c>
      <c r="AL734">
        <v>1</v>
      </c>
      <c r="AM734">
        <v>1</v>
      </c>
      <c r="AN734" s="21">
        <v>1</v>
      </c>
      <c r="AO734" s="21">
        <v>1</v>
      </c>
      <c r="AP734" s="21">
        <v>1</v>
      </c>
      <c r="AQ734">
        <v>1</v>
      </c>
      <c r="AR734">
        <v>0</v>
      </c>
      <c r="AS734">
        <v>1</v>
      </c>
      <c r="AT734">
        <v>1</v>
      </c>
      <c r="AU734">
        <v>1</v>
      </c>
      <c r="AV734">
        <v>0</v>
      </c>
      <c r="AW734">
        <v>1</v>
      </c>
      <c r="AX734">
        <v>1</v>
      </c>
      <c r="AY734">
        <v>1</v>
      </c>
      <c r="AZ734" s="21">
        <v>1</v>
      </c>
      <c r="BA734" s="21">
        <v>1</v>
      </c>
      <c r="BB734" s="21">
        <v>1</v>
      </c>
      <c r="BC734">
        <v>1</v>
      </c>
      <c r="BD734">
        <v>1</v>
      </c>
      <c r="BE734">
        <v>1</v>
      </c>
      <c r="BF734">
        <v>0</v>
      </c>
      <c r="BG734">
        <v>0</v>
      </c>
      <c r="BH734">
        <v>0</v>
      </c>
      <c r="BI734">
        <v>1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1</v>
      </c>
      <c r="BP734">
        <v>0</v>
      </c>
      <c r="BQ734">
        <v>0</v>
      </c>
      <c r="BR734" s="21">
        <v>0</v>
      </c>
      <c r="BS734" s="21">
        <v>1</v>
      </c>
    </row>
    <row r="735" spans="1:71">
      <c r="A735" s="20" t="s">
        <v>4832</v>
      </c>
      <c r="B735">
        <v>59</v>
      </c>
      <c r="C735">
        <v>404</v>
      </c>
      <c r="D735">
        <v>2014</v>
      </c>
      <c r="E735">
        <v>-0.95299999999999996</v>
      </c>
      <c r="F735">
        <v>0.14199999999999999</v>
      </c>
      <c r="G735">
        <f t="shared" si="44"/>
        <v>-6.711267605633803</v>
      </c>
      <c r="H735" s="27">
        <v>0</v>
      </c>
      <c r="I735">
        <v>1</v>
      </c>
      <c r="J735">
        <v>8638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1999</v>
      </c>
      <c r="V735">
        <v>2009</v>
      </c>
      <c r="W735">
        <f t="shared" si="45"/>
        <v>2004</v>
      </c>
      <c r="X735">
        <v>1</v>
      </c>
      <c r="Y735">
        <v>0</v>
      </c>
      <c r="Z735">
        <v>1</v>
      </c>
      <c r="AA735">
        <v>0</v>
      </c>
      <c r="AB735">
        <v>0</v>
      </c>
      <c r="AC735">
        <v>0</v>
      </c>
      <c r="AD735" s="21">
        <v>0</v>
      </c>
      <c r="AE735">
        <v>1</v>
      </c>
      <c r="AF735">
        <v>0</v>
      </c>
      <c r="AG735">
        <v>1</v>
      </c>
      <c r="AH735">
        <v>1</v>
      </c>
      <c r="AI735">
        <v>1</v>
      </c>
      <c r="AJ735">
        <v>0</v>
      </c>
      <c r="AK735">
        <v>1</v>
      </c>
      <c r="AL735">
        <v>1</v>
      </c>
      <c r="AM735">
        <v>1</v>
      </c>
      <c r="AN735" s="21">
        <v>1</v>
      </c>
      <c r="AO735" s="21">
        <v>1</v>
      </c>
      <c r="AP735" s="21">
        <v>1</v>
      </c>
      <c r="AQ735">
        <v>1</v>
      </c>
      <c r="AR735">
        <v>0</v>
      </c>
      <c r="AS735">
        <v>1</v>
      </c>
      <c r="AT735">
        <v>1</v>
      </c>
      <c r="AU735">
        <v>1</v>
      </c>
      <c r="AV735">
        <v>0</v>
      </c>
      <c r="AW735">
        <v>1</v>
      </c>
      <c r="AX735">
        <v>1</v>
      </c>
      <c r="AY735">
        <v>1</v>
      </c>
      <c r="AZ735" s="21">
        <v>1</v>
      </c>
      <c r="BA735" s="21">
        <v>1</v>
      </c>
      <c r="BB735" s="21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0</v>
      </c>
      <c r="BL735">
        <v>0</v>
      </c>
      <c r="BM735">
        <v>0</v>
      </c>
      <c r="BN735">
        <v>1</v>
      </c>
      <c r="BO735">
        <v>1</v>
      </c>
      <c r="BP735">
        <v>0</v>
      </c>
      <c r="BQ735">
        <v>0</v>
      </c>
      <c r="BR735" s="21">
        <v>0</v>
      </c>
      <c r="BS735" s="21">
        <v>1</v>
      </c>
    </row>
    <row r="736" spans="1:71">
      <c r="A736" s="20" t="s">
        <v>5082</v>
      </c>
      <c r="B736">
        <v>60</v>
      </c>
      <c r="C736">
        <v>405</v>
      </c>
      <c r="D736">
        <v>2014</v>
      </c>
      <c r="E736">
        <v>-1.292</v>
      </c>
      <c r="F736">
        <f>E736/G736</f>
        <v>1.9193059599500861E-2</v>
      </c>
      <c r="G736">
        <v>-67.316000000000003</v>
      </c>
      <c r="H736" s="27">
        <v>0</v>
      </c>
      <c r="I736">
        <v>1</v>
      </c>
      <c r="J736">
        <v>4564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1995</v>
      </c>
      <c r="V736">
        <v>2009</v>
      </c>
      <c r="W736">
        <f t="shared" si="45"/>
        <v>2002</v>
      </c>
      <c r="X736">
        <v>1</v>
      </c>
      <c r="Y736">
        <v>0</v>
      </c>
      <c r="Z736">
        <v>1</v>
      </c>
      <c r="AA736">
        <v>0</v>
      </c>
      <c r="AB736">
        <v>0</v>
      </c>
      <c r="AC736">
        <v>0</v>
      </c>
      <c r="AD736" s="21">
        <v>0</v>
      </c>
      <c r="AE736">
        <v>1</v>
      </c>
      <c r="AF736">
        <v>0</v>
      </c>
      <c r="AG736">
        <v>0</v>
      </c>
      <c r="AH736">
        <v>1</v>
      </c>
      <c r="AI736">
        <v>0</v>
      </c>
      <c r="AJ736">
        <v>1</v>
      </c>
      <c r="AK736">
        <v>1</v>
      </c>
      <c r="AL736">
        <v>0</v>
      </c>
      <c r="AM736">
        <v>1</v>
      </c>
      <c r="AN736" s="21">
        <v>1</v>
      </c>
      <c r="AO736" s="21">
        <v>1</v>
      </c>
      <c r="AP736" s="21">
        <v>1</v>
      </c>
      <c r="AQ736">
        <v>1</v>
      </c>
      <c r="AR736">
        <v>0</v>
      </c>
      <c r="AS736">
        <v>0</v>
      </c>
      <c r="AT736">
        <v>1</v>
      </c>
      <c r="AU736">
        <v>0</v>
      </c>
      <c r="AV736">
        <v>1</v>
      </c>
      <c r="AW736">
        <v>1</v>
      </c>
      <c r="AX736">
        <v>0</v>
      </c>
      <c r="AY736">
        <v>1</v>
      </c>
      <c r="AZ736" s="21">
        <v>1</v>
      </c>
      <c r="BA736" s="21">
        <v>1</v>
      </c>
      <c r="BB736" s="21">
        <v>1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 s="21">
        <v>0</v>
      </c>
      <c r="BS736" s="21">
        <v>0</v>
      </c>
    </row>
    <row r="737" spans="1:71">
      <c r="A737" s="20" t="s">
        <v>5082</v>
      </c>
      <c r="B737">
        <v>60</v>
      </c>
      <c r="C737">
        <v>406</v>
      </c>
      <c r="D737">
        <v>2014</v>
      </c>
      <c r="E737">
        <v>-1.228</v>
      </c>
      <c r="F737">
        <f>E737/G737</f>
        <v>2.1293936083511072E-2</v>
      </c>
      <c r="G737">
        <v>-57.668999999999997</v>
      </c>
      <c r="H737" s="27">
        <v>0</v>
      </c>
      <c r="I737">
        <v>1</v>
      </c>
      <c r="J737">
        <v>4564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1</v>
      </c>
      <c r="U737">
        <v>1995</v>
      </c>
      <c r="V737">
        <v>2009</v>
      </c>
      <c r="W737">
        <f t="shared" si="45"/>
        <v>2002</v>
      </c>
      <c r="X737">
        <v>1</v>
      </c>
      <c r="Y737">
        <v>0</v>
      </c>
      <c r="Z737">
        <v>1</v>
      </c>
      <c r="AA737">
        <v>0</v>
      </c>
      <c r="AB737">
        <v>0</v>
      </c>
      <c r="AC737">
        <v>0</v>
      </c>
      <c r="AD737" s="21">
        <v>0</v>
      </c>
      <c r="AE737">
        <v>1</v>
      </c>
      <c r="AF737">
        <v>0</v>
      </c>
      <c r="AG737">
        <v>0</v>
      </c>
      <c r="AH737">
        <v>1</v>
      </c>
      <c r="AI737">
        <v>0</v>
      </c>
      <c r="AJ737">
        <v>1</v>
      </c>
      <c r="AK737">
        <v>1</v>
      </c>
      <c r="AL737">
        <v>0</v>
      </c>
      <c r="AM737">
        <v>1</v>
      </c>
      <c r="AN737" s="21">
        <v>1</v>
      </c>
      <c r="AO737" s="21">
        <v>1</v>
      </c>
      <c r="AP737" s="21">
        <v>1</v>
      </c>
      <c r="AQ737">
        <v>1</v>
      </c>
      <c r="AR737">
        <v>0</v>
      </c>
      <c r="AS737">
        <v>0</v>
      </c>
      <c r="AT737">
        <v>1</v>
      </c>
      <c r="AU737">
        <v>0</v>
      </c>
      <c r="AV737">
        <v>1</v>
      </c>
      <c r="AW737">
        <v>1</v>
      </c>
      <c r="AX737">
        <v>0</v>
      </c>
      <c r="AY737">
        <v>1</v>
      </c>
      <c r="AZ737" s="21">
        <v>1</v>
      </c>
      <c r="BA737" s="21">
        <v>1</v>
      </c>
      <c r="BB737" s="21">
        <v>1</v>
      </c>
      <c r="BC737">
        <v>0</v>
      </c>
      <c r="BD737">
        <v>1</v>
      </c>
      <c r="BE737">
        <v>0</v>
      </c>
      <c r="BF737">
        <v>0</v>
      </c>
      <c r="BG737">
        <v>1</v>
      </c>
      <c r="BH737">
        <v>1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1</v>
      </c>
      <c r="BO737">
        <v>0</v>
      </c>
      <c r="BP737">
        <v>0</v>
      </c>
      <c r="BQ737">
        <v>0</v>
      </c>
      <c r="BR737" s="21">
        <v>0</v>
      </c>
      <c r="BS737" s="21">
        <v>0</v>
      </c>
    </row>
    <row r="738" spans="1:71">
      <c r="A738" s="20" t="s">
        <v>5082</v>
      </c>
      <c r="B738">
        <v>60</v>
      </c>
      <c r="C738">
        <v>407</v>
      </c>
      <c r="D738">
        <v>2014</v>
      </c>
      <c r="E738">
        <v>-1.228</v>
      </c>
      <c r="F738">
        <f>E738/G738</f>
        <v>0.10275290770646807</v>
      </c>
      <c r="G738">
        <v>-11.951000000000001</v>
      </c>
      <c r="H738" s="27">
        <v>0</v>
      </c>
      <c r="I738">
        <v>1</v>
      </c>
      <c r="J738">
        <v>4564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1</v>
      </c>
      <c r="U738">
        <v>1995</v>
      </c>
      <c r="V738">
        <v>2009</v>
      </c>
      <c r="W738">
        <f t="shared" si="45"/>
        <v>2002</v>
      </c>
      <c r="X738">
        <v>1</v>
      </c>
      <c r="Y738">
        <v>0</v>
      </c>
      <c r="Z738">
        <v>1</v>
      </c>
      <c r="AA738">
        <v>0</v>
      </c>
      <c r="AB738">
        <v>0</v>
      </c>
      <c r="AC738">
        <v>0</v>
      </c>
      <c r="AD738" s="21">
        <v>0</v>
      </c>
      <c r="AE738">
        <v>1</v>
      </c>
      <c r="AF738">
        <v>0</v>
      </c>
      <c r="AG738">
        <v>0</v>
      </c>
      <c r="AH738">
        <v>1</v>
      </c>
      <c r="AI738">
        <v>0</v>
      </c>
      <c r="AJ738">
        <v>1</v>
      </c>
      <c r="AK738">
        <v>1</v>
      </c>
      <c r="AL738">
        <v>0</v>
      </c>
      <c r="AM738">
        <v>1</v>
      </c>
      <c r="AN738" s="21">
        <v>1</v>
      </c>
      <c r="AO738" s="21">
        <v>1</v>
      </c>
      <c r="AP738" s="21">
        <v>1</v>
      </c>
      <c r="AQ738">
        <v>1</v>
      </c>
      <c r="AR738">
        <v>0</v>
      </c>
      <c r="AS738">
        <v>0</v>
      </c>
      <c r="AT738">
        <v>1</v>
      </c>
      <c r="AU738">
        <v>0</v>
      </c>
      <c r="AV738">
        <v>1</v>
      </c>
      <c r="AW738">
        <v>1</v>
      </c>
      <c r="AX738">
        <v>0</v>
      </c>
      <c r="AY738">
        <v>1</v>
      </c>
      <c r="AZ738" s="21">
        <v>1</v>
      </c>
      <c r="BA738" s="21">
        <v>1</v>
      </c>
      <c r="BB738" s="21">
        <v>1</v>
      </c>
      <c r="BC738">
        <v>0</v>
      </c>
      <c r="BD738">
        <v>1</v>
      </c>
      <c r="BE738">
        <v>0</v>
      </c>
      <c r="BF738">
        <v>0</v>
      </c>
      <c r="BG738">
        <v>1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1</v>
      </c>
      <c r="BO738">
        <v>0</v>
      </c>
      <c r="BP738">
        <v>0</v>
      </c>
      <c r="BQ738">
        <v>0</v>
      </c>
      <c r="BR738" s="21">
        <v>0</v>
      </c>
      <c r="BS738" s="21">
        <v>0</v>
      </c>
    </row>
    <row r="739" spans="1:71">
      <c r="A739" s="20" t="s">
        <v>4854</v>
      </c>
      <c r="B739">
        <v>69</v>
      </c>
      <c r="C739">
        <v>453</v>
      </c>
      <c r="D739">
        <v>2014</v>
      </c>
      <c r="E739">
        <v>-0.37830000000000003</v>
      </c>
      <c r="F739">
        <v>9.6199999999999994E-2</v>
      </c>
      <c r="G739">
        <f>E739/F739</f>
        <v>-3.9324324324324329</v>
      </c>
      <c r="H739" s="27">
        <v>0</v>
      </c>
      <c r="I739">
        <v>1</v>
      </c>
      <c r="J739">
        <v>264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1</v>
      </c>
      <c r="U739">
        <v>2002</v>
      </c>
      <c r="V739">
        <v>2012</v>
      </c>
      <c r="W739">
        <f t="shared" si="45"/>
        <v>2007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</v>
      </c>
      <c r="AN739" s="21">
        <v>1</v>
      </c>
      <c r="AO739" s="21">
        <v>0</v>
      </c>
      <c r="AP739" s="21">
        <v>0</v>
      </c>
      <c r="AQ739">
        <v>1</v>
      </c>
      <c r="AR739">
        <v>0</v>
      </c>
      <c r="AS739">
        <v>1</v>
      </c>
      <c r="AT739">
        <v>1</v>
      </c>
      <c r="AU739">
        <v>1</v>
      </c>
      <c r="AV739">
        <v>0</v>
      </c>
      <c r="AW739">
        <v>1</v>
      </c>
      <c r="AX739">
        <v>0</v>
      </c>
      <c r="AY739">
        <v>1</v>
      </c>
      <c r="AZ739" s="21">
        <v>1</v>
      </c>
      <c r="BA739" s="21">
        <v>1</v>
      </c>
      <c r="BB739" s="21">
        <v>1</v>
      </c>
      <c r="BC739">
        <v>1</v>
      </c>
      <c r="BD739">
        <v>1</v>
      </c>
      <c r="BE739">
        <v>0</v>
      </c>
      <c r="BF739">
        <v>1</v>
      </c>
      <c r="BG739">
        <v>1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 s="21">
        <v>0</v>
      </c>
      <c r="BS739" s="21">
        <v>0</v>
      </c>
    </row>
    <row r="740" spans="1:71">
      <c r="A740" s="20" t="s">
        <v>5122</v>
      </c>
      <c r="B740">
        <v>79</v>
      </c>
      <c r="C740">
        <v>506</v>
      </c>
      <c r="D740">
        <v>2014</v>
      </c>
      <c r="E740">
        <v>-1.585</v>
      </c>
      <c r="F740">
        <f>E740/G740</f>
        <v>6.0028783517648834E-3</v>
      </c>
      <c r="G740">
        <v>-264.04000000000002</v>
      </c>
      <c r="H740" s="27">
        <v>0</v>
      </c>
      <c r="I740">
        <v>1</v>
      </c>
      <c r="J740">
        <v>130114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1</v>
      </c>
      <c r="U740">
        <v>1995</v>
      </c>
      <c r="V740">
        <v>2010</v>
      </c>
      <c r="W740">
        <f t="shared" si="45"/>
        <v>2003</v>
      </c>
      <c r="X740">
        <v>1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 s="21">
        <v>1</v>
      </c>
      <c r="AO740" s="21">
        <v>1</v>
      </c>
      <c r="AP740" s="21">
        <v>1</v>
      </c>
      <c r="AQ740">
        <v>0</v>
      </c>
      <c r="AR740">
        <v>1</v>
      </c>
      <c r="AS740">
        <v>0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 s="21">
        <v>1</v>
      </c>
      <c r="BA740" s="21">
        <v>1</v>
      </c>
      <c r="BB740" s="21">
        <v>1</v>
      </c>
      <c r="BC740">
        <v>1</v>
      </c>
      <c r="BD740">
        <v>1</v>
      </c>
      <c r="BE740">
        <v>1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 s="21">
        <v>0</v>
      </c>
      <c r="BS740" s="21">
        <v>0</v>
      </c>
    </row>
    <row r="741" spans="1:71">
      <c r="A741" s="20" t="s">
        <v>5122</v>
      </c>
      <c r="B741">
        <v>79</v>
      </c>
      <c r="C741">
        <v>507</v>
      </c>
      <c r="D741">
        <v>2014</v>
      </c>
      <c r="E741">
        <v>-1.585</v>
      </c>
      <c r="F741">
        <f>E741/G741</f>
        <v>6.0028783517648834E-3</v>
      </c>
      <c r="G741">
        <v>-264.04000000000002</v>
      </c>
      <c r="H741" s="27">
        <v>0</v>
      </c>
      <c r="I741">
        <v>1</v>
      </c>
      <c r="J741">
        <v>130114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1</v>
      </c>
      <c r="U741">
        <v>1995</v>
      </c>
      <c r="V741">
        <v>2010</v>
      </c>
      <c r="W741">
        <f t="shared" si="45"/>
        <v>2003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 s="21">
        <v>1</v>
      </c>
      <c r="AO741" s="21">
        <v>1</v>
      </c>
      <c r="AP741" s="21">
        <v>1</v>
      </c>
      <c r="AQ741">
        <v>0</v>
      </c>
      <c r="AR741">
        <v>1</v>
      </c>
      <c r="AS741">
        <v>0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 s="21">
        <v>1</v>
      </c>
      <c r="BA741" s="21">
        <v>1</v>
      </c>
      <c r="BB741" s="21">
        <v>1</v>
      </c>
      <c r="BC741">
        <v>1</v>
      </c>
      <c r="BD741">
        <v>1</v>
      </c>
      <c r="BE741">
        <v>1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 s="21">
        <v>0</v>
      </c>
      <c r="BS741" s="21">
        <v>0</v>
      </c>
    </row>
    <row r="742" spans="1:71">
      <c r="A742" s="20" t="s">
        <v>5237</v>
      </c>
      <c r="B742">
        <v>96</v>
      </c>
      <c r="C742">
        <v>576</v>
      </c>
      <c r="D742">
        <v>2014</v>
      </c>
      <c r="E742">
        <v>-1.349</v>
      </c>
      <c r="F742">
        <v>0.16200000000000001</v>
      </c>
      <c r="G742">
        <f>E742/F742</f>
        <v>-8.3271604938271597</v>
      </c>
      <c r="H742" s="27">
        <v>0</v>
      </c>
      <c r="I742">
        <v>1</v>
      </c>
      <c r="J742">
        <v>151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2011</v>
      </c>
      <c r="V742">
        <v>2011</v>
      </c>
      <c r="W742">
        <f t="shared" si="45"/>
        <v>2011</v>
      </c>
      <c r="X742">
        <v>1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1</v>
      </c>
      <c r="AN742" s="21">
        <v>1</v>
      </c>
      <c r="AO742" s="21">
        <v>1</v>
      </c>
      <c r="AP742" s="21">
        <v>1</v>
      </c>
      <c r="AQ742">
        <v>1</v>
      </c>
      <c r="AR742">
        <v>0</v>
      </c>
      <c r="AS742">
        <v>0</v>
      </c>
      <c r="AT742">
        <v>0</v>
      </c>
      <c r="AU742">
        <v>1</v>
      </c>
      <c r="AV742">
        <v>0</v>
      </c>
      <c r="AW742">
        <v>0</v>
      </c>
      <c r="AX742">
        <v>0</v>
      </c>
      <c r="AY742">
        <v>1</v>
      </c>
      <c r="AZ742" s="21">
        <v>1</v>
      </c>
      <c r="BA742" s="21">
        <v>1</v>
      </c>
      <c r="BB742" s="21">
        <v>1</v>
      </c>
      <c r="BC742">
        <v>0</v>
      </c>
      <c r="BD742">
        <v>1</v>
      </c>
      <c r="BE742">
        <v>1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 s="21">
        <v>0</v>
      </c>
      <c r="BS742" s="21">
        <v>0</v>
      </c>
    </row>
    <row r="743" spans="1:71">
      <c r="A743" s="20" t="s">
        <v>5237</v>
      </c>
      <c r="B743">
        <v>96</v>
      </c>
      <c r="C743">
        <v>577</v>
      </c>
      <c r="D743">
        <v>2014</v>
      </c>
      <c r="E743">
        <v>-1.2390000000000001</v>
      </c>
      <c r="F743">
        <v>0.16500000000000001</v>
      </c>
      <c r="G743">
        <f>E743/F743</f>
        <v>-7.5090909090909097</v>
      </c>
      <c r="H743" s="27">
        <v>0</v>
      </c>
      <c r="I743">
        <v>1</v>
      </c>
      <c r="J743">
        <v>151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2011</v>
      </c>
      <c r="V743">
        <v>2011</v>
      </c>
      <c r="W743">
        <f t="shared" si="45"/>
        <v>2011</v>
      </c>
      <c r="X743">
        <v>1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0</v>
      </c>
      <c r="AM743">
        <v>1</v>
      </c>
      <c r="AN743" s="21">
        <v>1</v>
      </c>
      <c r="AO743" s="21">
        <v>1</v>
      </c>
      <c r="AP743" s="21">
        <v>1</v>
      </c>
      <c r="AQ743">
        <v>1</v>
      </c>
      <c r="AR743">
        <v>0</v>
      </c>
      <c r="AS743">
        <v>0</v>
      </c>
      <c r="AT743">
        <v>0</v>
      </c>
      <c r="AU743">
        <v>1</v>
      </c>
      <c r="AV743">
        <v>0</v>
      </c>
      <c r="AW743">
        <v>0</v>
      </c>
      <c r="AX743">
        <v>0</v>
      </c>
      <c r="AY743">
        <v>1</v>
      </c>
      <c r="AZ743" s="21">
        <v>1</v>
      </c>
      <c r="BA743" s="21">
        <v>1</v>
      </c>
      <c r="BB743" s="21">
        <v>1</v>
      </c>
      <c r="BC743">
        <v>0</v>
      </c>
      <c r="BD743">
        <v>1</v>
      </c>
      <c r="BE743">
        <v>1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 s="21">
        <v>0</v>
      </c>
      <c r="BS743" s="21">
        <v>0</v>
      </c>
    </row>
    <row r="744" spans="1:71">
      <c r="A744" s="20" t="s">
        <v>4832</v>
      </c>
      <c r="B744">
        <v>128</v>
      </c>
      <c r="C744">
        <v>793</v>
      </c>
      <c r="D744">
        <v>2014</v>
      </c>
      <c r="E744">
        <v>-0.66200000000000003</v>
      </c>
      <c r="F744">
        <f t="shared" ref="F744:F756" si="46">E744/G744</f>
        <v>0.11614035087719299</v>
      </c>
      <c r="G744">
        <v>-5.7</v>
      </c>
      <c r="H744" s="27">
        <v>0</v>
      </c>
      <c r="I744">
        <v>1</v>
      </c>
      <c r="J744">
        <v>155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1</v>
      </c>
      <c r="U744">
        <v>2006</v>
      </c>
      <c r="V744">
        <v>2011</v>
      </c>
      <c r="W744">
        <f t="shared" si="45"/>
        <v>2009</v>
      </c>
      <c r="X744">
        <v>1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1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0</v>
      </c>
      <c r="AM744">
        <v>1</v>
      </c>
      <c r="AN744" s="21">
        <v>1</v>
      </c>
      <c r="AO744" s="21">
        <v>1</v>
      </c>
      <c r="AP744" s="21">
        <v>1</v>
      </c>
      <c r="AQ744">
        <v>1</v>
      </c>
      <c r="AR744">
        <v>1</v>
      </c>
      <c r="AS744">
        <v>0</v>
      </c>
      <c r="AT744">
        <v>0</v>
      </c>
      <c r="AU744">
        <v>0</v>
      </c>
      <c r="AV744">
        <v>1</v>
      </c>
      <c r="AW744">
        <v>0</v>
      </c>
      <c r="AX744">
        <v>0</v>
      </c>
      <c r="AY744">
        <v>1</v>
      </c>
      <c r="AZ744">
        <v>1</v>
      </c>
      <c r="BA744">
        <v>1</v>
      </c>
      <c r="BB744">
        <v>1</v>
      </c>
      <c r="BC744">
        <v>0</v>
      </c>
      <c r="BD744">
        <v>1</v>
      </c>
      <c r="BE744">
        <v>1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1</v>
      </c>
    </row>
    <row r="745" spans="1:71">
      <c r="A745" s="20" t="s">
        <v>4832</v>
      </c>
      <c r="B745">
        <v>128</v>
      </c>
      <c r="C745">
        <v>794</v>
      </c>
      <c r="D745">
        <v>2014</v>
      </c>
      <c r="E745">
        <v>-0.45300000000000001</v>
      </c>
      <c r="F745">
        <f t="shared" si="46"/>
        <v>0.24224598930481284</v>
      </c>
      <c r="G745">
        <v>-1.87</v>
      </c>
      <c r="H745" s="27">
        <v>0</v>
      </c>
      <c r="I745">
        <v>1</v>
      </c>
      <c r="J745">
        <v>155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1</v>
      </c>
      <c r="U745">
        <v>2006</v>
      </c>
      <c r="V745">
        <v>2011</v>
      </c>
      <c r="W745">
        <f t="shared" si="45"/>
        <v>2009</v>
      </c>
      <c r="X745">
        <v>1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1</v>
      </c>
      <c r="AF745">
        <v>1</v>
      </c>
      <c r="AG745">
        <v>0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1</v>
      </c>
      <c r="AN745" s="21">
        <v>1</v>
      </c>
      <c r="AO745" s="21">
        <v>1</v>
      </c>
      <c r="AP745" s="21">
        <v>1</v>
      </c>
      <c r="AQ745">
        <v>1</v>
      </c>
      <c r="AR745">
        <v>1</v>
      </c>
      <c r="AS745">
        <v>0</v>
      </c>
      <c r="AT745">
        <v>0</v>
      </c>
      <c r="AU745">
        <v>0</v>
      </c>
      <c r="AV745">
        <v>1</v>
      </c>
      <c r="AW745">
        <v>0</v>
      </c>
      <c r="AX745">
        <v>0</v>
      </c>
      <c r="AY745">
        <v>1</v>
      </c>
      <c r="AZ745">
        <v>1</v>
      </c>
      <c r="BA745">
        <v>1</v>
      </c>
      <c r="BB745">
        <v>1</v>
      </c>
      <c r="BC745">
        <v>0</v>
      </c>
      <c r="BD745">
        <v>1</v>
      </c>
      <c r="BE745">
        <v>1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1</v>
      </c>
    </row>
    <row r="746" spans="1:71">
      <c r="A746" s="20" t="s">
        <v>4884</v>
      </c>
      <c r="B746">
        <v>46</v>
      </c>
      <c r="C746">
        <v>314</v>
      </c>
      <c r="D746" s="21">
        <v>2013</v>
      </c>
      <c r="E746" s="23">
        <v>-1.54</v>
      </c>
      <c r="F746">
        <f t="shared" si="46"/>
        <v>7.4946466809421844E-3</v>
      </c>
      <c r="G746">
        <v>-205.48</v>
      </c>
      <c r="H746" s="27">
        <v>0</v>
      </c>
      <c r="I746" s="21">
        <v>1</v>
      </c>
      <c r="J746" s="21">
        <v>102032</v>
      </c>
      <c r="K746" s="21">
        <v>1</v>
      </c>
      <c r="L746" s="21">
        <v>0</v>
      </c>
      <c r="M746" s="21">
        <v>0</v>
      </c>
      <c r="N746" s="21">
        <v>0</v>
      </c>
      <c r="O746" s="21">
        <v>0</v>
      </c>
      <c r="P746">
        <v>0</v>
      </c>
      <c r="Q746" s="21">
        <v>1</v>
      </c>
      <c r="R746" s="21">
        <v>0</v>
      </c>
      <c r="S746" s="21">
        <v>0</v>
      </c>
      <c r="T746" s="21">
        <v>1</v>
      </c>
      <c r="U746" s="21">
        <v>1995</v>
      </c>
      <c r="V746" s="21">
        <v>2008</v>
      </c>
      <c r="W746">
        <f t="shared" si="45"/>
        <v>2002</v>
      </c>
      <c r="X746" s="21">
        <v>1</v>
      </c>
      <c r="Y746" s="21">
        <v>0</v>
      </c>
      <c r="Z746" s="21">
        <v>1</v>
      </c>
      <c r="AA746" s="21">
        <v>0</v>
      </c>
      <c r="AB746" s="21">
        <v>0</v>
      </c>
      <c r="AC746" s="21">
        <v>0</v>
      </c>
      <c r="AD746" s="21">
        <v>0</v>
      </c>
      <c r="AE746" s="21">
        <v>0</v>
      </c>
      <c r="AF746" s="21">
        <v>1</v>
      </c>
      <c r="AG746" s="21">
        <v>1</v>
      </c>
      <c r="AH746" s="21">
        <v>1</v>
      </c>
      <c r="AI746" s="21">
        <v>1</v>
      </c>
      <c r="AJ746" s="21">
        <v>1</v>
      </c>
      <c r="AK746" s="21">
        <v>1</v>
      </c>
      <c r="AL746" s="21">
        <v>1</v>
      </c>
      <c r="AM746" s="21">
        <v>1</v>
      </c>
      <c r="AN746" s="21">
        <v>1</v>
      </c>
      <c r="AO746" s="21">
        <v>1</v>
      </c>
      <c r="AP746" s="21">
        <v>1</v>
      </c>
      <c r="AQ746" s="21">
        <v>0</v>
      </c>
      <c r="AR746" s="21">
        <v>1</v>
      </c>
      <c r="AS746" s="21">
        <v>1</v>
      </c>
      <c r="AT746" s="21">
        <v>1</v>
      </c>
      <c r="AU746" s="21">
        <v>1</v>
      </c>
      <c r="AV746" s="21">
        <v>1</v>
      </c>
      <c r="AW746" s="21">
        <v>1</v>
      </c>
      <c r="AX746" s="21">
        <v>1</v>
      </c>
      <c r="AY746" s="21">
        <v>1</v>
      </c>
      <c r="AZ746" s="21">
        <v>1</v>
      </c>
      <c r="BA746" s="21">
        <v>1</v>
      </c>
      <c r="BB746" s="21">
        <v>1</v>
      </c>
      <c r="BC746" s="21">
        <v>1</v>
      </c>
      <c r="BD746" s="21">
        <v>1</v>
      </c>
      <c r="BE746" s="21">
        <v>1</v>
      </c>
      <c r="BF746" s="21">
        <v>1</v>
      </c>
      <c r="BG746" s="21">
        <v>0</v>
      </c>
      <c r="BH746" s="21">
        <v>0</v>
      </c>
      <c r="BI746" s="21">
        <v>1</v>
      </c>
      <c r="BJ746" s="21">
        <v>0</v>
      </c>
      <c r="BK746" s="21">
        <v>0</v>
      </c>
      <c r="BL746" s="21">
        <v>0</v>
      </c>
      <c r="BM746" s="21">
        <v>0</v>
      </c>
      <c r="BN746" s="21">
        <v>0</v>
      </c>
      <c r="BO746" s="21">
        <v>1</v>
      </c>
      <c r="BP746" s="21">
        <v>0</v>
      </c>
      <c r="BQ746" s="21">
        <v>0</v>
      </c>
      <c r="BR746" s="21">
        <v>0</v>
      </c>
      <c r="BS746" s="21">
        <v>0</v>
      </c>
    </row>
    <row r="747" spans="1:71">
      <c r="A747" s="20" t="s">
        <v>4884</v>
      </c>
      <c r="B747">
        <v>46</v>
      </c>
      <c r="C747">
        <v>315</v>
      </c>
      <c r="D747" s="21">
        <v>2013</v>
      </c>
      <c r="E747" s="23">
        <v>-1.54</v>
      </c>
      <c r="F747">
        <f t="shared" si="46"/>
        <v>7.5103633260180441E-3</v>
      </c>
      <c r="G747">
        <v>-205.05</v>
      </c>
      <c r="H747" s="27">
        <v>0</v>
      </c>
      <c r="I747" s="21">
        <v>1</v>
      </c>
      <c r="J747" s="21">
        <v>102032</v>
      </c>
      <c r="K747" s="21">
        <v>1</v>
      </c>
      <c r="L747" s="21">
        <v>0</v>
      </c>
      <c r="M747" s="21">
        <v>0</v>
      </c>
      <c r="N747" s="21">
        <v>0</v>
      </c>
      <c r="O747" s="21">
        <v>0</v>
      </c>
      <c r="P747">
        <v>0</v>
      </c>
      <c r="Q747" s="21">
        <v>1</v>
      </c>
      <c r="R747" s="21">
        <v>0</v>
      </c>
      <c r="S747" s="21">
        <v>0</v>
      </c>
      <c r="T747" s="21">
        <v>1</v>
      </c>
      <c r="U747" s="21">
        <v>1995</v>
      </c>
      <c r="V747" s="21">
        <v>2008</v>
      </c>
      <c r="W747">
        <f t="shared" si="45"/>
        <v>2002</v>
      </c>
      <c r="X747" s="21">
        <v>1</v>
      </c>
      <c r="Y747" s="21">
        <v>0</v>
      </c>
      <c r="Z747" s="21">
        <v>1</v>
      </c>
      <c r="AA747" s="21">
        <v>0</v>
      </c>
      <c r="AB747" s="21">
        <v>0</v>
      </c>
      <c r="AC747" s="21">
        <v>0</v>
      </c>
      <c r="AD747" s="21">
        <v>0</v>
      </c>
      <c r="AE747" s="21">
        <v>0</v>
      </c>
      <c r="AF747" s="21">
        <v>1</v>
      </c>
      <c r="AG747" s="21">
        <v>1</v>
      </c>
      <c r="AH747" s="21">
        <v>1</v>
      </c>
      <c r="AI747" s="21">
        <v>1</v>
      </c>
      <c r="AJ747" s="21">
        <v>1</v>
      </c>
      <c r="AK747" s="21">
        <v>1</v>
      </c>
      <c r="AL747" s="21">
        <v>1</v>
      </c>
      <c r="AM747" s="21">
        <v>1</v>
      </c>
      <c r="AN747" s="21">
        <v>1</v>
      </c>
      <c r="AO747" s="21">
        <v>1</v>
      </c>
      <c r="AP747" s="21">
        <v>1</v>
      </c>
      <c r="AQ747" s="21">
        <v>0</v>
      </c>
      <c r="AR747" s="21">
        <v>1</v>
      </c>
      <c r="AS747" s="21">
        <v>1</v>
      </c>
      <c r="AT747" s="21">
        <v>1</v>
      </c>
      <c r="AU747" s="21">
        <v>1</v>
      </c>
      <c r="AV747" s="21">
        <v>1</v>
      </c>
      <c r="AW747" s="21">
        <v>1</v>
      </c>
      <c r="AX747" s="21">
        <v>1</v>
      </c>
      <c r="AY747" s="21">
        <v>1</v>
      </c>
      <c r="AZ747" s="21">
        <v>1</v>
      </c>
      <c r="BA747" s="21">
        <v>1</v>
      </c>
      <c r="BB747" s="21">
        <v>1</v>
      </c>
      <c r="BC747" s="21">
        <v>1</v>
      </c>
      <c r="BD747" s="21">
        <v>1</v>
      </c>
      <c r="BE747" s="21">
        <v>1</v>
      </c>
      <c r="BF747" s="21">
        <v>1</v>
      </c>
      <c r="BG747" s="21">
        <v>0</v>
      </c>
      <c r="BH747" s="21">
        <v>0</v>
      </c>
      <c r="BI747" s="21">
        <v>1</v>
      </c>
      <c r="BJ747" s="21">
        <v>0</v>
      </c>
      <c r="BK747" s="21">
        <v>0</v>
      </c>
      <c r="BL747" s="21">
        <v>1</v>
      </c>
      <c r="BM747" s="21">
        <v>0</v>
      </c>
      <c r="BN747" s="21">
        <v>0</v>
      </c>
      <c r="BO747" s="21">
        <v>1</v>
      </c>
      <c r="BP747" s="21">
        <v>0</v>
      </c>
      <c r="BQ747" s="21">
        <v>0</v>
      </c>
      <c r="BR747" s="21">
        <v>0</v>
      </c>
      <c r="BS747" s="21">
        <v>0</v>
      </c>
    </row>
    <row r="748" spans="1:71">
      <c r="A748" s="20" t="s">
        <v>4884</v>
      </c>
      <c r="B748">
        <v>46</v>
      </c>
      <c r="C748">
        <v>316</v>
      </c>
      <c r="D748" s="21">
        <v>2013</v>
      </c>
      <c r="E748" s="23">
        <v>-1.54</v>
      </c>
      <c r="F748">
        <f t="shared" si="46"/>
        <v>7.5026795284030019E-3</v>
      </c>
      <c r="G748">
        <v>-205.26</v>
      </c>
      <c r="H748" s="27">
        <v>0</v>
      </c>
      <c r="I748" s="21">
        <v>1</v>
      </c>
      <c r="J748" s="21">
        <v>102032</v>
      </c>
      <c r="K748" s="21">
        <v>1</v>
      </c>
      <c r="L748" s="21">
        <v>0</v>
      </c>
      <c r="M748" s="21">
        <v>0</v>
      </c>
      <c r="N748" s="21">
        <v>0</v>
      </c>
      <c r="O748" s="21">
        <v>0</v>
      </c>
      <c r="P748">
        <v>0</v>
      </c>
      <c r="Q748" s="21">
        <v>1</v>
      </c>
      <c r="R748" s="21">
        <v>0</v>
      </c>
      <c r="S748" s="21">
        <v>0</v>
      </c>
      <c r="T748" s="21">
        <v>1</v>
      </c>
      <c r="U748" s="21">
        <v>1995</v>
      </c>
      <c r="V748" s="21">
        <v>2008</v>
      </c>
      <c r="W748">
        <f t="shared" si="45"/>
        <v>2002</v>
      </c>
      <c r="X748" s="21">
        <v>1</v>
      </c>
      <c r="Y748" s="21">
        <v>0</v>
      </c>
      <c r="Z748" s="21">
        <v>1</v>
      </c>
      <c r="AA748" s="21">
        <v>0</v>
      </c>
      <c r="AB748" s="21">
        <v>0</v>
      </c>
      <c r="AC748" s="21">
        <v>0</v>
      </c>
      <c r="AD748" s="21">
        <v>0</v>
      </c>
      <c r="AE748" s="21">
        <v>0</v>
      </c>
      <c r="AF748" s="21">
        <v>1</v>
      </c>
      <c r="AG748" s="21">
        <v>1</v>
      </c>
      <c r="AH748" s="21">
        <v>1</v>
      </c>
      <c r="AI748" s="21">
        <v>1</v>
      </c>
      <c r="AJ748" s="21">
        <v>1</v>
      </c>
      <c r="AK748" s="21">
        <v>1</v>
      </c>
      <c r="AL748" s="21">
        <v>1</v>
      </c>
      <c r="AM748" s="21">
        <v>1</v>
      </c>
      <c r="AN748" s="21">
        <v>1</v>
      </c>
      <c r="AO748" s="21">
        <v>1</v>
      </c>
      <c r="AP748" s="21">
        <v>1</v>
      </c>
      <c r="AQ748" s="21">
        <v>0</v>
      </c>
      <c r="AR748" s="21">
        <v>1</v>
      </c>
      <c r="AS748" s="21">
        <v>1</v>
      </c>
      <c r="AT748" s="21">
        <v>1</v>
      </c>
      <c r="AU748" s="21">
        <v>1</v>
      </c>
      <c r="AV748" s="21">
        <v>1</v>
      </c>
      <c r="AW748" s="21">
        <v>1</v>
      </c>
      <c r="AX748" s="21">
        <v>1</v>
      </c>
      <c r="AY748" s="21">
        <v>1</v>
      </c>
      <c r="AZ748" s="21">
        <v>1</v>
      </c>
      <c r="BA748" s="21">
        <v>1</v>
      </c>
      <c r="BB748" s="21">
        <v>1</v>
      </c>
      <c r="BC748" s="21">
        <v>1</v>
      </c>
      <c r="BD748" s="21">
        <v>1</v>
      </c>
      <c r="BE748" s="21">
        <v>1</v>
      </c>
      <c r="BF748" s="21">
        <v>1</v>
      </c>
      <c r="BG748" s="21">
        <v>0</v>
      </c>
      <c r="BH748" s="21">
        <v>0</v>
      </c>
      <c r="BI748" s="21">
        <v>1</v>
      </c>
      <c r="BJ748" s="21">
        <v>0</v>
      </c>
      <c r="BK748" s="21">
        <v>0</v>
      </c>
      <c r="BL748" s="21">
        <v>0</v>
      </c>
      <c r="BM748" s="21">
        <v>0</v>
      </c>
      <c r="BN748" s="21">
        <v>0</v>
      </c>
      <c r="BO748" s="21">
        <v>1</v>
      </c>
      <c r="BP748" s="21">
        <v>0</v>
      </c>
      <c r="BQ748" s="21">
        <v>0</v>
      </c>
      <c r="BR748" s="21">
        <v>0</v>
      </c>
      <c r="BS748" s="21">
        <v>0</v>
      </c>
    </row>
    <row r="749" spans="1:71">
      <c r="A749" s="20" t="s">
        <v>4884</v>
      </c>
      <c r="B749">
        <v>46</v>
      </c>
      <c r="C749">
        <v>317</v>
      </c>
      <c r="D749" s="21">
        <v>2013</v>
      </c>
      <c r="E749" s="23">
        <v>-1.54</v>
      </c>
      <c r="F749">
        <f t="shared" si="46"/>
        <v>7.5198984325406523E-3</v>
      </c>
      <c r="G749">
        <v>-204.79</v>
      </c>
      <c r="H749" s="27">
        <v>0</v>
      </c>
      <c r="I749" s="21">
        <v>1</v>
      </c>
      <c r="J749" s="21">
        <v>102032</v>
      </c>
      <c r="K749" s="21">
        <v>1</v>
      </c>
      <c r="L749" s="21">
        <v>0</v>
      </c>
      <c r="M749" s="21">
        <v>0</v>
      </c>
      <c r="N749" s="21">
        <v>0</v>
      </c>
      <c r="O749" s="21">
        <v>0</v>
      </c>
      <c r="P749">
        <v>0</v>
      </c>
      <c r="Q749" s="21">
        <v>1</v>
      </c>
      <c r="R749" s="21">
        <v>0</v>
      </c>
      <c r="S749" s="21">
        <v>0</v>
      </c>
      <c r="T749" s="21">
        <v>1</v>
      </c>
      <c r="U749" s="21">
        <v>1995</v>
      </c>
      <c r="V749" s="21">
        <v>2008</v>
      </c>
      <c r="W749">
        <f t="shared" si="45"/>
        <v>2002</v>
      </c>
      <c r="X749" s="21">
        <v>1</v>
      </c>
      <c r="Y749" s="21">
        <v>0</v>
      </c>
      <c r="Z749" s="21">
        <v>1</v>
      </c>
      <c r="AA749" s="21">
        <v>0</v>
      </c>
      <c r="AB749" s="21">
        <v>0</v>
      </c>
      <c r="AC749" s="21">
        <v>0</v>
      </c>
      <c r="AD749" s="21">
        <v>0</v>
      </c>
      <c r="AE749" s="21">
        <v>0</v>
      </c>
      <c r="AF749" s="21">
        <v>1</v>
      </c>
      <c r="AG749" s="21">
        <v>1</v>
      </c>
      <c r="AH749" s="21">
        <v>1</v>
      </c>
      <c r="AI749" s="21">
        <v>1</v>
      </c>
      <c r="AJ749" s="21">
        <v>1</v>
      </c>
      <c r="AK749" s="21">
        <v>1</v>
      </c>
      <c r="AL749" s="21">
        <v>1</v>
      </c>
      <c r="AM749" s="21">
        <v>1</v>
      </c>
      <c r="AN749" s="21">
        <v>1</v>
      </c>
      <c r="AO749" s="21">
        <v>1</v>
      </c>
      <c r="AP749" s="21">
        <v>1</v>
      </c>
      <c r="AQ749" s="21">
        <v>0</v>
      </c>
      <c r="AR749" s="21">
        <v>1</v>
      </c>
      <c r="AS749" s="21">
        <v>1</v>
      </c>
      <c r="AT749" s="21">
        <v>1</v>
      </c>
      <c r="AU749" s="21">
        <v>1</v>
      </c>
      <c r="AV749" s="21">
        <v>1</v>
      </c>
      <c r="AW749" s="21">
        <v>1</v>
      </c>
      <c r="AX749" s="21">
        <v>1</v>
      </c>
      <c r="AY749" s="21">
        <v>1</v>
      </c>
      <c r="AZ749" s="21">
        <v>1</v>
      </c>
      <c r="BA749" s="21">
        <v>1</v>
      </c>
      <c r="BB749" s="21">
        <v>1</v>
      </c>
      <c r="BC749" s="21">
        <v>1</v>
      </c>
      <c r="BD749" s="21">
        <v>1</v>
      </c>
      <c r="BE749" s="21">
        <v>1</v>
      </c>
      <c r="BF749" s="21">
        <v>1</v>
      </c>
      <c r="BG749" s="21">
        <v>0</v>
      </c>
      <c r="BH749" s="21">
        <v>0</v>
      </c>
      <c r="BI749" s="21">
        <v>1</v>
      </c>
      <c r="BJ749" s="21">
        <v>0</v>
      </c>
      <c r="BK749" s="21">
        <v>0</v>
      </c>
      <c r="BL749" s="21">
        <v>1</v>
      </c>
      <c r="BM749" s="21">
        <v>0</v>
      </c>
      <c r="BN749" s="21">
        <v>0</v>
      </c>
      <c r="BO749" s="21">
        <v>1</v>
      </c>
      <c r="BP749" s="21">
        <v>0</v>
      </c>
      <c r="BQ749" s="21">
        <v>0</v>
      </c>
      <c r="BR749" s="21">
        <v>0</v>
      </c>
      <c r="BS749" s="21">
        <v>0</v>
      </c>
    </row>
    <row r="750" spans="1:71">
      <c r="A750" s="20" t="s">
        <v>4884</v>
      </c>
      <c r="B750">
        <v>46</v>
      </c>
      <c r="C750">
        <v>318</v>
      </c>
      <c r="D750" s="21">
        <v>2013</v>
      </c>
      <c r="E750" s="23">
        <v>-1.54</v>
      </c>
      <c r="F750">
        <f t="shared" si="46"/>
        <v>7.4862670750085068E-3</v>
      </c>
      <c r="G750">
        <v>-205.71</v>
      </c>
      <c r="H750" s="27">
        <v>0</v>
      </c>
      <c r="I750" s="21">
        <v>1</v>
      </c>
      <c r="J750" s="21">
        <v>102032</v>
      </c>
      <c r="K750" s="21">
        <v>1</v>
      </c>
      <c r="L750" s="21">
        <v>0</v>
      </c>
      <c r="M750" s="21">
        <v>0</v>
      </c>
      <c r="N750" s="21">
        <v>0</v>
      </c>
      <c r="O750" s="21">
        <v>0</v>
      </c>
      <c r="P750">
        <v>0</v>
      </c>
      <c r="Q750" s="21">
        <v>1</v>
      </c>
      <c r="R750" s="21">
        <v>0</v>
      </c>
      <c r="S750" s="21">
        <v>0</v>
      </c>
      <c r="T750" s="21">
        <v>1</v>
      </c>
      <c r="U750" s="21">
        <v>1995</v>
      </c>
      <c r="V750" s="21">
        <v>2008</v>
      </c>
      <c r="W750">
        <f t="shared" si="45"/>
        <v>2002</v>
      </c>
      <c r="X750" s="21">
        <v>1</v>
      </c>
      <c r="Y750" s="21">
        <v>0</v>
      </c>
      <c r="Z750" s="21">
        <v>1</v>
      </c>
      <c r="AA750" s="21">
        <v>0</v>
      </c>
      <c r="AB750" s="21">
        <v>0</v>
      </c>
      <c r="AC750" s="21">
        <v>0</v>
      </c>
      <c r="AD750" s="21">
        <v>0</v>
      </c>
      <c r="AE750" s="21">
        <v>0</v>
      </c>
      <c r="AF750" s="21">
        <v>1</v>
      </c>
      <c r="AG750" s="21">
        <v>1</v>
      </c>
      <c r="AH750" s="21">
        <v>1</v>
      </c>
      <c r="AI750" s="21">
        <v>1</v>
      </c>
      <c r="AJ750" s="21">
        <v>1</v>
      </c>
      <c r="AK750" s="21">
        <v>1</v>
      </c>
      <c r="AL750" s="21">
        <v>1</v>
      </c>
      <c r="AM750" s="21">
        <v>1</v>
      </c>
      <c r="AN750" s="21">
        <v>1</v>
      </c>
      <c r="AO750" s="21">
        <v>1</v>
      </c>
      <c r="AP750" s="21">
        <v>1</v>
      </c>
      <c r="AQ750" s="21">
        <v>0</v>
      </c>
      <c r="AR750" s="21">
        <v>1</v>
      </c>
      <c r="AS750" s="21">
        <v>1</v>
      </c>
      <c r="AT750" s="21">
        <v>1</v>
      </c>
      <c r="AU750" s="21">
        <v>1</v>
      </c>
      <c r="AV750" s="21">
        <v>1</v>
      </c>
      <c r="AW750" s="21">
        <v>1</v>
      </c>
      <c r="AX750" s="21">
        <v>1</v>
      </c>
      <c r="AY750" s="21">
        <v>1</v>
      </c>
      <c r="AZ750" s="21">
        <v>1</v>
      </c>
      <c r="BA750" s="21">
        <v>1</v>
      </c>
      <c r="BB750" s="21">
        <v>1</v>
      </c>
      <c r="BC750" s="21">
        <v>1</v>
      </c>
      <c r="BD750" s="21">
        <v>1</v>
      </c>
      <c r="BE750" s="21">
        <v>1</v>
      </c>
      <c r="BF750" s="21">
        <v>1</v>
      </c>
      <c r="BG750" s="21">
        <v>0</v>
      </c>
      <c r="BH750" s="21">
        <v>0</v>
      </c>
      <c r="BI750" s="21">
        <v>1</v>
      </c>
      <c r="BJ750" s="21">
        <v>0</v>
      </c>
      <c r="BK750" s="21">
        <v>0</v>
      </c>
      <c r="BL750" s="21">
        <v>1</v>
      </c>
      <c r="BM750" s="21">
        <v>0</v>
      </c>
      <c r="BN750" s="21">
        <v>0</v>
      </c>
      <c r="BO750" s="21">
        <v>1</v>
      </c>
      <c r="BP750" s="21">
        <v>0</v>
      </c>
      <c r="BQ750" s="21">
        <v>0</v>
      </c>
      <c r="BR750" s="21">
        <v>1</v>
      </c>
      <c r="BS750" s="21">
        <v>1</v>
      </c>
    </row>
    <row r="751" spans="1:71">
      <c r="A751" s="20" t="s">
        <v>4884</v>
      </c>
      <c r="B751">
        <v>46</v>
      </c>
      <c r="C751">
        <v>319</v>
      </c>
      <c r="D751" s="21">
        <v>2013</v>
      </c>
      <c r="E751" s="23">
        <v>-1.54</v>
      </c>
      <c r="F751">
        <f t="shared" si="46"/>
        <v>7.4869949924643887E-3</v>
      </c>
      <c r="G751">
        <v>-205.69</v>
      </c>
      <c r="H751" s="27">
        <v>0</v>
      </c>
      <c r="I751" s="21">
        <v>1</v>
      </c>
      <c r="J751" s="21">
        <v>102032</v>
      </c>
      <c r="K751" s="21">
        <v>1</v>
      </c>
      <c r="L751" s="21">
        <v>0</v>
      </c>
      <c r="M751" s="21">
        <v>0</v>
      </c>
      <c r="N751" s="21">
        <v>0</v>
      </c>
      <c r="O751" s="21">
        <v>0</v>
      </c>
      <c r="P751">
        <v>0</v>
      </c>
      <c r="Q751" s="21">
        <v>1</v>
      </c>
      <c r="R751" s="21">
        <v>0</v>
      </c>
      <c r="S751" s="21">
        <v>0</v>
      </c>
      <c r="T751" s="21">
        <v>1</v>
      </c>
      <c r="U751" s="21">
        <v>1995</v>
      </c>
      <c r="V751" s="21">
        <v>2008</v>
      </c>
      <c r="W751">
        <f t="shared" si="45"/>
        <v>2002</v>
      </c>
      <c r="X751" s="21">
        <v>1</v>
      </c>
      <c r="Y751" s="21">
        <v>0</v>
      </c>
      <c r="Z751" s="21">
        <v>1</v>
      </c>
      <c r="AA751" s="21">
        <v>0</v>
      </c>
      <c r="AB751" s="21">
        <v>0</v>
      </c>
      <c r="AC751" s="21">
        <v>0</v>
      </c>
      <c r="AD751" s="21">
        <v>0</v>
      </c>
      <c r="AE751" s="21">
        <v>0</v>
      </c>
      <c r="AF751" s="21">
        <v>1</v>
      </c>
      <c r="AG751" s="21">
        <v>1</v>
      </c>
      <c r="AH751" s="21">
        <v>1</v>
      </c>
      <c r="AI751" s="21">
        <v>1</v>
      </c>
      <c r="AJ751" s="21">
        <v>1</v>
      </c>
      <c r="AK751" s="21">
        <v>1</v>
      </c>
      <c r="AL751" s="21">
        <v>1</v>
      </c>
      <c r="AM751" s="21">
        <v>1</v>
      </c>
      <c r="AN751" s="21">
        <v>1</v>
      </c>
      <c r="AO751" s="21">
        <v>1</v>
      </c>
      <c r="AP751" s="21">
        <v>1</v>
      </c>
      <c r="AQ751" s="21">
        <v>0</v>
      </c>
      <c r="AR751" s="21">
        <v>1</v>
      </c>
      <c r="AS751" s="21">
        <v>1</v>
      </c>
      <c r="AT751" s="21">
        <v>1</v>
      </c>
      <c r="AU751" s="21">
        <v>1</v>
      </c>
      <c r="AV751" s="21">
        <v>1</v>
      </c>
      <c r="AW751" s="21">
        <v>1</v>
      </c>
      <c r="AX751" s="21">
        <v>1</v>
      </c>
      <c r="AY751" s="21">
        <v>1</v>
      </c>
      <c r="AZ751" s="21">
        <v>1</v>
      </c>
      <c r="BA751" s="21">
        <v>1</v>
      </c>
      <c r="BB751" s="21">
        <v>1</v>
      </c>
      <c r="BC751" s="21">
        <v>1</v>
      </c>
      <c r="BD751" s="21">
        <v>1</v>
      </c>
      <c r="BE751" s="21">
        <v>1</v>
      </c>
      <c r="BF751" s="21">
        <v>1</v>
      </c>
      <c r="BG751" s="21">
        <v>0</v>
      </c>
      <c r="BH751" s="21">
        <v>0</v>
      </c>
      <c r="BI751" s="21">
        <v>1</v>
      </c>
      <c r="BJ751" s="21">
        <v>0</v>
      </c>
      <c r="BK751" s="21">
        <v>0</v>
      </c>
      <c r="BL751" s="21">
        <v>0</v>
      </c>
      <c r="BM751" s="21">
        <v>0</v>
      </c>
      <c r="BN751" s="21">
        <v>0</v>
      </c>
      <c r="BO751" s="21">
        <v>1</v>
      </c>
      <c r="BP751" s="21">
        <v>0</v>
      </c>
      <c r="BQ751" s="21">
        <v>0</v>
      </c>
      <c r="BR751" s="21">
        <v>1</v>
      </c>
      <c r="BS751" s="21">
        <v>1</v>
      </c>
    </row>
    <row r="752" spans="1:71">
      <c r="A752" s="20" t="s">
        <v>4884</v>
      </c>
      <c r="B752">
        <v>46</v>
      </c>
      <c r="C752">
        <v>320</v>
      </c>
      <c r="D752" s="21">
        <v>2013</v>
      </c>
      <c r="E752" s="23">
        <v>-1.54</v>
      </c>
      <c r="F752">
        <f t="shared" si="46"/>
        <v>7.4811756133106632E-3</v>
      </c>
      <c r="G752">
        <v>-205.85</v>
      </c>
      <c r="H752" s="27">
        <v>0</v>
      </c>
      <c r="I752" s="21">
        <v>1</v>
      </c>
      <c r="J752" s="21">
        <v>102032</v>
      </c>
      <c r="K752" s="21">
        <v>1</v>
      </c>
      <c r="L752" s="21">
        <v>0</v>
      </c>
      <c r="M752" s="21">
        <v>0</v>
      </c>
      <c r="N752" s="21">
        <v>0</v>
      </c>
      <c r="O752" s="21">
        <v>0</v>
      </c>
      <c r="P752">
        <v>0</v>
      </c>
      <c r="Q752" s="21">
        <v>1</v>
      </c>
      <c r="R752" s="21">
        <v>0</v>
      </c>
      <c r="S752" s="21">
        <v>0</v>
      </c>
      <c r="T752" s="21">
        <v>1</v>
      </c>
      <c r="U752" s="21">
        <v>1995</v>
      </c>
      <c r="V752" s="21">
        <v>2008</v>
      </c>
      <c r="W752">
        <f t="shared" si="45"/>
        <v>2002</v>
      </c>
      <c r="X752" s="21">
        <v>1</v>
      </c>
      <c r="Y752" s="21">
        <v>0</v>
      </c>
      <c r="Z752" s="21">
        <v>1</v>
      </c>
      <c r="AA752" s="21">
        <v>0</v>
      </c>
      <c r="AB752" s="21">
        <v>0</v>
      </c>
      <c r="AC752" s="21">
        <v>0</v>
      </c>
      <c r="AD752" s="21">
        <v>0</v>
      </c>
      <c r="AE752" s="21">
        <v>0</v>
      </c>
      <c r="AF752" s="21">
        <v>1</v>
      </c>
      <c r="AG752" s="21">
        <v>1</v>
      </c>
      <c r="AH752" s="21">
        <v>1</v>
      </c>
      <c r="AI752" s="21">
        <v>1</v>
      </c>
      <c r="AJ752" s="21">
        <v>1</v>
      </c>
      <c r="AK752" s="21">
        <v>1</v>
      </c>
      <c r="AL752" s="21">
        <v>1</v>
      </c>
      <c r="AM752" s="21">
        <v>1</v>
      </c>
      <c r="AN752" s="21">
        <v>1</v>
      </c>
      <c r="AO752" s="21">
        <v>1</v>
      </c>
      <c r="AP752" s="21">
        <v>1</v>
      </c>
      <c r="AQ752" s="21">
        <v>0</v>
      </c>
      <c r="AR752" s="21">
        <v>1</v>
      </c>
      <c r="AS752" s="21">
        <v>1</v>
      </c>
      <c r="AT752" s="21">
        <v>1</v>
      </c>
      <c r="AU752" s="21">
        <v>1</v>
      </c>
      <c r="AV752" s="21">
        <v>1</v>
      </c>
      <c r="AW752" s="21">
        <v>1</v>
      </c>
      <c r="AX752" s="21">
        <v>1</v>
      </c>
      <c r="AY752" s="21">
        <v>1</v>
      </c>
      <c r="AZ752" s="21">
        <v>1</v>
      </c>
      <c r="BA752" s="21">
        <v>1</v>
      </c>
      <c r="BB752" s="21">
        <v>1</v>
      </c>
      <c r="BC752" s="21">
        <v>1</v>
      </c>
      <c r="BD752" s="21">
        <v>1</v>
      </c>
      <c r="BE752" s="21">
        <v>1</v>
      </c>
      <c r="BF752" s="21">
        <v>1</v>
      </c>
      <c r="BG752" s="21">
        <v>0</v>
      </c>
      <c r="BH752" s="21">
        <v>0</v>
      </c>
      <c r="BI752" s="21">
        <v>1</v>
      </c>
      <c r="BJ752" s="21">
        <v>0</v>
      </c>
      <c r="BK752" s="21">
        <v>0</v>
      </c>
      <c r="BL752" s="21">
        <v>1</v>
      </c>
      <c r="BM752" s="21">
        <v>0</v>
      </c>
      <c r="BN752" s="21">
        <v>0</v>
      </c>
      <c r="BO752" s="21">
        <v>1</v>
      </c>
      <c r="BP752" s="21">
        <v>0</v>
      </c>
      <c r="BQ752" s="21">
        <v>0</v>
      </c>
      <c r="BR752" s="21">
        <v>1</v>
      </c>
      <c r="BS752" s="21">
        <v>1</v>
      </c>
    </row>
    <row r="753" spans="1:71">
      <c r="A753" s="20" t="s">
        <v>4884</v>
      </c>
      <c r="B753">
        <v>46</v>
      </c>
      <c r="C753">
        <v>321</v>
      </c>
      <c r="D753" s="21">
        <v>2013</v>
      </c>
      <c r="E753" s="23">
        <v>-1.1499999999999999</v>
      </c>
      <c r="F753">
        <f t="shared" si="46"/>
        <v>8.8645648654898639E-3</v>
      </c>
      <c r="G753">
        <v>-129.72999999999999</v>
      </c>
      <c r="H753" s="27">
        <v>0</v>
      </c>
      <c r="I753" s="21">
        <v>1</v>
      </c>
      <c r="J753" s="21">
        <v>85110</v>
      </c>
      <c r="K753" s="21">
        <v>1</v>
      </c>
      <c r="L753" s="21">
        <v>0</v>
      </c>
      <c r="M753" s="21">
        <v>0</v>
      </c>
      <c r="N753" s="21">
        <v>0</v>
      </c>
      <c r="O753" s="21">
        <v>0</v>
      </c>
      <c r="P753">
        <v>0</v>
      </c>
      <c r="Q753" s="21">
        <v>1</v>
      </c>
      <c r="R753" s="21">
        <v>0</v>
      </c>
      <c r="S753" s="21">
        <v>0</v>
      </c>
      <c r="T753" s="21">
        <v>1</v>
      </c>
      <c r="U753" s="21">
        <v>1995</v>
      </c>
      <c r="V753" s="21">
        <v>2008</v>
      </c>
      <c r="W753">
        <f t="shared" si="45"/>
        <v>2002</v>
      </c>
      <c r="X753" s="21">
        <v>1</v>
      </c>
      <c r="Y753" s="21">
        <v>0</v>
      </c>
      <c r="Z753" s="21">
        <v>1</v>
      </c>
      <c r="AA753" s="21">
        <v>0</v>
      </c>
      <c r="AB753" s="21">
        <v>0</v>
      </c>
      <c r="AC753" s="21">
        <v>0</v>
      </c>
      <c r="AD753" s="21">
        <v>0</v>
      </c>
      <c r="AE753" s="21">
        <v>0</v>
      </c>
      <c r="AF753" s="21">
        <v>1</v>
      </c>
      <c r="AG753" s="21">
        <v>1</v>
      </c>
      <c r="AH753" s="21">
        <v>1</v>
      </c>
      <c r="AI753" s="21">
        <v>1</v>
      </c>
      <c r="AJ753" s="21">
        <v>1</v>
      </c>
      <c r="AK753" s="21">
        <v>1</v>
      </c>
      <c r="AL753" s="21">
        <v>1</v>
      </c>
      <c r="AM753" s="21">
        <v>1</v>
      </c>
      <c r="AN753" s="21">
        <v>1</v>
      </c>
      <c r="AO753" s="21">
        <v>1</v>
      </c>
      <c r="AP753" s="21">
        <v>1</v>
      </c>
      <c r="AQ753" s="21">
        <v>0</v>
      </c>
      <c r="AR753" s="21">
        <v>1</v>
      </c>
      <c r="AS753" s="21">
        <v>1</v>
      </c>
      <c r="AT753" s="21">
        <v>1</v>
      </c>
      <c r="AU753" s="21">
        <v>1</v>
      </c>
      <c r="AV753" s="21">
        <v>1</v>
      </c>
      <c r="AW753" s="21">
        <v>1</v>
      </c>
      <c r="AX753" s="21">
        <v>1</v>
      </c>
      <c r="AY753" s="21">
        <v>1</v>
      </c>
      <c r="AZ753" s="21">
        <v>1</v>
      </c>
      <c r="BA753" s="21">
        <v>1</v>
      </c>
      <c r="BB753" s="21">
        <v>1</v>
      </c>
      <c r="BC753" s="21">
        <v>1</v>
      </c>
      <c r="BD753" s="21">
        <v>1</v>
      </c>
      <c r="BE753" s="21">
        <v>1</v>
      </c>
      <c r="BF753" s="21">
        <v>1</v>
      </c>
      <c r="BG753" s="21">
        <v>0</v>
      </c>
      <c r="BH753" s="21">
        <v>0</v>
      </c>
      <c r="BI753" s="21">
        <v>1</v>
      </c>
      <c r="BJ753" s="21">
        <v>0</v>
      </c>
      <c r="BK753" s="21">
        <v>0</v>
      </c>
      <c r="BL753" s="21">
        <v>0</v>
      </c>
      <c r="BM753" s="21">
        <v>0</v>
      </c>
      <c r="BN753" s="21">
        <v>0</v>
      </c>
      <c r="BO753" s="21">
        <v>1</v>
      </c>
      <c r="BP753" s="21">
        <v>0</v>
      </c>
      <c r="BQ753" s="21">
        <v>0</v>
      </c>
      <c r="BR753" s="21">
        <v>1</v>
      </c>
      <c r="BS753" s="21">
        <v>1</v>
      </c>
    </row>
    <row r="754" spans="1:71">
      <c r="A754" s="20" t="s">
        <v>4884</v>
      </c>
      <c r="B754">
        <v>46</v>
      </c>
      <c r="C754">
        <v>322</v>
      </c>
      <c r="D754" s="21">
        <v>2013</v>
      </c>
      <c r="E754" s="23">
        <v>-1.1499999999999999</v>
      </c>
      <c r="F754">
        <f t="shared" si="46"/>
        <v>8.8871715610510035E-3</v>
      </c>
      <c r="G754">
        <v>-129.4</v>
      </c>
      <c r="H754" s="27">
        <v>0</v>
      </c>
      <c r="I754" s="21">
        <v>1</v>
      </c>
      <c r="J754" s="21">
        <v>85110</v>
      </c>
      <c r="K754" s="21">
        <v>1</v>
      </c>
      <c r="L754" s="21">
        <v>0</v>
      </c>
      <c r="M754" s="21">
        <v>0</v>
      </c>
      <c r="N754" s="21">
        <v>0</v>
      </c>
      <c r="O754" s="21">
        <v>0</v>
      </c>
      <c r="P754">
        <v>0</v>
      </c>
      <c r="Q754" s="21">
        <v>1</v>
      </c>
      <c r="R754" s="21">
        <v>0</v>
      </c>
      <c r="S754" s="21">
        <v>0</v>
      </c>
      <c r="T754" s="21">
        <v>1</v>
      </c>
      <c r="U754" s="21">
        <v>1995</v>
      </c>
      <c r="V754" s="21">
        <v>2008</v>
      </c>
      <c r="W754">
        <f t="shared" si="45"/>
        <v>2002</v>
      </c>
      <c r="X754" s="21">
        <v>1</v>
      </c>
      <c r="Y754" s="21">
        <v>0</v>
      </c>
      <c r="Z754" s="21">
        <v>1</v>
      </c>
      <c r="AA754" s="21">
        <v>0</v>
      </c>
      <c r="AB754" s="21">
        <v>0</v>
      </c>
      <c r="AC754" s="21">
        <v>0</v>
      </c>
      <c r="AD754" s="21">
        <v>0</v>
      </c>
      <c r="AE754" s="21">
        <v>0</v>
      </c>
      <c r="AF754" s="21">
        <v>1</v>
      </c>
      <c r="AG754" s="21">
        <v>1</v>
      </c>
      <c r="AH754" s="21">
        <v>1</v>
      </c>
      <c r="AI754" s="21">
        <v>1</v>
      </c>
      <c r="AJ754" s="21">
        <v>1</v>
      </c>
      <c r="AK754" s="21">
        <v>1</v>
      </c>
      <c r="AL754" s="21">
        <v>1</v>
      </c>
      <c r="AM754" s="21">
        <v>1</v>
      </c>
      <c r="AN754" s="21">
        <v>1</v>
      </c>
      <c r="AO754" s="21">
        <v>1</v>
      </c>
      <c r="AP754" s="21">
        <v>1</v>
      </c>
      <c r="AQ754" s="21">
        <v>0</v>
      </c>
      <c r="AR754" s="21">
        <v>1</v>
      </c>
      <c r="AS754" s="21">
        <v>1</v>
      </c>
      <c r="AT754" s="21">
        <v>1</v>
      </c>
      <c r="AU754" s="21">
        <v>1</v>
      </c>
      <c r="AV754" s="21">
        <v>1</v>
      </c>
      <c r="AW754" s="21">
        <v>1</v>
      </c>
      <c r="AX754" s="21">
        <v>1</v>
      </c>
      <c r="AY754" s="21">
        <v>1</v>
      </c>
      <c r="AZ754" s="21">
        <v>1</v>
      </c>
      <c r="BA754" s="21">
        <v>1</v>
      </c>
      <c r="BB754" s="21">
        <v>1</v>
      </c>
      <c r="BC754" s="21">
        <v>1</v>
      </c>
      <c r="BD754" s="21">
        <v>1</v>
      </c>
      <c r="BE754" s="21">
        <v>1</v>
      </c>
      <c r="BF754" s="21">
        <v>1</v>
      </c>
      <c r="BG754" s="21">
        <v>0</v>
      </c>
      <c r="BH754" s="21">
        <v>0</v>
      </c>
      <c r="BI754" s="21">
        <v>1</v>
      </c>
      <c r="BJ754" s="21">
        <v>0</v>
      </c>
      <c r="BK754" s="21">
        <v>0</v>
      </c>
      <c r="BL754" s="21">
        <v>1</v>
      </c>
      <c r="BM754" s="21">
        <v>0</v>
      </c>
      <c r="BN754" s="21">
        <v>0</v>
      </c>
      <c r="BO754" s="21">
        <v>1</v>
      </c>
      <c r="BP754" s="21">
        <v>0</v>
      </c>
      <c r="BQ754" s="21">
        <v>0</v>
      </c>
      <c r="BR754" s="21">
        <v>1</v>
      </c>
      <c r="BS754" s="21">
        <v>1</v>
      </c>
    </row>
    <row r="755" spans="1:71">
      <c r="A755" s="20" t="s">
        <v>4884</v>
      </c>
      <c r="B755">
        <v>46</v>
      </c>
      <c r="C755">
        <v>323</v>
      </c>
      <c r="D755" s="21">
        <v>2013</v>
      </c>
      <c r="E755" s="23">
        <v>-1.1499999999999999</v>
      </c>
      <c r="F755">
        <f t="shared" si="46"/>
        <v>8.8912942631823085E-3</v>
      </c>
      <c r="G755">
        <v>-129.34</v>
      </c>
      <c r="H755" s="27">
        <v>0</v>
      </c>
      <c r="I755" s="21">
        <v>1</v>
      </c>
      <c r="J755" s="21">
        <v>85110</v>
      </c>
      <c r="K755" s="21">
        <v>1</v>
      </c>
      <c r="L755" s="21">
        <v>0</v>
      </c>
      <c r="M755" s="21">
        <v>0</v>
      </c>
      <c r="N755" s="21">
        <v>0</v>
      </c>
      <c r="O755" s="21">
        <v>0</v>
      </c>
      <c r="P755">
        <v>0</v>
      </c>
      <c r="Q755" s="21">
        <v>1</v>
      </c>
      <c r="R755" s="21">
        <v>0</v>
      </c>
      <c r="S755" s="21">
        <v>0</v>
      </c>
      <c r="T755" s="21">
        <v>1</v>
      </c>
      <c r="U755" s="21">
        <v>1995</v>
      </c>
      <c r="V755" s="21">
        <v>2008</v>
      </c>
      <c r="W755">
        <f t="shared" si="45"/>
        <v>2002</v>
      </c>
      <c r="X755" s="21">
        <v>1</v>
      </c>
      <c r="Y755" s="21">
        <v>0</v>
      </c>
      <c r="Z755" s="21">
        <v>1</v>
      </c>
      <c r="AA755" s="21">
        <v>0</v>
      </c>
      <c r="AB755" s="21">
        <v>0</v>
      </c>
      <c r="AC755" s="21">
        <v>0</v>
      </c>
      <c r="AD755" s="21">
        <v>0</v>
      </c>
      <c r="AE755" s="21">
        <v>0</v>
      </c>
      <c r="AF755" s="21">
        <v>1</v>
      </c>
      <c r="AG755" s="21">
        <v>1</v>
      </c>
      <c r="AH755" s="21">
        <v>1</v>
      </c>
      <c r="AI755" s="21">
        <v>1</v>
      </c>
      <c r="AJ755" s="21">
        <v>1</v>
      </c>
      <c r="AK755" s="21">
        <v>1</v>
      </c>
      <c r="AL755" s="21">
        <v>1</v>
      </c>
      <c r="AM755" s="21">
        <v>1</v>
      </c>
      <c r="AN755" s="21">
        <v>1</v>
      </c>
      <c r="AO755" s="21">
        <v>1</v>
      </c>
      <c r="AP755" s="21">
        <v>1</v>
      </c>
      <c r="AQ755" s="21">
        <v>0</v>
      </c>
      <c r="AR755" s="21">
        <v>1</v>
      </c>
      <c r="AS755" s="21">
        <v>1</v>
      </c>
      <c r="AT755" s="21">
        <v>1</v>
      </c>
      <c r="AU755" s="21">
        <v>1</v>
      </c>
      <c r="AV755" s="21">
        <v>1</v>
      </c>
      <c r="AW755" s="21">
        <v>1</v>
      </c>
      <c r="AX755" s="21">
        <v>1</v>
      </c>
      <c r="AY755" s="21">
        <v>1</v>
      </c>
      <c r="AZ755" s="21">
        <v>1</v>
      </c>
      <c r="BA755" s="21">
        <v>1</v>
      </c>
      <c r="BB755" s="21">
        <v>1</v>
      </c>
      <c r="BC755" s="21">
        <v>1</v>
      </c>
      <c r="BD755" s="21">
        <v>1</v>
      </c>
      <c r="BE755" s="21">
        <v>1</v>
      </c>
      <c r="BF755" s="21">
        <v>1</v>
      </c>
      <c r="BG755" s="21">
        <v>0</v>
      </c>
      <c r="BH755" s="21">
        <v>0</v>
      </c>
      <c r="BI755" s="21">
        <v>1</v>
      </c>
      <c r="BJ755" s="21">
        <v>0</v>
      </c>
      <c r="BK755" s="21">
        <v>0</v>
      </c>
      <c r="BL755" s="21">
        <v>0</v>
      </c>
      <c r="BM755" s="21">
        <v>0</v>
      </c>
      <c r="BN755" s="21">
        <v>0</v>
      </c>
      <c r="BO755" s="21">
        <v>1</v>
      </c>
      <c r="BP755" s="21">
        <v>0</v>
      </c>
      <c r="BQ755" s="21">
        <v>0</v>
      </c>
      <c r="BR755" s="21">
        <v>1</v>
      </c>
      <c r="BS755" s="21">
        <v>1</v>
      </c>
    </row>
    <row r="756" spans="1:71">
      <c r="A756" s="20" t="s">
        <v>4884</v>
      </c>
      <c r="B756">
        <v>46</v>
      </c>
      <c r="C756">
        <v>324</v>
      </c>
      <c r="D756" s="21">
        <v>2013</v>
      </c>
      <c r="E756" s="23">
        <v>-1.1499999999999999</v>
      </c>
      <c r="F756">
        <f t="shared" si="46"/>
        <v>8.9174937965260537E-3</v>
      </c>
      <c r="G756">
        <v>-128.96</v>
      </c>
      <c r="H756" s="27">
        <v>0</v>
      </c>
      <c r="I756" s="21">
        <v>1</v>
      </c>
      <c r="J756" s="21">
        <v>85110</v>
      </c>
      <c r="K756" s="21">
        <v>1</v>
      </c>
      <c r="L756" s="21">
        <v>0</v>
      </c>
      <c r="M756" s="21">
        <v>0</v>
      </c>
      <c r="N756" s="21">
        <v>0</v>
      </c>
      <c r="O756" s="21">
        <v>0</v>
      </c>
      <c r="P756">
        <v>0</v>
      </c>
      <c r="Q756" s="21">
        <v>1</v>
      </c>
      <c r="R756" s="21">
        <v>0</v>
      </c>
      <c r="S756" s="21">
        <v>0</v>
      </c>
      <c r="T756" s="21">
        <v>1</v>
      </c>
      <c r="U756" s="21">
        <v>1995</v>
      </c>
      <c r="V756" s="21">
        <v>2008</v>
      </c>
      <c r="W756">
        <f t="shared" si="45"/>
        <v>2002</v>
      </c>
      <c r="X756" s="21">
        <v>1</v>
      </c>
      <c r="Y756" s="21">
        <v>0</v>
      </c>
      <c r="Z756" s="21">
        <v>1</v>
      </c>
      <c r="AA756" s="21">
        <v>0</v>
      </c>
      <c r="AB756" s="21">
        <v>0</v>
      </c>
      <c r="AC756" s="21">
        <v>0</v>
      </c>
      <c r="AD756" s="21">
        <v>0</v>
      </c>
      <c r="AE756" s="21">
        <v>0</v>
      </c>
      <c r="AF756" s="21">
        <v>1</v>
      </c>
      <c r="AG756" s="21">
        <v>1</v>
      </c>
      <c r="AH756" s="21">
        <v>1</v>
      </c>
      <c r="AI756" s="21">
        <v>1</v>
      </c>
      <c r="AJ756" s="21">
        <v>1</v>
      </c>
      <c r="AK756" s="21">
        <v>1</v>
      </c>
      <c r="AL756" s="21">
        <v>1</v>
      </c>
      <c r="AM756" s="21">
        <v>1</v>
      </c>
      <c r="AN756" s="21">
        <v>1</v>
      </c>
      <c r="AO756" s="21">
        <v>1</v>
      </c>
      <c r="AP756" s="21">
        <v>1</v>
      </c>
      <c r="AQ756" s="21">
        <v>0</v>
      </c>
      <c r="AR756" s="21">
        <v>1</v>
      </c>
      <c r="AS756" s="21">
        <v>1</v>
      </c>
      <c r="AT756" s="21">
        <v>1</v>
      </c>
      <c r="AU756" s="21">
        <v>1</v>
      </c>
      <c r="AV756" s="21">
        <v>1</v>
      </c>
      <c r="AW756" s="21">
        <v>1</v>
      </c>
      <c r="AX756" s="21">
        <v>1</v>
      </c>
      <c r="AY756" s="21">
        <v>1</v>
      </c>
      <c r="AZ756" s="21">
        <v>1</v>
      </c>
      <c r="BA756" s="21">
        <v>1</v>
      </c>
      <c r="BB756" s="21">
        <v>1</v>
      </c>
      <c r="BC756" s="21">
        <v>1</v>
      </c>
      <c r="BD756" s="21">
        <v>1</v>
      </c>
      <c r="BE756" s="21">
        <v>1</v>
      </c>
      <c r="BF756" s="21">
        <v>1</v>
      </c>
      <c r="BG756" s="21">
        <v>0</v>
      </c>
      <c r="BH756" s="21">
        <v>0</v>
      </c>
      <c r="BI756" s="21">
        <v>1</v>
      </c>
      <c r="BJ756" s="21">
        <v>0</v>
      </c>
      <c r="BK756" s="21">
        <v>0</v>
      </c>
      <c r="BL756" s="21">
        <v>1</v>
      </c>
      <c r="BM756" s="21">
        <v>0</v>
      </c>
      <c r="BN756" s="21">
        <v>0</v>
      </c>
      <c r="BO756" s="21">
        <v>1</v>
      </c>
      <c r="BP756" s="21">
        <v>0</v>
      </c>
      <c r="BQ756" s="21">
        <v>0</v>
      </c>
      <c r="BR756" s="21">
        <v>1</v>
      </c>
      <c r="BS756" s="21">
        <v>1</v>
      </c>
    </row>
    <row r="757" spans="1:71">
      <c r="A757" s="20" t="s">
        <v>4800</v>
      </c>
      <c r="B757">
        <v>47</v>
      </c>
      <c r="C757">
        <v>325</v>
      </c>
      <c r="D757" s="21">
        <v>2013</v>
      </c>
      <c r="E757" s="23">
        <v>-0.94</v>
      </c>
      <c r="F757">
        <v>0.19</v>
      </c>
      <c r="G757" s="14">
        <f t="shared" ref="G757:G762" si="47">E757/F757</f>
        <v>-4.947368421052631</v>
      </c>
      <c r="H757" s="27">
        <v>0</v>
      </c>
      <c r="I757" s="21">
        <v>1</v>
      </c>
      <c r="J757" s="21">
        <v>1132</v>
      </c>
      <c r="K757" s="21">
        <v>1</v>
      </c>
      <c r="L757" s="21">
        <v>0</v>
      </c>
      <c r="M757" s="21">
        <v>0</v>
      </c>
      <c r="N757" s="21">
        <v>0</v>
      </c>
      <c r="O757" s="21">
        <v>0</v>
      </c>
      <c r="P757">
        <v>0</v>
      </c>
      <c r="Q757" s="21">
        <v>0</v>
      </c>
      <c r="R757" s="21">
        <v>0</v>
      </c>
      <c r="S757" s="21">
        <v>0</v>
      </c>
      <c r="T757" s="21">
        <v>1</v>
      </c>
      <c r="U757" s="21">
        <v>1995</v>
      </c>
      <c r="V757" s="21">
        <v>2010</v>
      </c>
      <c r="W757">
        <f t="shared" si="45"/>
        <v>2003</v>
      </c>
      <c r="X757" s="21">
        <v>1</v>
      </c>
      <c r="Y757" s="21">
        <v>0</v>
      </c>
      <c r="Z757" s="21">
        <v>0</v>
      </c>
      <c r="AA757" s="21">
        <v>0</v>
      </c>
      <c r="AB757" s="21">
        <v>0</v>
      </c>
      <c r="AC757" s="21">
        <v>1</v>
      </c>
      <c r="AD757" s="21">
        <v>0</v>
      </c>
      <c r="AE757" s="21">
        <v>0</v>
      </c>
      <c r="AF757" s="21">
        <v>0</v>
      </c>
      <c r="AG757" s="21">
        <v>0</v>
      </c>
      <c r="AH757" s="21">
        <v>0</v>
      </c>
      <c r="AI757" s="21">
        <v>0</v>
      </c>
      <c r="AJ757" s="21">
        <v>0</v>
      </c>
      <c r="AK757" s="21">
        <v>0</v>
      </c>
      <c r="AL757" s="21">
        <v>0</v>
      </c>
      <c r="AM757" s="21">
        <v>1</v>
      </c>
      <c r="AN757" s="21">
        <v>0</v>
      </c>
      <c r="AO757" s="21">
        <v>1</v>
      </c>
      <c r="AP757" s="21">
        <v>0</v>
      </c>
      <c r="AQ757" s="21">
        <v>1</v>
      </c>
      <c r="AR757" s="21">
        <v>0</v>
      </c>
      <c r="AS757" s="21">
        <v>1</v>
      </c>
      <c r="AT757" s="21">
        <v>1</v>
      </c>
      <c r="AU757" s="21">
        <v>1</v>
      </c>
      <c r="AV757" s="21">
        <v>1</v>
      </c>
      <c r="AW757" s="21">
        <v>1</v>
      </c>
      <c r="AX757" s="21">
        <v>1</v>
      </c>
      <c r="AY757" s="21">
        <v>1</v>
      </c>
      <c r="AZ757" s="21">
        <v>1</v>
      </c>
      <c r="BA757" s="21">
        <v>1</v>
      </c>
      <c r="BB757" s="21">
        <v>1</v>
      </c>
      <c r="BC757" s="21">
        <v>1</v>
      </c>
      <c r="BD757" s="21">
        <v>1</v>
      </c>
      <c r="BE757" s="21">
        <v>1</v>
      </c>
      <c r="BF757" s="21">
        <v>0</v>
      </c>
      <c r="BG757" s="21">
        <v>1</v>
      </c>
      <c r="BH757" s="21">
        <v>0</v>
      </c>
      <c r="BI757" s="21">
        <v>0</v>
      </c>
      <c r="BJ757" s="21">
        <v>0</v>
      </c>
      <c r="BK757" s="21">
        <v>0</v>
      </c>
      <c r="BL757" s="21">
        <v>0</v>
      </c>
      <c r="BM757" s="21">
        <v>1</v>
      </c>
      <c r="BN757" s="21">
        <v>1</v>
      </c>
      <c r="BO757" s="21">
        <v>0</v>
      </c>
      <c r="BP757" s="21">
        <v>0</v>
      </c>
      <c r="BQ757" s="21">
        <v>0</v>
      </c>
      <c r="BR757" s="21">
        <v>0</v>
      </c>
      <c r="BS757" s="21">
        <v>0</v>
      </c>
    </row>
    <row r="758" spans="1:71">
      <c r="A758" s="20" t="s">
        <v>4800</v>
      </c>
      <c r="B758">
        <v>47</v>
      </c>
      <c r="C758">
        <v>326</v>
      </c>
      <c r="D758" s="21">
        <v>2013</v>
      </c>
      <c r="E758" s="23">
        <v>-0.88</v>
      </c>
      <c r="F758">
        <v>0.2</v>
      </c>
      <c r="G758" s="14">
        <f t="shared" si="47"/>
        <v>-4.3999999999999995</v>
      </c>
      <c r="H758" s="27">
        <v>0</v>
      </c>
      <c r="I758" s="21">
        <v>1</v>
      </c>
      <c r="J758" s="21">
        <v>1132</v>
      </c>
      <c r="K758" s="21">
        <v>1</v>
      </c>
      <c r="L758" s="21">
        <v>0</v>
      </c>
      <c r="M758" s="21">
        <v>0</v>
      </c>
      <c r="N758" s="21">
        <v>0</v>
      </c>
      <c r="O758" s="21">
        <v>0</v>
      </c>
      <c r="P758">
        <v>0</v>
      </c>
      <c r="Q758" s="21">
        <v>0</v>
      </c>
      <c r="R758" s="21">
        <v>0</v>
      </c>
      <c r="S758" s="21">
        <v>0</v>
      </c>
      <c r="T758" s="21">
        <v>1</v>
      </c>
      <c r="U758" s="21">
        <v>1995</v>
      </c>
      <c r="V758" s="21">
        <v>2010</v>
      </c>
      <c r="W758">
        <f t="shared" si="45"/>
        <v>2003</v>
      </c>
      <c r="X758" s="21">
        <v>1</v>
      </c>
      <c r="Y758" s="21">
        <v>0</v>
      </c>
      <c r="Z758" s="21">
        <v>0</v>
      </c>
      <c r="AA758" s="21">
        <v>0</v>
      </c>
      <c r="AB758" s="21">
        <v>0</v>
      </c>
      <c r="AC758" s="21">
        <v>1</v>
      </c>
      <c r="AD758" s="21">
        <v>0</v>
      </c>
      <c r="AE758" s="21">
        <v>0</v>
      </c>
      <c r="AF758" s="21">
        <v>0</v>
      </c>
      <c r="AG758" s="21">
        <v>0</v>
      </c>
      <c r="AH758" s="21">
        <v>0</v>
      </c>
      <c r="AI758" s="21">
        <v>0</v>
      </c>
      <c r="AJ758" s="21">
        <v>0</v>
      </c>
      <c r="AK758" s="21">
        <v>0</v>
      </c>
      <c r="AL758" s="21">
        <v>0</v>
      </c>
      <c r="AM758" s="21">
        <v>1</v>
      </c>
      <c r="AN758" s="21">
        <v>0</v>
      </c>
      <c r="AO758" s="21">
        <v>1</v>
      </c>
      <c r="AP758" s="21">
        <v>0</v>
      </c>
      <c r="AQ758" s="21">
        <v>1</v>
      </c>
      <c r="AR758" s="21">
        <v>0</v>
      </c>
      <c r="AS758" s="21">
        <v>1</v>
      </c>
      <c r="AT758" s="21">
        <v>1</v>
      </c>
      <c r="AU758" s="21">
        <v>1</v>
      </c>
      <c r="AV758" s="21">
        <v>1</v>
      </c>
      <c r="AW758" s="21">
        <v>1</v>
      </c>
      <c r="AX758" s="21">
        <v>1</v>
      </c>
      <c r="AY758" s="21">
        <v>1</v>
      </c>
      <c r="AZ758" s="21">
        <v>1</v>
      </c>
      <c r="BA758" s="21">
        <v>1</v>
      </c>
      <c r="BB758" s="21">
        <v>1</v>
      </c>
      <c r="BC758" s="21">
        <v>1</v>
      </c>
      <c r="BD758" s="21">
        <v>1</v>
      </c>
      <c r="BE758" s="21">
        <v>1</v>
      </c>
      <c r="BF758" s="21">
        <v>0</v>
      </c>
      <c r="BG758" s="21">
        <v>1</v>
      </c>
      <c r="BH758" s="21">
        <v>0</v>
      </c>
      <c r="BI758" s="21">
        <v>0</v>
      </c>
      <c r="BJ758" s="21">
        <v>0</v>
      </c>
      <c r="BK758" s="21">
        <v>0</v>
      </c>
      <c r="BL758" s="21">
        <v>0</v>
      </c>
      <c r="BM758" s="21">
        <v>1</v>
      </c>
      <c r="BN758" s="21">
        <v>1</v>
      </c>
      <c r="BO758" s="21">
        <v>0</v>
      </c>
      <c r="BP758" s="21">
        <v>0</v>
      </c>
      <c r="BQ758" s="21">
        <v>0</v>
      </c>
      <c r="BR758" s="21">
        <v>0</v>
      </c>
      <c r="BS758" s="21">
        <v>0</v>
      </c>
    </row>
    <row r="759" spans="1:71">
      <c r="A759" s="20" t="s">
        <v>4800</v>
      </c>
      <c r="B759">
        <v>47</v>
      </c>
      <c r="C759">
        <v>327</v>
      </c>
      <c r="D759" s="21">
        <v>2013</v>
      </c>
      <c r="E759" s="23">
        <v>-0.87</v>
      </c>
      <c r="F759">
        <v>0.2</v>
      </c>
      <c r="G759" s="14">
        <f t="shared" si="47"/>
        <v>-4.3499999999999996</v>
      </c>
      <c r="H759" s="27">
        <v>0</v>
      </c>
      <c r="I759" s="21">
        <v>1</v>
      </c>
      <c r="J759" s="21">
        <v>1132</v>
      </c>
      <c r="K759" s="21">
        <v>1</v>
      </c>
      <c r="L759" s="21">
        <v>0</v>
      </c>
      <c r="M759" s="21">
        <v>0</v>
      </c>
      <c r="N759" s="21">
        <v>0</v>
      </c>
      <c r="O759" s="21">
        <v>0</v>
      </c>
      <c r="P759">
        <v>0</v>
      </c>
      <c r="Q759" s="21">
        <v>0</v>
      </c>
      <c r="R759" s="21">
        <v>0</v>
      </c>
      <c r="S759" s="21">
        <v>0</v>
      </c>
      <c r="T759" s="21">
        <v>1</v>
      </c>
      <c r="U759" s="21">
        <v>1995</v>
      </c>
      <c r="V759" s="21">
        <v>2010</v>
      </c>
      <c r="W759">
        <f t="shared" si="45"/>
        <v>2003</v>
      </c>
      <c r="X759" s="21">
        <v>1</v>
      </c>
      <c r="Y759" s="21">
        <v>0</v>
      </c>
      <c r="Z759" s="21">
        <v>0</v>
      </c>
      <c r="AA759" s="21">
        <v>0</v>
      </c>
      <c r="AB759" s="21">
        <v>0</v>
      </c>
      <c r="AC759" s="21">
        <v>1</v>
      </c>
      <c r="AD759" s="21">
        <v>0</v>
      </c>
      <c r="AE759" s="21">
        <v>0</v>
      </c>
      <c r="AF759" s="21">
        <v>0</v>
      </c>
      <c r="AG759" s="21">
        <v>0</v>
      </c>
      <c r="AH759" s="21">
        <v>0</v>
      </c>
      <c r="AI759" s="21">
        <v>0</v>
      </c>
      <c r="AJ759" s="21">
        <v>0</v>
      </c>
      <c r="AK759" s="21">
        <v>0</v>
      </c>
      <c r="AL759" s="21">
        <v>0</v>
      </c>
      <c r="AM759" s="21">
        <v>1</v>
      </c>
      <c r="AN759" s="21">
        <v>0</v>
      </c>
      <c r="AO759" s="21">
        <v>1</v>
      </c>
      <c r="AP759" s="21">
        <v>0</v>
      </c>
      <c r="AQ759" s="21">
        <v>1</v>
      </c>
      <c r="AR759" s="21">
        <v>0</v>
      </c>
      <c r="AS759" s="21">
        <v>1</v>
      </c>
      <c r="AT759" s="21">
        <v>1</v>
      </c>
      <c r="AU759" s="21">
        <v>1</v>
      </c>
      <c r="AV759" s="21">
        <v>1</v>
      </c>
      <c r="AW759" s="21">
        <v>1</v>
      </c>
      <c r="AX759" s="21">
        <v>1</v>
      </c>
      <c r="AY759" s="21">
        <v>1</v>
      </c>
      <c r="AZ759" s="21">
        <v>1</v>
      </c>
      <c r="BA759" s="21">
        <v>1</v>
      </c>
      <c r="BB759" s="21">
        <v>1</v>
      </c>
      <c r="BC759" s="21">
        <v>1</v>
      </c>
      <c r="BD759" s="21">
        <v>1</v>
      </c>
      <c r="BE759" s="21">
        <v>1</v>
      </c>
      <c r="BF759" s="21">
        <v>0</v>
      </c>
      <c r="BG759" s="21">
        <v>1</v>
      </c>
      <c r="BH759" s="21">
        <v>0</v>
      </c>
      <c r="BI759" s="21">
        <v>0</v>
      </c>
      <c r="BJ759" s="21">
        <v>0</v>
      </c>
      <c r="BK759" s="21">
        <v>0</v>
      </c>
      <c r="BL759" s="21">
        <v>0</v>
      </c>
      <c r="BM759" s="21">
        <v>1</v>
      </c>
      <c r="BN759" s="21">
        <v>1</v>
      </c>
      <c r="BO759" s="21">
        <v>0</v>
      </c>
      <c r="BP759" s="21">
        <v>0</v>
      </c>
      <c r="BQ759" s="21">
        <v>0</v>
      </c>
      <c r="BR759" s="21">
        <v>0</v>
      </c>
      <c r="BS759" s="21">
        <v>0</v>
      </c>
    </row>
    <row r="760" spans="1:71">
      <c r="A760" s="20" t="s">
        <v>4800</v>
      </c>
      <c r="B760">
        <v>47</v>
      </c>
      <c r="C760">
        <v>328</v>
      </c>
      <c r="D760" s="21">
        <v>2013</v>
      </c>
      <c r="E760" s="23">
        <v>-0.89</v>
      </c>
      <c r="F760">
        <v>0.12</v>
      </c>
      <c r="G760" s="14">
        <f t="shared" si="47"/>
        <v>-7.416666666666667</v>
      </c>
      <c r="H760" s="27">
        <v>0</v>
      </c>
      <c r="I760" s="21">
        <v>1</v>
      </c>
      <c r="J760" s="21">
        <v>1132</v>
      </c>
      <c r="K760" s="21">
        <v>1</v>
      </c>
      <c r="L760" s="21">
        <v>0</v>
      </c>
      <c r="M760" s="21">
        <v>0</v>
      </c>
      <c r="N760" s="21">
        <v>0</v>
      </c>
      <c r="O760" s="21">
        <v>0</v>
      </c>
      <c r="P760">
        <v>0</v>
      </c>
      <c r="Q760" s="21">
        <v>0</v>
      </c>
      <c r="R760" s="21">
        <v>0</v>
      </c>
      <c r="S760" s="21">
        <v>0</v>
      </c>
      <c r="T760" s="21">
        <v>1</v>
      </c>
      <c r="U760" s="21">
        <v>1995</v>
      </c>
      <c r="V760" s="21">
        <v>2010</v>
      </c>
      <c r="W760">
        <f t="shared" si="45"/>
        <v>2003</v>
      </c>
      <c r="X760" s="21">
        <v>1</v>
      </c>
      <c r="Y760" s="21">
        <v>0</v>
      </c>
      <c r="Z760" s="21">
        <v>0</v>
      </c>
      <c r="AA760" s="21">
        <v>0</v>
      </c>
      <c r="AB760" s="21">
        <v>0</v>
      </c>
      <c r="AC760" s="21">
        <v>1</v>
      </c>
      <c r="AD760" s="21">
        <v>0</v>
      </c>
      <c r="AE760" s="21">
        <v>0</v>
      </c>
      <c r="AF760" s="21">
        <v>0</v>
      </c>
      <c r="AG760" s="21">
        <v>0</v>
      </c>
      <c r="AH760" s="21">
        <v>0</v>
      </c>
      <c r="AI760" s="21">
        <v>0</v>
      </c>
      <c r="AJ760" s="21">
        <v>0</v>
      </c>
      <c r="AK760" s="21">
        <v>0</v>
      </c>
      <c r="AL760" s="21">
        <v>0</v>
      </c>
      <c r="AM760" s="21">
        <v>1</v>
      </c>
      <c r="AN760" s="21">
        <v>0</v>
      </c>
      <c r="AO760" s="21">
        <v>1</v>
      </c>
      <c r="AP760" s="21">
        <v>0</v>
      </c>
      <c r="AQ760" s="21">
        <v>1</v>
      </c>
      <c r="AR760" s="21">
        <v>0</v>
      </c>
      <c r="AS760" s="21">
        <v>1</v>
      </c>
      <c r="AT760" s="21">
        <v>1</v>
      </c>
      <c r="AU760" s="21">
        <v>1</v>
      </c>
      <c r="AV760" s="21">
        <v>1</v>
      </c>
      <c r="AW760" s="21">
        <v>1</v>
      </c>
      <c r="AX760" s="21">
        <v>1</v>
      </c>
      <c r="AY760" s="21">
        <v>1</v>
      </c>
      <c r="AZ760" s="21">
        <v>1</v>
      </c>
      <c r="BA760" s="21">
        <v>1</v>
      </c>
      <c r="BB760" s="21">
        <v>1</v>
      </c>
      <c r="BC760" s="21">
        <v>1</v>
      </c>
      <c r="BD760" s="21">
        <v>1</v>
      </c>
      <c r="BE760" s="21">
        <v>1</v>
      </c>
      <c r="BF760" s="21">
        <v>0</v>
      </c>
      <c r="BG760" s="21">
        <v>1</v>
      </c>
      <c r="BH760" s="21">
        <v>0</v>
      </c>
      <c r="BI760" s="21">
        <v>0</v>
      </c>
      <c r="BJ760" s="21">
        <v>0</v>
      </c>
      <c r="BK760" s="21">
        <v>0</v>
      </c>
      <c r="BL760" s="21">
        <v>0</v>
      </c>
      <c r="BM760" s="21">
        <v>1</v>
      </c>
      <c r="BN760" s="21">
        <v>1</v>
      </c>
      <c r="BO760" s="21">
        <v>0</v>
      </c>
      <c r="BP760" s="21">
        <v>0</v>
      </c>
      <c r="BQ760" s="21">
        <v>0</v>
      </c>
      <c r="BR760" s="21">
        <v>0</v>
      </c>
      <c r="BS760" s="21">
        <v>0</v>
      </c>
    </row>
    <row r="761" spans="1:71">
      <c r="A761" s="20" t="s">
        <v>4903</v>
      </c>
      <c r="B761">
        <v>56</v>
      </c>
      <c r="C761">
        <v>375</v>
      </c>
      <c r="D761">
        <v>2013</v>
      </c>
      <c r="E761">
        <v>-1.2451000000000001</v>
      </c>
      <c r="F761">
        <v>0.2303</v>
      </c>
      <c r="G761">
        <f t="shared" si="47"/>
        <v>-5.4064264003473737</v>
      </c>
      <c r="H761" s="27">
        <v>0</v>
      </c>
      <c r="I761">
        <v>1</v>
      </c>
      <c r="J761">
        <v>4954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1</v>
      </c>
      <c r="R761" s="21">
        <v>0</v>
      </c>
      <c r="S761">
        <v>0</v>
      </c>
      <c r="T761">
        <v>1</v>
      </c>
      <c r="U761">
        <v>1981</v>
      </c>
      <c r="V761">
        <v>2006</v>
      </c>
      <c r="W761">
        <f t="shared" si="45"/>
        <v>1994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 s="21">
        <v>0</v>
      </c>
      <c r="AE761">
        <v>1</v>
      </c>
      <c r="AF761">
        <v>0</v>
      </c>
      <c r="AG761">
        <v>0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 s="21">
        <v>0</v>
      </c>
      <c r="AO761" s="21">
        <v>0</v>
      </c>
      <c r="AP761" s="21">
        <v>1</v>
      </c>
      <c r="AQ761">
        <v>1</v>
      </c>
      <c r="AR761">
        <v>0</v>
      </c>
      <c r="AS761">
        <v>0</v>
      </c>
      <c r="AT761">
        <v>0</v>
      </c>
      <c r="AU761">
        <v>1</v>
      </c>
      <c r="AV761">
        <v>0</v>
      </c>
      <c r="AW761">
        <v>0</v>
      </c>
      <c r="AX761">
        <v>0</v>
      </c>
      <c r="AY761">
        <v>0</v>
      </c>
      <c r="AZ761" s="21">
        <v>1</v>
      </c>
      <c r="BA761" s="21">
        <v>1</v>
      </c>
      <c r="BB761" s="21">
        <v>1</v>
      </c>
      <c r="BC761">
        <v>0</v>
      </c>
      <c r="BD761">
        <v>1</v>
      </c>
      <c r="BE761">
        <v>0</v>
      </c>
      <c r="BF761">
        <v>1</v>
      </c>
      <c r="BG761" s="21">
        <v>0</v>
      </c>
      <c r="BH761">
        <v>0</v>
      </c>
      <c r="BI761" s="21">
        <v>0</v>
      </c>
      <c r="BJ761" s="21">
        <v>0</v>
      </c>
      <c r="BK761" s="21">
        <v>0</v>
      </c>
      <c r="BL761" s="21">
        <v>0</v>
      </c>
      <c r="BM761" s="21">
        <v>0</v>
      </c>
      <c r="BN761" s="21">
        <v>0</v>
      </c>
      <c r="BO761" s="21">
        <v>0</v>
      </c>
      <c r="BP761" s="21">
        <v>1</v>
      </c>
      <c r="BQ761" s="21">
        <v>0</v>
      </c>
      <c r="BR761" s="21">
        <v>0</v>
      </c>
      <c r="BS761" s="21">
        <v>0</v>
      </c>
    </row>
    <row r="762" spans="1:71">
      <c r="A762" s="20" t="s">
        <v>4903</v>
      </c>
      <c r="B762">
        <v>56</v>
      </c>
      <c r="C762">
        <v>376</v>
      </c>
      <c r="D762">
        <v>2013</v>
      </c>
      <c r="E762">
        <v>-1.3171999999999999</v>
      </c>
      <c r="F762">
        <v>0.25219999999999998</v>
      </c>
      <c r="G762">
        <f t="shared" si="47"/>
        <v>-5.2228390166534497</v>
      </c>
      <c r="H762" s="27">
        <v>0</v>
      </c>
      <c r="I762">
        <v>1</v>
      </c>
      <c r="J762">
        <v>5025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 s="21">
        <v>0</v>
      </c>
      <c r="S762">
        <v>1</v>
      </c>
      <c r="T762">
        <v>1</v>
      </c>
      <c r="U762">
        <v>1981</v>
      </c>
      <c r="V762">
        <v>2006</v>
      </c>
      <c r="W762">
        <f t="shared" si="45"/>
        <v>1994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 s="21">
        <v>0</v>
      </c>
      <c r="AE762">
        <v>1</v>
      </c>
      <c r="AF762">
        <v>0</v>
      </c>
      <c r="AG762">
        <v>0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 s="21">
        <v>0</v>
      </c>
      <c r="AO762" s="21">
        <v>0</v>
      </c>
      <c r="AP762" s="21">
        <v>1</v>
      </c>
      <c r="AQ762">
        <v>1</v>
      </c>
      <c r="AR762">
        <v>0</v>
      </c>
      <c r="AS762">
        <v>0</v>
      </c>
      <c r="AT762">
        <v>0</v>
      </c>
      <c r="AU762">
        <v>1</v>
      </c>
      <c r="AV762">
        <v>0</v>
      </c>
      <c r="AW762">
        <v>0</v>
      </c>
      <c r="AX762">
        <v>0</v>
      </c>
      <c r="AY762">
        <v>0</v>
      </c>
      <c r="AZ762" s="21">
        <v>1</v>
      </c>
      <c r="BA762" s="21">
        <v>1</v>
      </c>
      <c r="BB762" s="21">
        <v>1</v>
      </c>
      <c r="BC762">
        <v>0</v>
      </c>
      <c r="BD762">
        <v>1</v>
      </c>
      <c r="BE762">
        <v>0</v>
      </c>
      <c r="BF762">
        <v>1</v>
      </c>
      <c r="BG762" s="21">
        <v>0</v>
      </c>
      <c r="BH762">
        <v>0</v>
      </c>
      <c r="BI762" s="21">
        <v>0</v>
      </c>
      <c r="BJ762" s="21">
        <v>0</v>
      </c>
      <c r="BK762" s="21">
        <v>0</v>
      </c>
      <c r="BL762" s="21">
        <v>0</v>
      </c>
      <c r="BM762" s="21">
        <v>0</v>
      </c>
      <c r="BN762" s="21">
        <v>0</v>
      </c>
      <c r="BO762" s="21">
        <v>0</v>
      </c>
      <c r="BP762" s="21">
        <v>1</v>
      </c>
      <c r="BQ762" s="21">
        <v>0</v>
      </c>
      <c r="BR762" s="21">
        <v>0</v>
      </c>
      <c r="BS762" s="21">
        <v>0</v>
      </c>
    </row>
    <row r="763" spans="1:71">
      <c r="A763" s="20" t="s">
        <v>4884</v>
      </c>
      <c r="B763">
        <v>70</v>
      </c>
      <c r="C763">
        <v>454</v>
      </c>
      <c r="D763">
        <v>2013</v>
      </c>
      <c r="E763">
        <v>-1.3740000000000001</v>
      </c>
      <c r="F763">
        <f>E763/G763</f>
        <v>7.3342585673107719E-3</v>
      </c>
      <c r="G763">
        <v>-187.34</v>
      </c>
      <c r="H763" s="27">
        <v>0</v>
      </c>
      <c r="I763">
        <v>1</v>
      </c>
      <c r="J763">
        <v>104271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1</v>
      </c>
      <c r="U763">
        <v>1995</v>
      </c>
      <c r="V763">
        <v>2008</v>
      </c>
      <c r="W763">
        <f t="shared" si="45"/>
        <v>2002</v>
      </c>
      <c r="X763">
        <v>1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 s="21">
        <v>1</v>
      </c>
      <c r="AO763" s="21">
        <v>1</v>
      </c>
      <c r="AP763" s="21">
        <v>1</v>
      </c>
      <c r="AQ763">
        <v>0</v>
      </c>
      <c r="AR763">
        <v>1</v>
      </c>
      <c r="AS763">
        <v>0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 s="21">
        <v>1</v>
      </c>
      <c r="BA763" s="21">
        <v>1</v>
      </c>
      <c r="BB763" s="21">
        <v>1</v>
      </c>
      <c r="BC763">
        <v>1</v>
      </c>
      <c r="BD763">
        <v>1</v>
      </c>
      <c r="BE763">
        <v>1</v>
      </c>
      <c r="BF763">
        <v>0</v>
      </c>
      <c r="BG763">
        <v>1</v>
      </c>
      <c r="BH763">
        <v>0</v>
      </c>
      <c r="BI763">
        <v>0</v>
      </c>
      <c r="BJ763">
        <v>1</v>
      </c>
      <c r="BK763">
        <v>1</v>
      </c>
      <c r="BL763">
        <v>0</v>
      </c>
      <c r="BM763">
        <v>1</v>
      </c>
      <c r="BN763">
        <v>1</v>
      </c>
      <c r="BO763">
        <v>1</v>
      </c>
      <c r="BP763">
        <v>0</v>
      </c>
      <c r="BQ763">
        <v>0</v>
      </c>
      <c r="BR763" s="21">
        <v>1</v>
      </c>
      <c r="BS763" s="21">
        <v>1</v>
      </c>
    </row>
    <row r="764" spans="1:71">
      <c r="A764" s="20" t="s">
        <v>4884</v>
      </c>
      <c r="B764">
        <v>70</v>
      </c>
      <c r="C764">
        <v>455</v>
      </c>
      <c r="D764">
        <v>2013</v>
      </c>
      <c r="E764">
        <v>-1.262</v>
      </c>
      <c r="F764">
        <f>E764/G764</f>
        <v>1.4897886908275293E-2</v>
      </c>
      <c r="G764">
        <v>-84.71</v>
      </c>
      <c r="H764" s="27">
        <v>0</v>
      </c>
      <c r="I764">
        <v>1</v>
      </c>
      <c r="J764">
        <v>27493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1</v>
      </c>
      <c r="U764">
        <v>1995</v>
      </c>
      <c r="V764">
        <v>2008</v>
      </c>
      <c r="W764">
        <f t="shared" si="45"/>
        <v>2002</v>
      </c>
      <c r="X764">
        <v>1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1</v>
      </c>
      <c r="AI764">
        <v>1</v>
      </c>
      <c r="AJ764">
        <v>0</v>
      </c>
      <c r="AK764">
        <v>1</v>
      </c>
      <c r="AL764">
        <v>1</v>
      </c>
      <c r="AM764">
        <v>1</v>
      </c>
      <c r="AN764" s="21">
        <v>0</v>
      </c>
      <c r="AO764" s="21">
        <v>0</v>
      </c>
      <c r="AP764" s="21">
        <v>1</v>
      </c>
      <c r="AQ764">
        <v>0</v>
      </c>
      <c r="AR764">
        <v>1</v>
      </c>
      <c r="AS764">
        <v>0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 s="21">
        <v>0</v>
      </c>
      <c r="BA764" s="21">
        <v>0</v>
      </c>
      <c r="BB764" s="21">
        <v>1</v>
      </c>
      <c r="BC764">
        <v>1</v>
      </c>
      <c r="BD764">
        <v>1</v>
      </c>
      <c r="BE764">
        <v>1</v>
      </c>
      <c r="BF764">
        <v>0</v>
      </c>
      <c r="BG764">
        <v>1</v>
      </c>
      <c r="BH764">
        <v>0</v>
      </c>
      <c r="BI764">
        <v>0</v>
      </c>
      <c r="BJ764">
        <v>1</v>
      </c>
      <c r="BK764">
        <v>1</v>
      </c>
      <c r="BL764">
        <v>0</v>
      </c>
      <c r="BM764">
        <v>1</v>
      </c>
      <c r="BN764">
        <v>1</v>
      </c>
      <c r="BO764">
        <v>1</v>
      </c>
      <c r="BP764">
        <v>0</v>
      </c>
      <c r="BQ764">
        <v>0</v>
      </c>
      <c r="BR764" s="21">
        <v>1</v>
      </c>
      <c r="BS764" s="21">
        <v>1</v>
      </c>
    </row>
    <row r="765" spans="1:71">
      <c r="A765" s="20" t="s">
        <v>4884</v>
      </c>
      <c r="B765">
        <v>70</v>
      </c>
      <c r="C765">
        <v>456</v>
      </c>
      <c r="D765">
        <v>2013</v>
      </c>
      <c r="E765">
        <v>-1.49</v>
      </c>
      <c r="F765">
        <f>E765/G765</f>
        <v>2.0296962266721157E-2</v>
      </c>
      <c r="G765">
        <v>-73.41</v>
      </c>
      <c r="H765" s="27">
        <v>0</v>
      </c>
      <c r="I765">
        <v>1</v>
      </c>
      <c r="J765">
        <v>18701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1</v>
      </c>
      <c r="U765">
        <v>1995</v>
      </c>
      <c r="V765">
        <v>2008</v>
      </c>
      <c r="W765">
        <f t="shared" si="45"/>
        <v>2002</v>
      </c>
      <c r="X765">
        <v>1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0</v>
      </c>
      <c r="AN765" s="21">
        <v>1</v>
      </c>
      <c r="AO765" s="21">
        <v>1</v>
      </c>
      <c r="AP765" s="21">
        <v>0</v>
      </c>
      <c r="AQ765">
        <v>0</v>
      </c>
      <c r="AR765">
        <v>1</v>
      </c>
      <c r="AS765">
        <v>0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 s="21">
        <v>1</v>
      </c>
      <c r="BA765" s="21">
        <v>1</v>
      </c>
      <c r="BB765" s="21">
        <v>0</v>
      </c>
      <c r="BC765">
        <v>1</v>
      </c>
      <c r="BD765">
        <v>1</v>
      </c>
      <c r="BE765">
        <v>1</v>
      </c>
      <c r="BF765">
        <v>0</v>
      </c>
      <c r="BG765">
        <v>1</v>
      </c>
      <c r="BH765">
        <v>0</v>
      </c>
      <c r="BI765">
        <v>0</v>
      </c>
      <c r="BJ765">
        <v>1</v>
      </c>
      <c r="BK765">
        <v>1</v>
      </c>
      <c r="BL765">
        <v>0</v>
      </c>
      <c r="BM765">
        <v>1</v>
      </c>
      <c r="BN765">
        <v>1</v>
      </c>
      <c r="BO765">
        <v>1</v>
      </c>
      <c r="BP765">
        <v>0</v>
      </c>
      <c r="BQ765">
        <v>0</v>
      </c>
      <c r="BR765" s="21">
        <v>1</v>
      </c>
      <c r="BS765" s="21">
        <v>1</v>
      </c>
    </row>
    <row r="766" spans="1:71">
      <c r="A766" s="20" t="s">
        <v>4884</v>
      </c>
      <c r="B766">
        <v>70</v>
      </c>
      <c r="C766">
        <v>457</v>
      </c>
      <c r="D766">
        <v>2013</v>
      </c>
      <c r="E766">
        <v>-1.37</v>
      </c>
      <c r="F766">
        <f>E766/G766</f>
        <v>3.7981702245633492E-2</v>
      </c>
      <c r="G766">
        <v>-36.07</v>
      </c>
      <c r="H766" s="27">
        <v>0</v>
      </c>
      <c r="I766">
        <v>1</v>
      </c>
      <c r="J766">
        <v>5593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1</v>
      </c>
      <c r="U766">
        <v>1995</v>
      </c>
      <c r="V766">
        <v>2008</v>
      </c>
      <c r="W766">
        <f t="shared" si="45"/>
        <v>2002</v>
      </c>
      <c r="X766">
        <v>0</v>
      </c>
      <c r="Y766">
        <v>1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1</v>
      </c>
      <c r="AK766">
        <v>0</v>
      </c>
      <c r="AL766">
        <v>0</v>
      </c>
      <c r="AM766">
        <v>0</v>
      </c>
      <c r="AN766" s="21">
        <v>1</v>
      </c>
      <c r="AO766" s="21">
        <v>1</v>
      </c>
      <c r="AP766" s="21">
        <v>0</v>
      </c>
      <c r="AQ766">
        <v>0</v>
      </c>
      <c r="AR766">
        <v>1</v>
      </c>
      <c r="AS766">
        <v>0</v>
      </c>
      <c r="AT766">
        <v>0</v>
      </c>
      <c r="AU766">
        <v>0</v>
      </c>
      <c r="AV766">
        <v>1</v>
      </c>
      <c r="AW766">
        <v>0</v>
      </c>
      <c r="AX766">
        <v>0</v>
      </c>
      <c r="AY766">
        <v>0</v>
      </c>
      <c r="AZ766" s="21">
        <v>1</v>
      </c>
      <c r="BA766" s="21">
        <v>1</v>
      </c>
      <c r="BB766" s="21">
        <v>0</v>
      </c>
      <c r="BC766">
        <v>1</v>
      </c>
      <c r="BD766">
        <v>1</v>
      </c>
      <c r="BE766">
        <v>1</v>
      </c>
      <c r="BF766">
        <v>0</v>
      </c>
      <c r="BG766">
        <v>1</v>
      </c>
      <c r="BH766">
        <v>0</v>
      </c>
      <c r="BI766">
        <v>0</v>
      </c>
      <c r="BJ766">
        <v>1</v>
      </c>
      <c r="BK766">
        <v>1</v>
      </c>
      <c r="BL766">
        <v>0</v>
      </c>
      <c r="BM766">
        <v>1</v>
      </c>
      <c r="BN766">
        <v>1</v>
      </c>
      <c r="BO766">
        <v>1</v>
      </c>
      <c r="BP766">
        <v>0</v>
      </c>
      <c r="BQ766">
        <v>0</v>
      </c>
      <c r="BR766" s="21">
        <v>1</v>
      </c>
      <c r="BS766" s="21">
        <v>1</v>
      </c>
    </row>
    <row r="767" spans="1:71">
      <c r="A767" s="18" t="s">
        <v>4884</v>
      </c>
      <c r="B767">
        <v>70</v>
      </c>
      <c r="C767">
        <v>458</v>
      </c>
      <c r="D767">
        <v>2013</v>
      </c>
      <c r="E767">
        <v>-1.0580000000000001</v>
      </c>
      <c r="F767">
        <f>E767/G767</f>
        <v>2.7725366876310276E-2</v>
      </c>
      <c r="G767">
        <v>-38.159999999999997</v>
      </c>
      <c r="H767" s="27">
        <v>0</v>
      </c>
      <c r="I767">
        <v>1</v>
      </c>
      <c r="J767">
        <v>13108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1</v>
      </c>
      <c r="U767">
        <v>1995</v>
      </c>
      <c r="V767">
        <v>2008</v>
      </c>
      <c r="W767">
        <f t="shared" si="45"/>
        <v>2002</v>
      </c>
      <c r="X767">
        <v>1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0</v>
      </c>
      <c r="AM767">
        <v>0</v>
      </c>
      <c r="AN767" s="21">
        <v>1</v>
      </c>
      <c r="AO767" s="21">
        <v>1</v>
      </c>
      <c r="AP767" s="21">
        <v>1</v>
      </c>
      <c r="AQ767">
        <v>0</v>
      </c>
      <c r="AR767">
        <v>1</v>
      </c>
      <c r="AS767">
        <v>0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 s="21">
        <v>1</v>
      </c>
      <c r="BA767" s="21">
        <v>1</v>
      </c>
      <c r="BB767" s="21">
        <v>0</v>
      </c>
      <c r="BC767">
        <v>1</v>
      </c>
      <c r="BD767">
        <v>1</v>
      </c>
      <c r="BE767">
        <v>1</v>
      </c>
      <c r="BF767">
        <v>0</v>
      </c>
      <c r="BG767">
        <v>1</v>
      </c>
      <c r="BH767">
        <v>0</v>
      </c>
      <c r="BI767">
        <v>0</v>
      </c>
      <c r="BJ767">
        <v>1</v>
      </c>
      <c r="BK767">
        <v>1</v>
      </c>
      <c r="BL767">
        <v>0</v>
      </c>
      <c r="BM767">
        <v>1</v>
      </c>
      <c r="BN767">
        <v>1</v>
      </c>
      <c r="BO767">
        <v>1</v>
      </c>
      <c r="BP767">
        <v>0</v>
      </c>
      <c r="BQ767">
        <v>0</v>
      </c>
      <c r="BR767" s="21">
        <v>1</v>
      </c>
      <c r="BS767" s="21">
        <v>1</v>
      </c>
    </row>
    <row r="768" spans="1:71">
      <c r="A768" s="18" t="s">
        <v>5190</v>
      </c>
      <c r="B768">
        <v>90</v>
      </c>
      <c r="C768">
        <v>554</v>
      </c>
      <c r="D768">
        <v>2013</v>
      </c>
      <c r="E768">
        <v>-2.29</v>
      </c>
      <c r="F768">
        <v>0.28499999999999998</v>
      </c>
      <c r="G768">
        <f>E768/F768</f>
        <v>-8.0350877192982466</v>
      </c>
      <c r="H768" s="27">
        <v>0</v>
      </c>
      <c r="I768">
        <v>1</v>
      </c>
      <c r="J768">
        <f>59*22</f>
        <v>1298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1990</v>
      </c>
      <c r="V768">
        <v>2011</v>
      </c>
      <c r="W768">
        <f t="shared" si="45"/>
        <v>2001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1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 s="21">
        <v>1</v>
      </c>
      <c r="AO768" s="21">
        <v>1</v>
      </c>
      <c r="AP768" s="21">
        <v>1</v>
      </c>
      <c r="AQ768">
        <v>1</v>
      </c>
      <c r="AR768">
        <v>1</v>
      </c>
      <c r="AS768">
        <v>0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 s="21">
        <v>1</v>
      </c>
      <c r="BA768" s="21">
        <v>1</v>
      </c>
      <c r="BB768" s="21">
        <v>1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 s="21">
        <v>0</v>
      </c>
      <c r="BS768" s="21">
        <v>0</v>
      </c>
    </row>
    <row r="769" spans="1:71">
      <c r="A769" s="18" t="s">
        <v>5190</v>
      </c>
      <c r="B769">
        <v>90</v>
      </c>
      <c r="C769">
        <v>555</v>
      </c>
      <c r="D769">
        <v>2013</v>
      </c>
      <c r="E769">
        <v>-0.52100000000000002</v>
      </c>
      <c r="F769">
        <v>0.28499999999999998</v>
      </c>
      <c r="G769">
        <f>E769/F769</f>
        <v>-1.8280701754385966</v>
      </c>
      <c r="H769" s="27">
        <v>0</v>
      </c>
      <c r="I769">
        <v>1</v>
      </c>
      <c r="J769">
        <f>59*22</f>
        <v>1298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1990</v>
      </c>
      <c r="V769">
        <v>2011</v>
      </c>
      <c r="W769">
        <f t="shared" si="45"/>
        <v>2001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1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 s="21">
        <v>1</v>
      </c>
      <c r="AO769" s="21">
        <v>1</v>
      </c>
      <c r="AP769" s="21">
        <v>1</v>
      </c>
      <c r="AQ769">
        <v>1</v>
      </c>
      <c r="AR769">
        <v>1</v>
      </c>
      <c r="AS769">
        <v>0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 s="21">
        <v>1</v>
      </c>
      <c r="BA769" s="21">
        <v>1</v>
      </c>
      <c r="BB769" s="21">
        <v>1</v>
      </c>
      <c r="BC769">
        <v>0</v>
      </c>
      <c r="BD769">
        <v>1</v>
      </c>
      <c r="BE769">
        <v>1</v>
      </c>
      <c r="BF769">
        <v>1</v>
      </c>
      <c r="BG769">
        <v>1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 s="21">
        <v>0</v>
      </c>
      <c r="BS769" s="21">
        <v>0</v>
      </c>
    </row>
    <row r="770" spans="1:71">
      <c r="A770" s="18" t="s">
        <v>5190</v>
      </c>
      <c r="B770">
        <v>90</v>
      </c>
      <c r="C770">
        <v>556</v>
      </c>
      <c r="D770">
        <v>2013</v>
      </c>
      <c r="E770">
        <v>-0.95</v>
      </c>
      <c r="F770">
        <v>0.64600000000000002</v>
      </c>
      <c r="G770">
        <f>E770/F770</f>
        <v>-1.4705882352941175</v>
      </c>
      <c r="H770" s="27">
        <v>0</v>
      </c>
      <c r="I770">
        <v>1</v>
      </c>
      <c r="J770">
        <f>59*11</f>
        <v>649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1990</v>
      </c>
      <c r="V770">
        <v>2000</v>
      </c>
      <c r="W770">
        <f t="shared" si="45"/>
        <v>1995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1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0</v>
      </c>
      <c r="AN770" s="21">
        <v>1</v>
      </c>
      <c r="AO770" s="21">
        <v>1</v>
      </c>
      <c r="AP770" s="21">
        <v>1</v>
      </c>
      <c r="AQ770">
        <v>1</v>
      </c>
      <c r="AR770">
        <v>1</v>
      </c>
      <c r="AS770">
        <v>0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 s="21">
        <v>1</v>
      </c>
      <c r="BA770" s="21">
        <v>1</v>
      </c>
      <c r="BB770" s="21">
        <v>1</v>
      </c>
      <c r="BC770">
        <v>0</v>
      </c>
      <c r="BD770">
        <v>1</v>
      </c>
      <c r="BE770">
        <v>1</v>
      </c>
      <c r="BF770">
        <v>1</v>
      </c>
      <c r="BG770">
        <v>1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 s="21">
        <v>0</v>
      </c>
      <c r="BS770" s="21">
        <v>0</v>
      </c>
    </row>
    <row r="771" spans="1:71">
      <c r="A771" s="18" t="s">
        <v>5190</v>
      </c>
      <c r="B771">
        <v>90</v>
      </c>
      <c r="C771">
        <v>557</v>
      </c>
      <c r="D771">
        <v>2013</v>
      </c>
      <c r="E771">
        <v>-4.7E-2</v>
      </c>
      <c r="F771">
        <v>0.70199999999999996</v>
      </c>
      <c r="G771">
        <f>E771/F771</f>
        <v>-6.6951566951566954E-2</v>
      </c>
      <c r="H771" s="27">
        <v>0</v>
      </c>
      <c r="I771">
        <v>1</v>
      </c>
      <c r="J771">
        <f>59*11</f>
        <v>649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2001</v>
      </c>
      <c r="V771">
        <v>2011</v>
      </c>
      <c r="W771">
        <f t="shared" si="45"/>
        <v>2006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1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0</v>
      </c>
      <c r="AN771" s="21">
        <v>1</v>
      </c>
      <c r="AO771" s="21">
        <v>1</v>
      </c>
      <c r="AP771" s="21">
        <v>1</v>
      </c>
      <c r="AQ771">
        <v>1</v>
      </c>
      <c r="AR771">
        <v>1</v>
      </c>
      <c r="AS771">
        <v>0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 s="21">
        <v>1</v>
      </c>
      <c r="BA771" s="21">
        <v>1</v>
      </c>
      <c r="BB771" s="21">
        <v>1</v>
      </c>
      <c r="BC771">
        <v>0</v>
      </c>
      <c r="BD771">
        <v>1</v>
      </c>
      <c r="BE771">
        <v>1</v>
      </c>
      <c r="BF771">
        <v>1</v>
      </c>
      <c r="BG771">
        <v>1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 s="21">
        <v>0</v>
      </c>
      <c r="BS771" s="21">
        <v>0</v>
      </c>
    </row>
    <row r="772" spans="1:71">
      <c r="A772" s="18" t="s">
        <v>5027</v>
      </c>
      <c r="B772">
        <v>97</v>
      </c>
      <c r="C772">
        <v>578</v>
      </c>
      <c r="D772">
        <v>2013</v>
      </c>
      <c r="E772">
        <v>-0.78</v>
      </c>
      <c r="F772">
        <f t="shared" ref="F772:F787" si="48">E772/G772</f>
        <v>0.27758007117437722</v>
      </c>
      <c r="G772">
        <v>-2.81</v>
      </c>
      <c r="H772" s="27">
        <v>1</v>
      </c>
      <c r="I772">
        <v>1</v>
      </c>
      <c r="J772">
        <v>11449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2009</v>
      </c>
      <c r="V772">
        <v>2009</v>
      </c>
      <c r="W772">
        <f t="shared" si="45"/>
        <v>2009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1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 s="21">
        <v>0</v>
      </c>
      <c r="AO772" s="21">
        <v>0</v>
      </c>
      <c r="AP772" s="21">
        <v>1</v>
      </c>
      <c r="AQ772">
        <v>0</v>
      </c>
      <c r="AR772">
        <v>1</v>
      </c>
      <c r="AS772">
        <v>1</v>
      </c>
      <c r="AT772">
        <v>1</v>
      </c>
      <c r="AU772">
        <v>0</v>
      </c>
      <c r="AV772">
        <v>0</v>
      </c>
      <c r="AW772">
        <v>0</v>
      </c>
      <c r="AX772">
        <v>0</v>
      </c>
      <c r="AY772">
        <v>0</v>
      </c>
      <c r="AZ772" s="21">
        <v>0</v>
      </c>
      <c r="BA772" s="21">
        <v>0</v>
      </c>
      <c r="BB772" s="21">
        <v>1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1</v>
      </c>
      <c r="BM772">
        <v>0</v>
      </c>
      <c r="BN772">
        <v>0</v>
      </c>
      <c r="BO772">
        <v>0</v>
      </c>
      <c r="BP772">
        <v>0</v>
      </c>
      <c r="BQ772">
        <v>0</v>
      </c>
      <c r="BR772" s="21">
        <v>1</v>
      </c>
      <c r="BS772" s="21">
        <v>0</v>
      </c>
    </row>
    <row r="773" spans="1:71">
      <c r="A773" s="18" t="s">
        <v>5027</v>
      </c>
      <c r="B773">
        <v>97</v>
      </c>
      <c r="C773">
        <v>579</v>
      </c>
      <c r="D773">
        <v>2013</v>
      </c>
      <c r="E773">
        <v>-0.79</v>
      </c>
      <c r="F773">
        <f t="shared" si="48"/>
        <v>0.28113879003558717</v>
      </c>
      <c r="G773">
        <v>-2.81</v>
      </c>
      <c r="H773" s="27">
        <v>1</v>
      </c>
      <c r="I773">
        <v>1</v>
      </c>
      <c r="J773">
        <v>11449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2009</v>
      </c>
      <c r="V773">
        <v>2009</v>
      </c>
      <c r="W773">
        <f t="shared" si="45"/>
        <v>2009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1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 s="21">
        <v>0</v>
      </c>
      <c r="AO773" s="21">
        <v>0</v>
      </c>
      <c r="AP773" s="21">
        <v>1</v>
      </c>
      <c r="AQ773">
        <v>0</v>
      </c>
      <c r="AR773">
        <v>1</v>
      </c>
      <c r="AS773">
        <v>1</v>
      </c>
      <c r="AT773">
        <v>1</v>
      </c>
      <c r="AU773">
        <v>0</v>
      </c>
      <c r="AV773">
        <v>0</v>
      </c>
      <c r="AW773">
        <v>0</v>
      </c>
      <c r="AX773">
        <v>0</v>
      </c>
      <c r="AY773">
        <v>0</v>
      </c>
      <c r="AZ773" s="21">
        <v>0</v>
      </c>
      <c r="BA773" s="21">
        <v>0</v>
      </c>
      <c r="BB773" s="21">
        <v>1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1</v>
      </c>
      <c r="BM773">
        <v>0</v>
      </c>
      <c r="BN773">
        <v>0</v>
      </c>
      <c r="BO773">
        <v>0</v>
      </c>
      <c r="BP773">
        <v>0</v>
      </c>
      <c r="BQ773">
        <v>0</v>
      </c>
      <c r="BR773" s="21">
        <v>1</v>
      </c>
      <c r="BS773" s="21">
        <v>0</v>
      </c>
    </row>
    <row r="774" spans="1:71">
      <c r="A774" s="18" t="s">
        <v>5027</v>
      </c>
      <c r="B774">
        <v>97</v>
      </c>
      <c r="C774">
        <v>580</v>
      </c>
      <c r="D774">
        <v>2013</v>
      </c>
      <c r="E774">
        <v>-0.79</v>
      </c>
      <c r="F774">
        <f t="shared" si="48"/>
        <v>0.28113879003558717</v>
      </c>
      <c r="G774">
        <v>-2.81</v>
      </c>
      <c r="H774" s="27">
        <v>1</v>
      </c>
      <c r="I774">
        <v>1</v>
      </c>
      <c r="J774">
        <v>11449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2009</v>
      </c>
      <c r="V774">
        <v>2009</v>
      </c>
      <c r="W774">
        <f t="shared" si="45"/>
        <v>2009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1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 s="21">
        <v>0</v>
      </c>
      <c r="AO774" s="21">
        <v>0</v>
      </c>
      <c r="AP774" s="21">
        <v>1</v>
      </c>
      <c r="AQ774">
        <v>0</v>
      </c>
      <c r="AR774">
        <v>1</v>
      </c>
      <c r="AS774">
        <v>1</v>
      </c>
      <c r="AT774">
        <v>1</v>
      </c>
      <c r="AU774">
        <v>0</v>
      </c>
      <c r="AV774">
        <v>0</v>
      </c>
      <c r="AW774">
        <v>0</v>
      </c>
      <c r="AX774">
        <v>0</v>
      </c>
      <c r="AY774">
        <v>0</v>
      </c>
      <c r="AZ774" s="21">
        <v>0</v>
      </c>
      <c r="BA774" s="21">
        <v>0</v>
      </c>
      <c r="BB774" s="21">
        <v>1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1</v>
      </c>
      <c r="BM774">
        <v>0</v>
      </c>
      <c r="BN774">
        <v>0</v>
      </c>
      <c r="BO774">
        <v>0</v>
      </c>
      <c r="BP774">
        <v>0</v>
      </c>
      <c r="BQ774">
        <v>0</v>
      </c>
      <c r="BR774" s="21">
        <v>1</v>
      </c>
      <c r="BS774" s="21">
        <v>0</v>
      </c>
    </row>
    <row r="775" spans="1:71">
      <c r="A775" s="18" t="s">
        <v>5027</v>
      </c>
      <c r="B775">
        <v>97</v>
      </c>
      <c r="C775">
        <v>581</v>
      </c>
      <c r="D775">
        <v>2013</v>
      </c>
      <c r="E775">
        <v>-0.79</v>
      </c>
      <c r="F775">
        <f t="shared" si="48"/>
        <v>0.28113879003558717</v>
      </c>
      <c r="G775">
        <v>-2.81</v>
      </c>
      <c r="H775" s="27">
        <v>1</v>
      </c>
      <c r="I775">
        <v>1</v>
      </c>
      <c r="J775">
        <v>11449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2009</v>
      </c>
      <c r="V775">
        <v>2009</v>
      </c>
      <c r="W775">
        <f t="shared" si="45"/>
        <v>2009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1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 s="21">
        <v>0</v>
      </c>
      <c r="AO775" s="21">
        <v>0</v>
      </c>
      <c r="AP775" s="21">
        <v>1</v>
      </c>
      <c r="AQ775">
        <v>0</v>
      </c>
      <c r="AR775">
        <v>1</v>
      </c>
      <c r="AS775">
        <v>1</v>
      </c>
      <c r="AT775">
        <v>1</v>
      </c>
      <c r="AU775">
        <v>0</v>
      </c>
      <c r="AV775">
        <v>0</v>
      </c>
      <c r="AW775">
        <v>0</v>
      </c>
      <c r="AX775">
        <v>0</v>
      </c>
      <c r="AY775">
        <v>0</v>
      </c>
      <c r="AZ775" s="21">
        <v>0</v>
      </c>
      <c r="BA775" s="21">
        <v>0</v>
      </c>
      <c r="BB775" s="21">
        <v>1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1</v>
      </c>
      <c r="BM775">
        <v>0</v>
      </c>
      <c r="BN775">
        <v>0</v>
      </c>
      <c r="BO775">
        <v>0</v>
      </c>
      <c r="BP775">
        <v>0</v>
      </c>
      <c r="BQ775">
        <v>0</v>
      </c>
      <c r="BR775" s="21">
        <v>1</v>
      </c>
      <c r="BS775" s="21">
        <v>0</v>
      </c>
    </row>
    <row r="776" spans="1:71">
      <c r="A776" s="47" t="s">
        <v>5195</v>
      </c>
      <c r="B776">
        <v>27</v>
      </c>
      <c r="C776">
        <v>166</v>
      </c>
      <c r="D776" s="21">
        <v>2012</v>
      </c>
      <c r="E776" s="23">
        <v>-0.95</v>
      </c>
      <c r="F776" s="14">
        <f t="shared" si="48"/>
        <v>8.9538171536286529E-2</v>
      </c>
      <c r="G776" s="23">
        <v>-10.61</v>
      </c>
      <c r="H776" s="27">
        <v>0</v>
      </c>
      <c r="I776" s="21">
        <v>1</v>
      </c>
      <c r="J776" s="21">
        <v>803</v>
      </c>
      <c r="K776" s="21">
        <v>1</v>
      </c>
      <c r="L776" s="21">
        <v>0</v>
      </c>
      <c r="M776" s="21">
        <v>0</v>
      </c>
      <c r="N776" s="21">
        <v>0</v>
      </c>
      <c r="O776" s="21">
        <v>0</v>
      </c>
      <c r="P776">
        <v>0</v>
      </c>
      <c r="Q776" s="21">
        <v>0</v>
      </c>
      <c r="R776" s="21">
        <v>0</v>
      </c>
      <c r="S776" s="21">
        <v>0</v>
      </c>
      <c r="T776" s="21">
        <v>1</v>
      </c>
      <c r="U776" s="21">
        <v>2001</v>
      </c>
      <c r="V776" s="21">
        <v>2005</v>
      </c>
      <c r="W776">
        <f t="shared" si="45"/>
        <v>2003</v>
      </c>
      <c r="X776" s="21">
        <v>1</v>
      </c>
      <c r="Y776" s="21">
        <v>0</v>
      </c>
      <c r="Z776" s="21">
        <v>0</v>
      </c>
      <c r="AA776" s="21">
        <v>0</v>
      </c>
      <c r="AB776" s="21">
        <v>0</v>
      </c>
      <c r="AC776" s="21">
        <v>1</v>
      </c>
      <c r="AD776" s="21">
        <v>0</v>
      </c>
      <c r="AE776" s="21">
        <v>1</v>
      </c>
      <c r="AF776" s="21">
        <v>0</v>
      </c>
      <c r="AG776" s="21">
        <v>0</v>
      </c>
      <c r="AH776" s="21">
        <v>0</v>
      </c>
      <c r="AI776" s="21">
        <v>0</v>
      </c>
      <c r="AJ776" s="21">
        <v>0</v>
      </c>
      <c r="AK776" s="21">
        <v>1</v>
      </c>
      <c r="AL776" s="21">
        <v>0</v>
      </c>
      <c r="AM776" s="21">
        <v>0</v>
      </c>
      <c r="AN776" s="21">
        <v>0</v>
      </c>
      <c r="AO776" s="21">
        <v>0</v>
      </c>
      <c r="AP776" s="21">
        <v>1</v>
      </c>
      <c r="AQ776" s="21">
        <v>1</v>
      </c>
      <c r="AR776" s="21">
        <v>0</v>
      </c>
      <c r="AS776" s="21">
        <v>0</v>
      </c>
      <c r="AT776" s="21">
        <v>1</v>
      </c>
      <c r="AU776" s="21">
        <v>1</v>
      </c>
      <c r="AV776" s="21">
        <v>1</v>
      </c>
      <c r="AW776" s="21">
        <v>1</v>
      </c>
      <c r="AX776" s="21">
        <v>1</v>
      </c>
      <c r="AY776" s="21">
        <v>1</v>
      </c>
      <c r="AZ776" s="21">
        <v>1</v>
      </c>
      <c r="BA776" s="21">
        <v>1</v>
      </c>
      <c r="BB776" s="21">
        <v>1</v>
      </c>
      <c r="BC776" s="21">
        <v>0</v>
      </c>
      <c r="BD776" s="21">
        <v>0</v>
      </c>
      <c r="BE776" s="21">
        <v>0</v>
      </c>
      <c r="BF776" s="21">
        <v>0</v>
      </c>
      <c r="BG776" s="21">
        <v>1</v>
      </c>
      <c r="BH776" s="21">
        <v>0</v>
      </c>
      <c r="BI776" s="21">
        <v>1</v>
      </c>
      <c r="BJ776" s="21">
        <v>1</v>
      </c>
      <c r="BK776" s="21">
        <v>0</v>
      </c>
      <c r="BL776" s="21">
        <v>0</v>
      </c>
      <c r="BM776" s="21">
        <v>1</v>
      </c>
      <c r="BN776" s="21">
        <v>0</v>
      </c>
      <c r="BO776" s="21">
        <v>0</v>
      </c>
      <c r="BP776" s="21">
        <v>0</v>
      </c>
      <c r="BQ776" s="21">
        <v>0</v>
      </c>
      <c r="BR776" s="21">
        <v>0</v>
      </c>
      <c r="BS776" s="21">
        <v>0</v>
      </c>
    </row>
    <row r="777" spans="1:71">
      <c r="A777" s="47" t="s">
        <v>5195</v>
      </c>
      <c r="B777">
        <v>27</v>
      </c>
      <c r="C777">
        <v>167</v>
      </c>
      <c r="D777" s="21">
        <v>2012</v>
      </c>
      <c r="E777" s="23">
        <v>-0.97</v>
      </c>
      <c r="F777" s="14">
        <f t="shared" si="48"/>
        <v>8.6452762923351148E-2</v>
      </c>
      <c r="G777" s="23">
        <v>-11.22</v>
      </c>
      <c r="H777" s="27">
        <v>0</v>
      </c>
      <c r="I777" s="21">
        <v>1</v>
      </c>
      <c r="J777" s="21">
        <v>858</v>
      </c>
      <c r="K777" s="21">
        <v>1</v>
      </c>
      <c r="L777" s="21">
        <v>0</v>
      </c>
      <c r="M777" s="21">
        <v>0</v>
      </c>
      <c r="N777" s="21">
        <v>0</v>
      </c>
      <c r="O777" s="21">
        <v>0</v>
      </c>
      <c r="P777">
        <v>0</v>
      </c>
      <c r="Q777" s="21">
        <v>0</v>
      </c>
      <c r="R777" s="21">
        <v>0</v>
      </c>
      <c r="S777" s="21">
        <v>0</v>
      </c>
      <c r="T777" s="21">
        <v>1</v>
      </c>
      <c r="U777" s="21">
        <v>2001</v>
      </c>
      <c r="V777" s="21">
        <v>2005</v>
      </c>
      <c r="W777">
        <f t="shared" si="45"/>
        <v>2003</v>
      </c>
      <c r="X777" s="21">
        <v>1</v>
      </c>
      <c r="Y777" s="21">
        <v>0</v>
      </c>
      <c r="Z777" s="21">
        <v>0</v>
      </c>
      <c r="AA777" s="21">
        <v>0</v>
      </c>
      <c r="AB777" s="21">
        <v>0</v>
      </c>
      <c r="AC777" s="21">
        <v>1</v>
      </c>
      <c r="AD777" s="21">
        <v>0</v>
      </c>
      <c r="AE777" s="21">
        <v>1</v>
      </c>
      <c r="AF777" s="21">
        <v>0</v>
      </c>
      <c r="AG777" s="21">
        <v>0</v>
      </c>
      <c r="AH777" s="21">
        <v>0</v>
      </c>
      <c r="AI777" s="21">
        <v>0</v>
      </c>
      <c r="AJ777" s="21">
        <v>0</v>
      </c>
      <c r="AK777" s="21">
        <v>1</v>
      </c>
      <c r="AL777" s="21">
        <v>0</v>
      </c>
      <c r="AM777" s="21">
        <v>0</v>
      </c>
      <c r="AN777" s="21">
        <v>0</v>
      </c>
      <c r="AO777" s="21">
        <v>0</v>
      </c>
      <c r="AP777" s="21">
        <v>1</v>
      </c>
      <c r="AQ777" s="21">
        <v>1</v>
      </c>
      <c r="AR777" s="21">
        <v>0</v>
      </c>
      <c r="AS777" s="21">
        <v>0</v>
      </c>
      <c r="AT777" s="21">
        <v>1</v>
      </c>
      <c r="AU777" s="21">
        <v>1</v>
      </c>
      <c r="AV777" s="21">
        <v>1</v>
      </c>
      <c r="AW777" s="21">
        <v>1</v>
      </c>
      <c r="AX777" s="21">
        <v>1</v>
      </c>
      <c r="AY777" s="21">
        <v>1</v>
      </c>
      <c r="AZ777" s="21">
        <v>1</v>
      </c>
      <c r="BA777" s="21">
        <v>1</v>
      </c>
      <c r="BB777" s="21">
        <v>1</v>
      </c>
      <c r="BC777" s="21">
        <v>0</v>
      </c>
      <c r="BD777" s="21">
        <v>0</v>
      </c>
      <c r="BE777" s="21">
        <v>0</v>
      </c>
      <c r="BF777" s="21">
        <v>0</v>
      </c>
      <c r="BG777" s="21">
        <v>1</v>
      </c>
      <c r="BH777" s="21">
        <v>0</v>
      </c>
      <c r="BI777" s="21">
        <v>1</v>
      </c>
      <c r="BJ777" s="21">
        <v>1</v>
      </c>
      <c r="BK777" s="21">
        <v>0</v>
      </c>
      <c r="BL777" s="21">
        <v>0</v>
      </c>
      <c r="BM777" s="21">
        <v>1</v>
      </c>
      <c r="BN777" s="21">
        <v>0</v>
      </c>
      <c r="BO777" s="21">
        <v>0</v>
      </c>
      <c r="BP777" s="21">
        <v>0</v>
      </c>
      <c r="BQ777" s="21">
        <v>0</v>
      </c>
      <c r="BR777" s="21">
        <v>0</v>
      </c>
      <c r="BS777" s="21">
        <v>0</v>
      </c>
    </row>
    <row r="778" spans="1:71">
      <c r="A778" s="47" t="s">
        <v>5195</v>
      </c>
      <c r="B778">
        <v>27</v>
      </c>
      <c r="C778">
        <v>168</v>
      </c>
      <c r="D778" s="21">
        <v>2012</v>
      </c>
      <c r="E778" s="23">
        <v>-0.89</v>
      </c>
      <c r="F778" s="14">
        <f t="shared" si="48"/>
        <v>8.8733798604187439E-2</v>
      </c>
      <c r="G778" s="23">
        <v>-10.029999999999999</v>
      </c>
      <c r="H778" s="27">
        <v>0</v>
      </c>
      <c r="I778" s="21">
        <v>1</v>
      </c>
      <c r="J778" s="21">
        <v>803</v>
      </c>
      <c r="K778" s="21">
        <v>1</v>
      </c>
      <c r="L778" s="21">
        <v>0</v>
      </c>
      <c r="M778" s="21">
        <v>0</v>
      </c>
      <c r="N778" s="21">
        <v>0</v>
      </c>
      <c r="O778" s="21">
        <v>0</v>
      </c>
      <c r="P778">
        <v>0</v>
      </c>
      <c r="Q778" s="21">
        <v>0</v>
      </c>
      <c r="R778" s="21">
        <v>0</v>
      </c>
      <c r="S778" s="21">
        <v>0</v>
      </c>
      <c r="T778" s="21">
        <v>1</v>
      </c>
      <c r="U778" s="21">
        <v>2001</v>
      </c>
      <c r="V778" s="21">
        <v>2005</v>
      </c>
      <c r="W778">
        <f t="shared" si="45"/>
        <v>2003</v>
      </c>
      <c r="X778" s="21">
        <v>1</v>
      </c>
      <c r="Y778" s="21">
        <v>0</v>
      </c>
      <c r="Z778" s="21">
        <v>0</v>
      </c>
      <c r="AA778" s="21">
        <v>0</v>
      </c>
      <c r="AB778" s="21">
        <v>0</v>
      </c>
      <c r="AC778" s="21">
        <v>1</v>
      </c>
      <c r="AD778" s="21">
        <v>0</v>
      </c>
      <c r="AE778" s="21">
        <v>1</v>
      </c>
      <c r="AF778" s="21">
        <v>0</v>
      </c>
      <c r="AG778" s="21">
        <v>0</v>
      </c>
      <c r="AH778" s="21">
        <v>0</v>
      </c>
      <c r="AI778" s="21">
        <v>0</v>
      </c>
      <c r="AJ778" s="21">
        <v>0</v>
      </c>
      <c r="AK778" s="21">
        <v>1</v>
      </c>
      <c r="AL778" s="21">
        <v>0</v>
      </c>
      <c r="AM778" s="21">
        <v>0</v>
      </c>
      <c r="AN778" s="21">
        <v>0</v>
      </c>
      <c r="AO778" s="21">
        <v>0</v>
      </c>
      <c r="AP778" s="21">
        <v>1</v>
      </c>
      <c r="AQ778" s="21">
        <v>1</v>
      </c>
      <c r="AR778" s="21">
        <v>0</v>
      </c>
      <c r="AS778" s="21">
        <v>0</v>
      </c>
      <c r="AT778" s="21">
        <v>1</v>
      </c>
      <c r="AU778" s="21">
        <v>1</v>
      </c>
      <c r="AV778" s="21">
        <v>1</v>
      </c>
      <c r="AW778" s="21">
        <v>1</v>
      </c>
      <c r="AX778" s="21">
        <v>1</v>
      </c>
      <c r="AY778" s="21">
        <v>1</v>
      </c>
      <c r="AZ778" s="21">
        <v>1</v>
      </c>
      <c r="BA778" s="21">
        <v>1</v>
      </c>
      <c r="BB778" s="21">
        <v>1</v>
      </c>
      <c r="BC778" s="21">
        <v>0</v>
      </c>
      <c r="BD778" s="21">
        <v>0</v>
      </c>
      <c r="BE778" s="21">
        <v>0</v>
      </c>
      <c r="BF778" s="21">
        <v>0</v>
      </c>
      <c r="BG778" s="21">
        <v>1</v>
      </c>
      <c r="BH778" s="21">
        <v>0</v>
      </c>
      <c r="BI778" s="21">
        <v>1</v>
      </c>
      <c r="BJ778" s="21">
        <v>1</v>
      </c>
      <c r="BK778" s="21">
        <v>0</v>
      </c>
      <c r="BL778" s="21">
        <v>0</v>
      </c>
      <c r="BM778" s="21">
        <v>1</v>
      </c>
      <c r="BN778" s="21">
        <v>0</v>
      </c>
      <c r="BO778" s="21">
        <v>0</v>
      </c>
      <c r="BP778" s="21">
        <v>0</v>
      </c>
      <c r="BQ778" s="21">
        <v>0</v>
      </c>
      <c r="BR778" s="21">
        <v>0</v>
      </c>
      <c r="BS778" s="21">
        <v>0</v>
      </c>
    </row>
    <row r="779" spans="1:71">
      <c r="A779" s="47" t="s">
        <v>5195</v>
      </c>
      <c r="B779">
        <v>27</v>
      </c>
      <c r="C779">
        <v>169</v>
      </c>
      <c r="D779" s="21">
        <v>2012</v>
      </c>
      <c r="E779" s="23">
        <v>-0.92</v>
      </c>
      <c r="F779" s="14">
        <f t="shared" si="48"/>
        <v>8.6142322097378279E-2</v>
      </c>
      <c r="G779" s="23">
        <v>-10.68</v>
      </c>
      <c r="H779" s="27">
        <v>0</v>
      </c>
      <c r="I779" s="21">
        <v>1</v>
      </c>
      <c r="J779" s="21">
        <v>858</v>
      </c>
      <c r="K779" s="21">
        <v>1</v>
      </c>
      <c r="L779" s="21">
        <v>0</v>
      </c>
      <c r="M779" s="21">
        <v>0</v>
      </c>
      <c r="N779" s="21">
        <v>0</v>
      </c>
      <c r="O779" s="21">
        <v>0</v>
      </c>
      <c r="P779">
        <v>0</v>
      </c>
      <c r="Q779" s="21">
        <v>0</v>
      </c>
      <c r="R779" s="21">
        <v>0</v>
      </c>
      <c r="S779" s="21">
        <v>0</v>
      </c>
      <c r="T779" s="21">
        <v>1</v>
      </c>
      <c r="U779" s="21">
        <v>2001</v>
      </c>
      <c r="V779" s="21">
        <v>2005</v>
      </c>
      <c r="W779">
        <f t="shared" si="45"/>
        <v>2003</v>
      </c>
      <c r="X779" s="21">
        <v>1</v>
      </c>
      <c r="Y779" s="21">
        <v>0</v>
      </c>
      <c r="Z779" s="21">
        <v>0</v>
      </c>
      <c r="AA779" s="21">
        <v>0</v>
      </c>
      <c r="AB779" s="21">
        <v>0</v>
      </c>
      <c r="AC779" s="21">
        <v>1</v>
      </c>
      <c r="AD779" s="21">
        <v>0</v>
      </c>
      <c r="AE779" s="21">
        <v>1</v>
      </c>
      <c r="AF779" s="21">
        <v>0</v>
      </c>
      <c r="AG779" s="21">
        <v>0</v>
      </c>
      <c r="AH779" s="21">
        <v>0</v>
      </c>
      <c r="AI779" s="21">
        <v>0</v>
      </c>
      <c r="AJ779" s="21">
        <v>0</v>
      </c>
      <c r="AK779" s="21">
        <v>1</v>
      </c>
      <c r="AL779" s="21">
        <v>0</v>
      </c>
      <c r="AM779" s="21">
        <v>0</v>
      </c>
      <c r="AN779" s="21">
        <v>0</v>
      </c>
      <c r="AO779" s="21">
        <v>0</v>
      </c>
      <c r="AP779" s="21">
        <v>1</v>
      </c>
      <c r="AQ779" s="21">
        <v>1</v>
      </c>
      <c r="AR779" s="21">
        <v>0</v>
      </c>
      <c r="AS779" s="21">
        <v>0</v>
      </c>
      <c r="AT779" s="21">
        <v>1</v>
      </c>
      <c r="AU779" s="21">
        <v>1</v>
      </c>
      <c r="AV779" s="21">
        <v>1</v>
      </c>
      <c r="AW779" s="21">
        <v>1</v>
      </c>
      <c r="AX779" s="21">
        <v>1</v>
      </c>
      <c r="AY779" s="21">
        <v>1</v>
      </c>
      <c r="AZ779" s="21">
        <v>1</v>
      </c>
      <c r="BA779" s="21">
        <v>1</v>
      </c>
      <c r="BB779" s="21">
        <v>1</v>
      </c>
      <c r="BC779" s="21">
        <v>0</v>
      </c>
      <c r="BD779" s="21">
        <v>0</v>
      </c>
      <c r="BE779" s="21">
        <v>0</v>
      </c>
      <c r="BF779" s="21">
        <v>0</v>
      </c>
      <c r="BG779" s="21">
        <v>1</v>
      </c>
      <c r="BH779" s="21">
        <v>0</v>
      </c>
      <c r="BI779" s="21">
        <v>1</v>
      </c>
      <c r="BJ779" s="21">
        <v>1</v>
      </c>
      <c r="BK779" s="21">
        <v>0</v>
      </c>
      <c r="BL779" s="21">
        <v>0</v>
      </c>
      <c r="BM779" s="21">
        <v>1</v>
      </c>
      <c r="BN779" s="21">
        <v>0</v>
      </c>
      <c r="BO779" s="21">
        <v>0</v>
      </c>
      <c r="BP779" s="21">
        <v>0</v>
      </c>
      <c r="BQ779" s="21">
        <v>0</v>
      </c>
      <c r="BR779" s="21">
        <v>0</v>
      </c>
      <c r="BS779" s="21">
        <v>0</v>
      </c>
    </row>
    <row r="780" spans="1:71">
      <c r="A780" s="47" t="s">
        <v>5195</v>
      </c>
      <c r="B780">
        <v>27</v>
      </c>
      <c r="C780">
        <v>170</v>
      </c>
      <c r="D780" s="21">
        <v>2012</v>
      </c>
      <c r="E780" s="23">
        <v>-1.02</v>
      </c>
      <c r="F780" s="14">
        <f t="shared" si="48"/>
        <v>8.4858569051580707E-2</v>
      </c>
      <c r="G780" s="23">
        <v>-12.02</v>
      </c>
      <c r="H780" s="27">
        <v>0</v>
      </c>
      <c r="I780" s="21">
        <v>1</v>
      </c>
      <c r="J780" s="21">
        <v>848</v>
      </c>
      <c r="K780" s="21">
        <v>1</v>
      </c>
      <c r="L780" s="21">
        <v>0</v>
      </c>
      <c r="M780" s="21">
        <v>0</v>
      </c>
      <c r="N780" s="21">
        <v>0</v>
      </c>
      <c r="O780" s="21">
        <v>0</v>
      </c>
      <c r="P780">
        <v>0</v>
      </c>
      <c r="Q780" s="21">
        <v>0</v>
      </c>
      <c r="R780" s="21">
        <v>0</v>
      </c>
      <c r="S780" s="21">
        <v>0</v>
      </c>
      <c r="T780" s="21">
        <v>1</v>
      </c>
      <c r="U780" s="21">
        <v>2001</v>
      </c>
      <c r="V780" s="21">
        <v>2005</v>
      </c>
      <c r="W780">
        <f t="shared" si="45"/>
        <v>2003</v>
      </c>
      <c r="X780" s="21">
        <v>1</v>
      </c>
      <c r="Y780" s="21">
        <v>0</v>
      </c>
      <c r="Z780" s="21">
        <v>0</v>
      </c>
      <c r="AA780" s="21">
        <v>0</v>
      </c>
      <c r="AB780" s="21">
        <v>0</v>
      </c>
      <c r="AC780" s="21">
        <v>1</v>
      </c>
      <c r="AD780" s="21">
        <v>0</v>
      </c>
      <c r="AE780" s="21">
        <v>1</v>
      </c>
      <c r="AF780" s="21">
        <v>0</v>
      </c>
      <c r="AG780" s="21">
        <v>0</v>
      </c>
      <c r="AH780" s="21">
        <v>0</v>
      </c>
      <c r="AI780" s="21">
        <v>0</v>
      </c>
      <c r="AJ780" s="21">
        <v>0</v>
      </c>
      <c r="AK780" s="21">
        <v>1</v>
      </c>
      <c r="AL780" s="21">
        <v>0</v>
      </c>
      <c r="AM780" s="21">
        <v>0</v>
      </c>
      <c r="AN780" s="21">
        <v>0</v>
      </c>
      <c r="AO780" s="21">
        <v>0</v>
      </c>
      <c r="AP780" s="21">
        <v>1</v>
      </c>
      <c r="AQ780" s="21">
        <v>1</v>
      </c>
      <c r="AR780" s="21">
        <v>0</v>
      </c>
      <c r="AS780" s="21">
        <v>0</v>
      </c>
      <c r="AT780" s="21">
        <v>1</v>
      </c>
      <c r="AU780" s="21">
        <v>1</v>
      </c>
      <c r="AV780" s="21">
        <v>1</v>
      </c>
      <c r="AW780" s="21">
        <v>1</v>
      </c>
      <c r="AX780" s="21">
        <v>1</v>
      </c>
      <c r="AY780" s="21">
        <v>1</v>
      </c>
      <c r="AZ780" s="21">
        <v>1</v>
      </c>
      <c r="BA780" s="21">
        <v>1</v>
      </c>
      <c r="BB780" s="21">
        <v>1</v>
      </c>
      <c r="BC780" s="21">
        <v>0</v>
      </c>
      <c r="BD780" s="21">
        <v>0</v>
      </c>
      <c r="BE780" s="21">
        <v>0</v>
      </c>
      <c r="BF780" s="21">
        <v>0</v>
      </c>
      <c r="BG780" s="21">
        <v>1</v>
      </c>
      <c r="BH780" s="21">
        <v>0</v>
      </c>
      <c r="BI780" s="21">
        <v>1</v>
      </c>
      <c r="BJ780" s="21">
        <v>1</v>
      </c>
      <c r="BK780" s="21">
        <v>1</v>
      </c>
      <c r="BL780" s="21">
        <v>0</v>
      </c>
      <c r="BM780" s="21">
        <v>1</v>
      </c>
      <c r="BN780" s="21">
        <v>0</v>
      </c>
      <c r="BO780" s="21">
        <v>0</v>
      </c>
      <c r="BP780" s="21">
        <v>0</v>
      </c>
      <c r="BQ780" s="21">
        <v>0</v>
      </c>
      <c r="BR780" s="21">
        <v>0</v>
      </c>
      <c r="BS780" s="21">
        <v>0</v>
      </c>
    </row>
    <row r="781" spans="1:71">
      <c r="A781" s="47" t="s">
        <v>5195</v>
      </c>
      <c r="B781">
        <v>27</v>
      </c>
      <c r="C781">
        <v>171</v>
      </c>
      <c r="D781" s="21">
        <v>2012</v>
      </c>
      <c r="E781" s="23">
        <v>-1.03</v>
      </c>
      <c r="F781" s="14">
        <f t="shared" si="48"/>
        <v>8.5053674649050379E-2</v>
      </c>
      <c r="G781" s="23">
        <v>-12.11</v>
      </c>
      <c r="H781" s="27">
        <v>0</v>
      </c>
      <c r="I781" s="21">
        <v>1</v>
      </c>
      <c r="J781" s="21">
        <v>848</v>
      </c>
      <c r="K781" s="21">
        <v>1</v>
      </c>
      <c r="L781" s="21">
        <v>0</v>
      </c>
      <c r="M781" s="21">
        <v>0</v>
      </c>
      <c r="N781" s="21">
        <v>0</v>
      </c>
      <c r="O781" s="21">
        <v>0</v>
      </c>
      <c r="P781">
        <v>0</v>
      </c>
      <c r="Q781" s="21">
        <v>0</v>
      </c>
      <c r="R781" s="21">
        <v>0</v>
      </c>
      <c r="S781" s="21">
        <v>0</v>
      </c>
      <c r="T781" s="21">
        <v>1</v>
      </c>
      <c r="U781" s="21">
        <v>2001</v>
      </c>
      <c r="V781" s="21">
        <v>2005</v>
      </c>
      <c r="W781">
        <f t="shared" si="45"/>
        <v>2003</v>
      </c>
      <c r="X781" s="21">
        <v>1</v>
      </c>
      <c r="Y781" s="21">
        <v>0</v>
      </c>
      <c r="Z781" s="21">
        <v>0</v>
      </c>
      <c r="AA781" s="21">
        <v>0</v>
      </c>
      <c r="AB781" s="21">
        <v>0</v>
      </c>
      <c r="AC781" s="21">
        <v>1</v>
      </c>
      <c r="AD781" s="21">
        <v>0</v>
      </c>
      <c r="AE781" s="21">
        <v>1</v>
      </c>
      <c r="AF781" s="21">
        <v>0</v>
      </c>
      <c r="AG781" s="21">
        <v>0</v>
      </c>
      <c r="AH781" s="21">
        <v>0</v>
      </c>
      <c r="AI781" s="21">
        <v>0</v>
      </c>
      <c r="AJ781" s="21">
        <v>0</v>
      </c>
      <c r="AK781" s="21">
        <v>1</v>
      </c>
      <c r="AL781" s="21">
        <v>0</v>
      </c>
      <c r="AM781" s="21">
        <v>0</v>
      </c>
      <c r="AN781" s="21">
        <v>0</v>
      </c>
      <c r="AO781" s="21">
        <v>0</v>
      </c>
      <c r="AP781" s="21">
        <v>1</v>
      </c>
      <c r="AQ781" s="21">
        <v>1</v>
      </c>
      <c r="AR781" s="21">
        <v>0</v>
      </c>
      <c r="AS781" s="21">
        <v>0</v>
      </c>
      <c r="AT781" s="21">
        <v>1</v>
      </c>
      <c r="AU781" s="21">
        <v>1</v>
      </c>
      <c r="AV781" s="21">
        <v>1</v>
      </c>
      <c r="AW781" s="21">
        <v>1</v>
      </c>
      <c r="AX781" s="21">
        <v>1</v>
      </c>
      <c r="AY781" s="21">
        <v>1</v>
      </c>
      <c r="AZ781" s="21">
        <v>1</v>
      </c>
      <c r="BA781" s="21">
        <v>1</v>
      </c>
      <c r="BB781" s="21">
        <v>1</v>
      </c>
      <c r="BC781" s="21">
        <v>0</v>
      </c>
      <c r="BD781" s="21">
        <v>0</v>
      </c>
      <c r="BE781" s="21">
        <v>0</v>
      </c>
      <c r="BF781" s="21">
        <v>0</v>
      </c>
      <c r="BG781" s="21">
        <v>1</v>
      </c>
      <c r="BH781" s="21">
        <v>0</v>
      </c>
      <c r="BI781" s="21">
        <v>1</v>
      </c>
      <c r="BJ781" s="21">
        <v>1</v>
      </c>
      <c r="BK781" s="21">
        <v>1</v>
      </c>
      <c r="BL781" s="21">
        <v>0</v>
      </c>
      <c r="BM781" s="21">
        <v>1</v>
      </c>
      <c r="BN781" s="21">
        <v>0</v>
      </c>
      <c r="BO781" s="21">
        <v>0</v>
      </c>
      <c r="BP781" s="21">
        <v>0</v>
      </c>
      <c r="BQ781" s="21">
        <v>0</v>
      </c>
      <c r="BR781" s="21">
        <v>0</v>
      </c>
      <c r="BS781" s="21">
        <v>0</v>
      </c>
    </row>
    <row r="782" spans="1:71">
      <c r="A782" s="46" t="s">
        <v>5195</v>
      </c>
      <c r="B782">
        <v>27</v>
      </c>
      <c r="C782">
        <v>172</v>
      </c>
      <c r="D782" s="21">
        <v>2012</v>
      </c>
      <c r="E782" s="23">
        <v>-1.05</v>
      </c>
      <c r="F782" s="14">
        <f t="shared" si="48"/>
        <v>8.5020242914979768E-2</v>
      </c>
      <c r="G782" s="23">
        <v>-12.35</v>
      </c>
      <c r="H782" s="27">
        <v>0</v>
      </c>
      <c r="I782" s="21">
        <v>1</v>
      </c>
      <c r="J782" s="21">
        <v>853</v>
      </c>
      <c r="K782" s="21">
        <v>1</v>
      </c>
      <c r="L782" s="21">
        <v>0</v>
      </c>
      <c r="M782" s="21">
        <v>0</v>
      </c>
      <c r="N782" s="21">
        <v>0</v>
      </c>
      <c r="O782" s="21">
        <v>0</v>
      </c>
      <c r="P782">
        <v>0</v>
      </c>
      <c r="Q782" s="21">
        <v>0</v>
      </c>
      <c r="R782" s="21">
        <v>0</v>
      </c>
      <c r="S782" s="21">
        <v>0</v>
      </c>
      <c r="T782" s="21">
        <v>1</v>
      </c>
      <c r="U782" s="21">
        <v>2001</v>
      </c>
      <c r="V782" s="21">
        <v>2005</v>
      </c>
      <c r="W782">
        <f t="shared" si="45"/>
        <v>2003</v>
      </c>
      <c r="X782" s="21">
        <v>1</v>
      </c>
      <c r="Y782" s="21">
        <v>0</v>
      </c>
      <c r="Z782" s="21">
        <v>0</v>
      </c>
      <c r="AA782" s="21">
        <v>0</v>
      </c>
      <c r="AB782" s="21">
        <v>0</v>
      </c>
      <c r="AC782" s="21">
        <v>1</v>
      </c>
      <c r="AD782" s="21">
        <v>0</v>
      </c>
      <c r="AE782" s="21">
        <v>1</v>
      </c>
      <c r="AF782" s="21">
        <v>0</v>
      </c>
      <c r="AG782" s="21">
        <v>0</v>
      </c>
      <c r="AH782" s="21">
        <v>0</v>
      </c>
      <c r="AI782" s="21">
        <v>0</v>
      </c>
      <c r="AJ782" s="21">
        <v>0</v>
      </c>
      <c r="AK782" s="21">
        <v>1</v>
      </c>
      <c r="AL782" s="21">
        <v>0</v>
      </c>
      <c r="AM782" s="21">
        <v>0</v>
      </c>
      <c r="AN782" s="21">
        <v>0</v>
      </c>
      <c r="AO782" s="21">
        <v>0</v>
      </c>
      <c r="AP782" s="21">
        <v>1</v>
      </c>
      <c r="AQ782" s="21">
        <v>1</v>
      </c>
      <c r="AR782" s="21">
        <v>0</v>
      </c>
      <c r="AS782" s="21">
        <v>0</v>
      </c>
      <c r="AT782" s="21">
        <v>1</v>
      </c>
      <c r="AU782" s="21">
        <v>1</v>
      </c>
      <c r="AV782" s="21">
        <v>1</v>
      </c>
      <c r="AW782" s="21">
        <v>1</v>
      </c>
      <c r="AX782" s="21">
        <v>1</v>
      </c>
      <c r="AY782" s="21">
        <v>1</v>
      </c>
      <c r="AZ782" s="21">
        <v>1</v>
      </c>
      <c r="BA782" s="21">
        <v>1</v>
      </c>
      <c r="BB782" s="21">
        <v>1</v>
      </c>
      <c r="BC782" s="21">
        <v>0</v>
      </c>
      <c r="BD782" s="21">
        <v>0</v>
      </c>
      <c r="BE782" s="21">
        <v>0</v>
      </c>
      <c r="BF782" s="21">
        <v>0</v>
      </c>
      <c r="BG782" s="21">
        <v>1</v>
      </c>
      <c r="BH782" s="21">
        <v>0</v>
      </c>
      <c r="BI782" s="21">
        <v>1</v>
      </c>
      <c r="BJ782" s="21">
        <v>1</v>
      </c>
      <c r="BK782" s="21">
        <v>1</v>
      </c>
      <c r="BL782" s="21">
        <v>0</v>
      </c>
      <c r="BM782" s="21">
        <v>1</v>
      </c>
      <c r="BN782" s="21">
        <v>0</v>
      </c>
      <c r="BO782" s="21">
        <v>0</v>
      </c>
      <c r="BP782" s="21">
        <v>0</v>
      </c>
      <c r="BQ782" s="21">
        <v>0</v>
      </c>
      <c r="BR782" s="21">
        <v>0</v>
      </c>
      <c r="BS782" s="21">
        <v>0</v>
      </c>
    </row>
    <row r="783" spans="1:71">
      <c r="A783" s="46" t="s">
        <v>5195</v>
      </c>
      <c r="B783">
        <v>27</v>
      </c>
      <c r="C783">
        <v>173</v>
      </c>
      <c r="D783" s="21">
        <v>2012</v>
      </c>
      <c r="E783" s="23">
        <v>-1.01</v>
      </c>
      <c r="F783" s="14">
        <f t="shared" si="48"/>
        <v>8.774978279756733E-2</v>
      </c>
      <c r="G783" s="23">
        <v>-11.51</v>
      </c>
      <c r="H783" s="27">
        <v>0</v>
      </c>
      <c r="I783" s="21">
        <v>1</v>
      </c>
      <c r="J783" s="21">
        <v>767</v>
      </c>
      <c r="K783" s="21">
        <v>1</v>
      </c>
      <c r="L783" s="21">
        <v>0</v>
      </c>
      <c r="M783" s="21">
        <v>0</v>
      </c>
      <c r="N783" s="21">
        <v>0</v>
      </c>
      <c r="O783" s="21">
        <v>0</v>
      </c>
      <c r="P783">
        <v>0</v>
      </c>
      <c r="Q783" s="21">
        <v>0</v>
      </c>
      <c r="R783" s="21">
        <v>0</v>
      </c>
      <c r="S783" s="21">
        <v>0</v>
      </c>
      <c r="T783" s="21">
        <v>1</v>
      </c>
      <c r="U783" s="21">
        <v>2001</v>
      </c>
      <c r="V783" s="21">
        <v>2005</v>
      </c>
      <c r="W783">
        <f t="shared" si="45"/>
        <v>2003</v>
      </c>
      <c r="X783" s="21">
        <v>1</v>
      </c>
      <c r="Y783" s="21">
        <v>0</v>
      </c>
      <c r="Z783" s="21">
        <v>0</v>
      </c>
      <c r="AA783" s="21">
        <v>0</v>
      </c>
      <c r="AB783" s="21">
        <v>0</v>
      </c>
      <c r="AC783" s="21">
        <v>1</v>
      </c>
      <c r="AD783" s="21">
        <v>0</v>
      </c>
      <c r="AE783" s="21">
        <v>1</v>
      </c>
      <c r="AF783" s="21">
        <v>0</v>
      </c>
      <c r="AG783" s="21">
        <v>0</v>
      </c>
      <c r="AH783" s="21">
        <v>0</v>
      </c>
      <c r="AI783" s="21">
        <v>0</v>
      </c>
      <c r="AJ783" s="21">
        <v>0</v>
      </c>
      <c r="AK783" s="21">
        <v>1</v>
      </c>
      <c r="AL783" s="21">
        <v>0</v>
      </c>
      <c r="AM783" s="21">
        <v>0</v>
      </c>
      <c r="AN783" s="21">
        <v>0</v>
      </c>
      <c r="AO783" s="21">
        <v>0</v>
      </c>
      <c r="AP783" s="21">
        <v>1</v>
      </c>
      <c r="AQ783" s="21">
        <v>1</v>
      </c>
      <c r="AR783" s="21">
        <v>0</v>
      </c>
      <c r="AS783" s="21">
        <v>0</v>
      </c>
      <c r="AT783" s="21">
        <v>1</v>
      </c>
      <c r="AU783" s="21">
        <v>1</v>
      </c>
      <c r="AV783" s="21">
        <v>1</v>
      </c>
      <c r="AW783" s="21">
        <v>1</v>
      </c>
      <c r="AX783" s="21">
        <v>1</v>
      </c>
      <c r="AY783" s="21">
        <v>1</v>
      </c>
      <c r="AZ783" s="21">
        <v>1</v>
      </c>
      <c r="BA783" s="21">
        <v>1</v>
      </c>
      <c r="BB783" s="21">
        <v>1</v>
      </c>
      <c r="BC783" s="21">
        <v>0</v>
      </c>
      <c r="BD783" s="21">
        <v>0</v>
      </c>
      <c r="BE783" s="21">
        <v>0</v>
      </c>
      <c r="BF783" s="21">
        <v>0</v>
      </c>
      <c r="BG783" s="21">
        <v>1</v>
      </c>
      <c r="BH783" s="21">
        <v>0</v>
      </c>
      <c r="BI783" s="21">
        <v>1</v>
      </c>
      <c r="BJ783" s="21">
        <v>1</v>
      </c>
      <c r="BK783" s="21">
        <v>1</v>
      </c>
      <c r="BL783" s="21">
        <v>0</v>
      </c>
      <c r="BM783" s="21">
        <v>1</v>
      </c>
      <c r="BN783" s="21">
        <v>0</v>
      </c>
      <c r="BO783" s="21">
        <v>0</v>
      </c>
      <c r="BP783" s="21">
        <v>0</v>
      </c>
      <c r="BQ783" s="21">
        <v>0</v>
      </c>
      <c r="BR783" s="21">
        <v>0</v>
      </c>
      <c r="BS783" s="21">
        <v>0</v>
      </c>
    </row>
    <row r="784" spans="1:71">
      <c r="A784" s="46" t="s">
        <v>5195</v>
      </c>
      <c r="B784">
        <v>27</v>
      </c>
      <c r="C784">
        <v>174</v>
      </c>
      <c r="D784" s="21">
        <v>2012</v>
      </c>
      <c r="E784" s="23">
        <v>-0.93</v>
      </c>
      <c r="F784" s="14">
        <f t="shared" si="48"/>
        <v>8.2300884955752218E-2</v>
      </c>
      <c r="G784" s="23">
        <v>-11.3</v>
      </c>
      <c r="H784" s="27">
        <v>0</v>
      </c>
      <c r="I784" s="21">
        <v>1</v>
      </c>
      <c r="J784" s="21">
        <v>853</v>
      </c>
      <c r="K784" s="21">
        <v>1</v>
      </c>
      <c r="L784" s="21">
        <v>0</v>
      </c>
      <c r="M784" s="21">
        <v>0</v>
      </c>
      <c r="N784" s="21">
        <v>0</v>
      </c>
      <c r="O784" s="21">
        <v>0</v>
      </c>
      <c r="P784">
        <v>0</v>
      </c>
      <c r="Q784" s="21">
        <v>0</v>
      </c>
      <c r="R784" s="21">
        <v>0</v>
      </c>
      <c r="S784" s="21">
        <v>0</v>
      </c>
      <c r="T784" s="21">
        <v>1</v>
      </c>
      <c r="U784" s="21">
        <v>2001</v>
      </c>
      <c r="V784" s="21">
        <v>2005</v>
      </c>
      <c r="W784">
        <f t="shared" si="45"/>
        <v>2003</v>
      </c>
      <c r="X784" s="21">
        <v>1</v>
      </c>
      <c r="Y784" s="21">
        <v>0</v>
      </c>
      <c r="Z784" s="21">
        <v>0</v>
      </c>
      <c r="AA784" s="21">
        <v>0</v>
      </c>
      <c r="AB784" s="21">
        <v>0</v>
      </c>
      <c r="AC784" s="21">
        <v>1</v>
      </c>
      <c r="AD784" s="21">
        <v>0</v>
      </c>
      <c r="AE784" s="21">
        <v>1</v>
      </c>
      <c r="AF784" s="21">
        <v>0</v>
      </c>
      <c r="AG784" s="21">
        <v>0</v>
      </c>
      <c r="AH784" s="21">
        <v>0</v>
      </c>
      <c r="AI784" s="21">
        <v>0</v>
      </c>
      <c r="AJ784" s="21">
        <v>0</v>
      </c>
      <c r="AK784" s="21">
        <v>1</v>
      </c>
      <c r="AL784" s="21">
        <v>0</v>
      </c>
      <c r="AM784" s="21">
        <v>0</v>
      </c>
      <c r="AN784" s="21">
        <v>0</v>
      </c>
      <c r="AO784" s="21">
        <v>0</v>
      </c>
      <c r="AP784" s="21">
        <v>1</v>
      </c>
      <c r="AQ784" s="21">
        <v>1</v>
      </c>
      <c r="AR784" s="21">
        <v>0</v>
      </c>
      <c r="AS784" s="21">
        <v>0</v>
      </c>
      <c r="AT784" s="21">
        <v>1</v>
      </c>
      <c r="AU784" s="21">
        <v>1</v>
      </c>
      <c r="AV784" s="21">
        <v>1</v>
      </c>
      <c r="AW784" s="21">
        <v>1</v>
      </c>
      <c r="AX784" s="21">
        <v>1</v>
      </c>
      <c r="AY784" s="21">
        <v>1</v>
      </c>
      <c r="AZ784" s="21">
        <v>1</v>
      </c>
      <c r="BA784" s="21">
        <v>1</v>
      </c>
      <c r="BB784" s="21">
        <v>1</v>
      </c>
      <c r="BC784" s="21">
        <v>0</v>
      </c>
      <c r="BD784" s="21">
        <v>0</v>
      </c>
      <c r="BE784" s="21">
        <v>0</v>
      </c>
      <c r="BF784" s="21">
        <v>0</v>
      </c>
      <c r="BG784" s="21">
        <v>1</v>
      </c>
      <c r="BH784" s="21">
        <v>0</v>
      </c>
      <c r="BI784" s="21">
        <v>1</v>
      </c>
      <c r="BJ784" s="21">
        <v>1</v>
      </c>
      <c r="BK784" s="21">
        <v>1</v>
      </c>
      <c r="BL784" s="21">
        <v>0</v>
      </c>
      <c r="BM784" s="21">
        <v>1</v>
      </c>
      <c r="BN784" s="21">
        <v>0</v>
      </c>
      <c r="BO784" s="21">
        <v>0</v>
      </c>
      <c r="BP784" s="21">
        <v>0</v>
      </c>
      <c r="BQ784" s="21">
        <v>0</v>
      </c>
      <c r="BR784" s="21">
        <v>0</v>
      </c>
      <c r="BS784" s="21">
        <v>0</v>
      </c>
    </row>
    <row r="785" spans="1:71">
      <c r="A785" s="46" t="s">
        <v>5195</v>
      </c>
      <c r="B785">
        <v>27</v>
      </c>
      <c r="C785">
        <v>175</v>
      </c>
      <c r="D785" s="21">
        <v>2012</v>
      </c>
      <c r="E785" s="23">
        <v>-0.97199999999999998</v>
      </c>
      <c r="F785" s="14">
        <f t="shared" si="48"/>
        <v>8.9092575618698433E-2</v>
      </c>
      <c r="G785" s="23">
        <v>-10.91</v>
      </c>
      <c r="H785" s="27">
        <v>0</v>
      </c>
      <c r="I785" s="21">
        <v>1</v>
      </c>
      <c r="J785" s="21">
        <v>858</v>
      </c>
      <c r="K785" s="21">
        <v>1</v>
      </c>
      <c r="L785" s="21">
        <v>0</v>
      </c>
      <c r="M785" s="21">
        <v>0</v>
      </c>
      <c r="N785" s="21">
        <v>0</v>
      </c>
      <c r="O785" s="21">
        <v>0</v>
      </c>
      <c r="P785">
        <v>0</v>
      </c>
      <c r="Q785" s="21">
        <v>0</v>
      </c>
      <c r="R785" s="21">
        <v>0</v>
      </c>
      <c r="S785" s="21">
        <v>0</v>
      </c>
      <c r="T785" s="21">
        <v>1</v>
      </c>
      <c r="U785" s="21">
        <v>2001</v>
      </c>
      <c r="V785" s="21">
        <v>2005</v>
      </c>
      <c r="W785">
        <f t="shared" si="45"/>
        <v>2003</v>
      </c>
      <c r="X785" s="21">
        <v>1</v>
      </c>
      <c r="Y785" s="21">
        <v>0</v>
      </c>
      <c r="Z785" s="21">
        <v>0</v>
      </c>
      <c r="AA785" s="21">
        <v>0</v>
      </c>
      <c r="AB785" s="21">
        <v>0</v>
      </c>
      <c r="AC785" s="21">
        <v>1</v>
      </c>
      <c r="AD785" s="21">
        <v>0</v>
      </c>
      <c r="AE785" s="21">
        <v>1</v>
      </c>
      <c r="AF785" s="21">
        <v>0</v>
      </c>
      <c r="AG785" s="21">
        <v>0</v>
      </c>
      <c r="AH785" s="21">
        <v>0</v>
      </c>
      <c r="AI785" s="21">
        <v>0</v>
      </c>
      <c r="AJ785" s="21">
        <v>0</v>
      </c>
      <c r="AK785" s="21">
        <v>1</v>
      </c>
      <c r="AL785" s="21">
        <v>0</v>
      </c>
      <c r="AM785" s="21">
        <v>0</v>
      </c>
      <c r="AN785" s="21">
        <v>0</v>
      </c>
      <c r="AO785" s="21">
        <v>0</v>
      </c>
      <c r="AP785" s="21">
        <v>1</v>
      </c>
      <c r="AQ785" s="21">
        <v>1</v>
      </c>
      <c r="AR785" s="21">
        <v>0</v>
      </c>
      <c r="AS785" s="21">
        <v>0</v>
      </c>
      <c r="AT785" s="21">
        <v>1</v>
      </c>
      <c r="AU785" s="21">
        <v>1</v>
      </c>
      <c r="AV785" s="21">
        <v>1</v>
      </c>
      <c r="AW785" s="21">
        <v>1</v>
      </c>
      <c r="AX785" s="21">
        <v>1</v>
      </c>
      <c r="AY785" s="21">
        <v>1</v>
      </c>
      <c r="AZ785" s="21">
        <v>1</v>
      </c>
      <c r="BA785" s="21">
        <v>1</v>
      </c>
      <c r="BB785" s="21">
        <v>1</v>
      </c>
      <c r="BC785" s="21">
        <v>0</v>
      </c>
      <c r="BD785" s="21">
        <v>0</v>
      </c>
      <c r="BE785" s="21">
        <v>0</v>
      </c>
      <c r="BF785" s="21">
        <v>0</v>
      </c>
      <c r="BG785" s="21">
        <v>1</v>
      </c>
      <c r="BH785" s="21">
        <v>0</v>
      </c>
      <c r="BI785" s="21">
        <v>1</v>
      </c>
      <c r="BJ785" s="21">
        <v>1</v>
      </c>
      <c r="BK785" s="21">
        <v>1</v>
      </c>
      <c r="BL785" s="21">
        <v>0</v>
      </c>
      <c r="BM785" s="21">
        <v>1</v>
      </c>
      <c r="BN785" s="21">
        <v>0</v>
      </c>
      <c r="BO785" s="21">
        <v>0</v>
      </c>
      <c r="BP785" s="21">
        <v>0</v>
      </c>
      <c r="BQ785" s="21">
        <v>0</v>
      </c>
      <c r="BR785" s="21">
        <v>0</v>
      </c>
      <c r="BS785" s="21">
        <v>0</v>
      </c>
    </row>
    <row r="786" spans="1:71">
      <c r="A786" s="46" t="s">
        <v>5195</v>
      </c>
      <c r="B786">
        <v>27</v>
      </c>
      <c r="C786">
        <v>176</v>
      </c>
      <c r="D786" s="21">
        <v>2012</v>
      </c>
      <c r="E786" s="23">
        <v>-0.95399999999999996</v>
      </c>
      <c r="F786" s="14">
        <f t="shared" si="48"/>
        <v>8.9737559966136762E-2</v>
      </c>
      <c r="G786" s="23">
        <v>-10.631</v>
      </c>
      <c r="H786" s="27">
        <v>0</v>
      </c>
      <c r="I786" s="21">
        <v>1</v>
      </c>
      <c r="J786" s="21">
        <v>803</v>
      </c>
      <c r="K786" s="21">
        <v>1</v>
      </c>
      <c r="L786" s="21">
        <v>0</v>
      </c>
      <c r="M786" s="21">
        <v>0</v>
      </c>
      <c r="N786" s="21">
        <v>0</v>
      </c>
      <c r="O786" s="21">
        <v>0</v>
      </c>
      <c r="P786">
        <v>0</v>
      </c>
      <c r="Q786" s="21">
        <v>0</v>
      </c>
      <c r="R786" s="21">
        <v>0</v>
      </c>
      <c r="S786" s="21">
        <v>0</v>
      </c>
      <c r="T786" s="21">
        <v>1</v>
      </c>
      <c r="U786" s="21">
        <v>2001</v>
      </c>
      <c r="V786" s="21">
        <v>2005</v>
      </c>
      <c r="W786">
        <f t="shared" si="45"/>
        <v>2003</v>
      </c>
      <c r="X786" s="21">
        <v>1</v>
      </c>
      <c r="Y786" s="21">
        <v>0</v>
      </c>
      <c r="Z786" s="21">
        <v>0</v>
      </c>
      <c r="AA786" s="21">
        <v>0</v>
      </c>
      <c r="AB786" s="21">
        <v>0</v>
      </c>
      <c r="AC786" s="21">
        <v>1</v>
      </c>
      <c r="AD786" s="21">
        <v>0</v>
      </c>
      <c r="AE786" s="21">
        <v>1</v>
      </c>
      <c r="AF786" s="21">
        <v>0</v>
      </c>
      <c r="AG786" s="21">
        <v>0</v>
      </c>
      <c r="AH786" s="21">
        <v>0</v>
      </c>
      <c r="AI786" s="21">
        <v>0</v>
      </c>
      <c r="AJ786" s="21">
        <v>0</v>
      </c>
      <c r="AK786" s="21">
        <v>1</v>
      </c>
      <c r="AL786" s="21">
        <v>0</v>
      </c>
      <c r="AM786" s="21">
        <v>0</v>
      </c>
      <c r="AN786" s="21">
        <v>0</v>
      </c>
      <c r="AO786" s="21">
        <v>0</v>
      </c>
      <c r="AP786" s="21">
        <v>1</v>
      </c>
      <c r="AQ786" s="21">
        <v>1</v>
      </c>
      <c r="AR786" s="21">
        <v>0</v>
      </c>
      <c r="AS786" s="21">
        <v>0</v>
      </c>
      <c r="AT786" s="21">
        <v>1</v>
      </c>
      <c r="AU786" s="21">
        <v>1</v>
      </c>
      <c r="AV786" s="21">
        <v>1</v>
      </c>
      <c r="AW786" s="21">
        <v>1</v>
      </c>
      <c r="AX786" s="21">
        <v>1</v>
      </c>
      <c r="AY786" s="21">
        <v>1</v>
      </c>
      <c r="AZ786" s="21">
        <v>1</v>
      </c>
      <c r="BA786" s="21">
        <v>1</v>
      </c>
      <c r="BB786" s="21">
        <v>1</v>
      </c>
      <c r="BC786" s="21">
        <v>0</v>
      </c>
      <c r="BD786" s="21">
        <v>0</v>
      </c>
      <c r="BE786" s="21">
        <v>0</v>
      </c>
      <c r="BF786" s="21">
        <v>0</v>
      </c>
      <c r="BG786" s="21">
        <v>1</v>
      </c>
      <c r="BH786" s="21">
        <v>0</v>
      </c>
      <c r="BI786" s="21">
        <v>1</v>
      </c>
      <c r="BJ786" s="21">
        <v>1</v>
      </c>
      <c r="BK786" s="21">
        <v>0</v>
      </c>
      <c r="BL786" s="21">
        <v>0</v>
      </c>
      <c r="BM786" s="21">
        <v>1</v>
      </c>
      <c r="BN786" s="21">
        <v>0</v>
      </c>
      <c r="BO786" s="21">
        <v>0</v>
      </c>
      <c r="BP786" s="21">
        <v>0</v>
      </c>
      <c r="BQ786" s="21">
        <v>0</v>
      </c>
      <c r="BR786" s="21">
        <v>0</v>
      </c>
      <c r="BS786" s="21">
        <v>0</v>
      </c>
    </row>
    <row r="787" spans="1:71">
      <c r="A787" s="47" t="s">
        <v>5195</v>
      </c>
      <c r="B787">
        <v>27</v>
      </c>
      <c r="C787">
        <v>177</v>
      </c>
      <c r="D787" s="21">
        <v>2012</v>
      </c>
      <c r="E787" s="23">
        <v>-0.255</v>
      </c>
      <c r="F787" s="14">
        <f t="shared" si="48"/>
        <v>7.5555555555555556E-2</v>
      </c>
      <c r="G787" s="23">
        <v>-3.375</v>
      </c>
      <c r="H787" s="27">
        <v>0</v>
      </c>
      <c r="I787" s="21">
        <v>1</v>
      </c>
      <c r="J787" s="21">
        <v>803</v>
      </c>
      <c r="K787" s="21">
        <v>1</v>
      </c>
      <c r="L787" s="21">
        <v>0</v>
      </c>
      <c r="M787" s="21">
        <v>0</v>
      </c>
      <c r="N787" s="21">
        <v>0</v>
      </c>
      <c r="O787" s="21">
        <v>0</v>
      </c>
      <c r="P787">
        <v>0</v>
      </c>
      <c r="Q787" s="21">
        <v>0</v>
      </c>
      <c r="R787" s="21">
        <v>0</v>
      </c>
      <c r="S787" s="21">
        <v>1</v>
      </c>
      <c r="T787" s="21">
        <v>1</v>
      </c>
      <c r="U787" s="21">
        <v>2001</v>
      </c>
      <c r="V787" s="21">
        <v>2005</v>
      </c>
      <c r="W787">
        <f t="shared" si="45"/>
        <v>2003</v>
      </c>
      <c r="X787" s="21">
        <v>1</v>
      </c>
      <c r="Y787" s="21">
        <v>0</v>
      </c>
      <c r="Z787" s="21">
        <v>0</v>
      </c>
      <c r="AA787" s="21">
        <v>0</v>
      </c>
      <c r="AB787" s="21">
        <v>0</v>
      </c>
      <c r="AC787" s="21">
        <v>1</v>
      </c>
      <c r="AD787" s="21">
        <v>0</v>
      </c>
      <c r="AE787" s="21">
        <v>1</v>
      </c>
      <c r="AF787" s="21">
        <v>0</v>
      </c>
      <c r="AG787" s="21">
        <v>0</v>
      </c>
      <c r="AH787" s="21">
        <v>0</v>
      </c>
      <c r="AI787" s="21">
        <v>0</v>
      </c>
      <c r="AJ787" s="21">
        <v>0</v>
      </c>
      <c r="AK787" s="21">
        <v>1</v>
      </c>
      <c r="AL787" s="21">
        <v>0</v>
      </c>
      <c r="AM787" s="21">
        <v>0</v>
      </c>
      <c r="AN787" s="21">
        <v>0</v>
      </c>
      <c r="AO787" s="21">
        <v>0</v>
      </c>
      <c r="AP787" s="21">
        <v>1</v>
      </c>
      <c r="AQ787" s="21">
        <v>1</v>
      </c>
      <c r="AR787" s="21">
        <v>0</v>
      </c>
      <c r="AS787" s="21">
        <v>0</v>
      </c>
      <c r="AT787" s="21">
        <v>1</v>
      </c>
      <c r="AU787" s="21">
        <v>1</v>
      </c>
      <c r="AV787" s="21">
        <v>1</v>
      </c>
      <c r="AW787" s="21">
        <v>1</v>
      </c>
      <c r="AX787" s="21">
        <v>1</v>
      </c>
      <c r="AY787" s="21">
        <v>1</v>
      </c>
      <c r="AZ787" s="21">
        <v>1</v>
      </c>
      <c r="BA787" s="21">
        <v>1</v>
      </c>
      <c r="BB787" s="21">
        <v>1</v>
      </c>
      <c r="BC787" s="21">
        <v>0</v>
      </c>
      <c r="BD787" s="21">
        <v>0</v>
      </c>
      <c r="BE787" s="21">
        <v>0</v>
      </c>
      <c r="BF787" s="21">
        <v>0</v>
      </c>
      <c r="BG787" s="21">
        <v>1</v>
      </c>
      <c r="BH787" s="21">
        <v>0</v>
      </c>
      <c r="BI787" s="21">
        <v>1</v>
      </c>
      <c r="BJ787" s="21">
        <v>1</v>
      </c>
      <c r="BK787" s="21">
        <v>0</v>
      </c>
      <c r="BL787" s="21">
        <v>0</v>
      </c>
      <c r="BM787" s="21">
        <v>1</v>
      </c>
      <c r="BN787" s="21">
        <v>0</v>
      </c>
      <c r="BO787" s="21">
        <v>0</v>
      </c>
      <c r="BP787" s="21">
        <v>0</v>
      </c>
      <c r="BQ787" s="21">
        <v>0</v>
      </c>
      <c r="BR787" s="21">
        <v>0</v>
      </c>
      <c r="BS787" s="21">
        <v>0</v>
      </c>
    </row>
    <row r="788" spans="1:71">
      <c r="A788" s="18" t="s">
        <v>4957</v>
      </c>
      <c r="B788">
        <v>45</v>
      </c>
      <c r="C788">
        <v>308</v>
      </c>
      <c r="D788" s="21">
        <v>2012</v>
      </c>
      <c r="E788" s="23">
        <v>-1.52</v>
      </c>
      <c r="F788">
        <v>0.16</v>
      </c>
      <c r="G788" s="14">
        <f t="shared" ref="G788:G795" si="49">E788/F788</f>
        <v>-9.5</v>
      </c>
      <c r="H788" s="27">
        <v>0</v>
      </c>
      <c r="I788" s="21">
        <v>0</v>
      </c>
      <c r="J788" s="21">
        <v>228</v>
      </c>
      <c r="K788" s="21">
        <v>1</v>
      </c>
      <c r="L788" s="21">
        <v>0</v>
      </c>
      <c r="M788" s="21">
        <v>0</v>
      </c>
      <c r="N788" s="21">
        <v>0</v>
      </c>
      <c r="O788" s="21">
        <v>0</v>
      </c>
      <c r="P788">
        <v>0</v>
      </c>
      <c r="Q788" s="21">
        <v>0</v>
      </c>
      <c r="R788" s="21">
        <v>0</v>
      </c>
      <c r="S788" s="21">
        <v>1</v>
      </c>
      <c r="T788" s="21">
        <v>1</v>
      </c>
      <c r="U788" s="21">
        <v>1998</v>
      </c>
      <c r="V788" s="21">
        <v>2009</v>
      </c>
      <c r="W788">
        <f t="shared" si="45"/>
        <v>2004</v>
      </c>
      <c r="X788" s="21">
        <v>1</v>
      </c>
      <c r="Y788" s="21">
        <v>0</v>
      </c>
      <c r="Z788" s="21">
        <v>0</v>
      </c>
      <c r="AA788" s="21">
        <v>0</v>
      </c>
      <c r="AB788" s="21">
        <v>0</v>
      </c>
      <c r="AC788" s="21">
        <v>1</v>
      </c>
      <c r="AD788" s="21">
        <v>0</v>
      </c>
      <c r="AE788" s="21">
        <v>0</v>
      </c>
      <c r="AF788" s="21">
        <v>0</v>
      </c>
      <c r="AG788" s="21">
        <v>0</v>
      </c>
      <c r="AH788" s="21">
        <v>0</v>
      </c>
      <c r="AI788" s="21">
        <v>0</v>
      </c>
      <c r="AJ788" s="21">
        <v>0</v>
      </c>
      <c r="AK788" s="21">
        <v>0</v>
      </c>
      <c r="AL788" s="21">
        <v>0</v>
      </c>
      <c r="AM788" s="21">
        <v>1</v>
      </c>
      <c r="AN788" s="21">
        <v>0</v>
      </c>
      <c r="AO788" s="21">
        <v>1</v>
      </c>
      <c r="AP788" s="21">
        <v>0</v>
      </c>
      <c r="AQ788" s="21">
        <v>0</v>
      </c>
      <c r="AR788" s="21">
        <v>1</v>
      </c>
      <c r="AS788" s="21">
        <v>1</v>
      </c>
      <c r="AT788" s="21">
        <v>1</v>
      </c>
      <c r="AU788" s="21">
        <v>1</v>
      </c>
      <c r="AV788" s="21">
        <v>0</v>
      </c>
      <c r="AW788" s="21">
        <v>1</v>
      </c>
      <c r="AX788" s="21">
        <v>0</v>
      </c>
      <c r="AY788" s="21">
        <v>1</v>
      </c>
      <c r="AZ788" s="21">
        <v>1</v>
      </c>
      <c r="BA788" s="21">
        <v>1</v>
      </c>
      <c r="BB788" s="21">
        <v>1</v>
      </c>
      <c r="BC788" s="21">
        <v>0</v>
      </c>
      <c r="BD788" s="21">
        <v>0</v>
      </c>
      <c r="BE788" s="21">
        <v>0</v>
      </c>
      <c r="BF788" s="21">
        <v>1</v>
      </c>
      <c r="BG788" s="21">
        <v>0</v>
      </c>
      <c r="BH788" s="21">
        <v>1</v>
      </c>
      <c r="BI788" s="21">
        <v>0</v>
      </c>
      <c r="BJ788" s="21">
        <v>0</v>
      </c>
      <c r="BK788" s="21">
        <v>0</v>
      </c>
      <c r="BL788" s="21">
        <v>0</v>
      </c>
      <c r="BM788" s="21">
        <v>0</v>
      </c>
      <c r="BN788" s="21">
        <v>0</v>
      </c>
      <c r="BO788" s="21">
        <v>0</v>
      </c>
      <c r="BP788" s="21">
        <v>0</v>
      </c>
      <c r="BQ788" s="21">
        <v>1</v>
      </c>
      <c r="BR788" s="21">
        <v>0</v>
      </c>
      <c r="BS788" s="21">
        <v>0</v>
      </c>
    </row>
    <row r="789" spans="1:71">
      <c r="A789" s="18" t="s">
        <v>4957</v>
      </c>
      <c r="B789">
        <v>45</v>
      </c>
      <c r="C789">
        <v>309</v>
      </c>
      <c r="D789" s="21">
        <v>2012</v>
      </c>
      <c r="E789" s="23">
        <v>-1.51</v>
      </c>
      <c r="F789">
        <v>0.16</v>
      </c>
      <c r="G789" s="14">
        <f t="shared" si="49"/>
        <v>-9.4375</v>
      </c>
      <c r="H789" s="27">
        <v>0</v>
      </c>
      <c r="I789" s="21">
        <v>0</v>
      </c>
      <c r="J789" s="21">
        <v>228</v>
      </c>
      <c r="K789" s="21">
        <v>1</v>
      </c>
      <c r="L789" s="21">
        <v>0</v>
      </c>
      <c r="M789" s="21">
        <v>0</v>
      </c>
      <c r="N789" s="21">
        <v>0</v>
      </c>
      <c r="O789" s="21">
        <v>0</v>
      </c>
      <c r="P789">
        <v>0</v>
      </c>
      <c r="Q789" s="21">
        <v>0</v>
      </c>
      <c r="R789" s="21">
        <v>0</v>
      </c>
      <c r="S789" s="21">
        <v>1</v>
      </c>
      <c r="T789" s="21">
        <v>1</v>
      </c>
      <c r="U789" s="21">
        <v>1998</v>
      </c>
      <c r="V789" s="21">
        <v>2009</v>
      </c>
      <c r="W789">
        <f t="shared" si="45"/>
        <v>2004</v>
      </c>
      <c r="X789" s="21">
        <v>1</v>
      </c>
      <c r="Y789" s="21">
        <v>0</v>
      </c>
      <c r="Z789" s="21">
        <v>0</v>
      </c>
      <c r="AA789" s="21">
        <v>0</v>
      </c>
      <c r="AB789" s="21">
        <v>0</v>
      </c>
      <c r="AC789" s="21">
        <v>1</v>
      </c>
      <c r="AD789" s="21">
        <v>0</v>
      </c>
      <c r="AE789" s="21">
        <v>0</v>
      </c>
      <c r="AF789" s="21">
        <v>0</v>
      </c>
      <c r="AG789" s="21">
        <v>0</v>
      </c>
      <c r="AH789" s="21">
        <v>0</v>
      </c>
      <c r="AI789" s="21">
        <v>0</v>
      </c>
      <c r="AJ789" s="21">
        <v>0</v>
      </c>
      <c r="AK789" s="21">
        <v>0</v>
      </c>
      <c r="AL789" s="21">
        <v>0</v>
      </c>
      <c r="AM789" s="21">
        <v>1</v>
      </c>
      <c r="AN789" s="21">
        <v>0</v>
      </c>
      <c r="AO789" s="21">
        <v>1</v>
      </c>
      <c r="AP789" s="21">
        <v>0</v>
      </c>
      <c r="AQ789" s="21">
        <v>0</v>
      </c>
      <c r="AR789" s="21">
        <v>1</v>
      </c>
      <c r="AS789" s="21">
        <v>1</v>
      </c>
      <c r="AT789" s="21">
        <v>1</v>
      </c>
      <c r="AU789" s="21">
        <v>1</v>
      </c>
      <c r="AV789" s="21">
        <v>0</v>
      </c>
      <c r="AW789" s="21">
        <v>1</v>
      </c>
      <c r="AX789" s="21">
        <v>0</v>
      </c>
      <c r="AY789" s="21">
        <v>1</v>
      </c>
      <c r="AZ789" s="21">
        <v>1</v>
      </c>
      <c r="BA789" s="21">
        <v>1</v>
      </c>
      <c r="BB789" s="21">
        <v>1</v>
      </c>
      <c r="BC789" s="21">
        <v>0</v>
      </c>
      <c r="BD789" s="21">
        <v>0</v>
      </c>
      <c r="BE789" s="21">
        <v>0</v>
      </c>
      <c r="BF789" s="21">
        <v>1</v>
      </c>
      <c r="BG789" s="21">
        <v>0</v>
      </c>
      <c r="BH789" s="21">
        <v>1</v>
      </c>
      <c r="BI789" s="21">
        <v>0</v>
      </c>
      <c r="BJ789" s="21">
        <v>0</v>
      </c>
      <c r="BK789" s="21">
        <v>0</v>
      </c>
      <c r="BL789" s="21">
        <v>0</v>
      </c>
      <c r="BM789" s="21">
        <v>0</v>
      </c>
      <c r="BN789" s="21">
        <v>0</v>
      </c>
      <c r="BO789" s="21">
        <v>0</v>
      </c>
      <c r="BP789" s="21">
        <v>0</v>
      </c>
      <c r="BQ789" s="21">
        <v>1</v>
      </c>
      <c r="BR789" s="21">
        <v>0</v>
      </c>
      <c r="BS789" s="21">
        <v>0</v>
      </c>
    </row>
    <row r="790" spans="1:71">
      <c r="A790" s="20" t="s">
        <v>4957</v>
      </c>
      <c r="B790">
        <v>45</v>
      </c>
      <c r="C790">
        <v>310</v>
      </c>
      <c r="D790" s="21">
        <v>2012</v>
      </c>
      <c r="E790" s="23">
        <v>-1.53</v>
      </c>
      <c r="F790">
        <v>0.16</v>
      </c>
      <c r="G790" s="14">
        <f t="shared" si="49"/>
        <v>-9.5625</v>
      </c>
      <c r="H790" s="27">
        <v>0</v>
      </c>
      <c r="I790" s="21">
        <v>0</v>
      </c>
      <c r="J790" s="21">
        <v>228</v>
      </c>
      <c r="K790" s="21">
        <v>1</v>
      </c>
      <c r="L790" s="21">
        <v>0</v>
      </c>
      <c r="M790" s="21">
        <v>0</v>
      </c>
      <c r="N790" s="21">
        <v>0</v>
      </c>
      <c r="O790" s="21">
        <v>0</v>
      </c>
      <c r="P790">
        <v>0</v>
      </c>
      <c r="Q790" s="21">
        <v>0</v>
      </c>
      <c r="R790" s="21">
        <v>0</v>
      </c>
      <c r="S790" s="21">
        <v>1</v>
      </c>
      <c r="T790" s="21">
        <v>1</v>
      </c>
      <c r="U790" s="21">
        <v>1998</v>
      </c>
      <c r="V790" s="21">
        <v>2009</v>
      </c>
      <c r="W790">
        <f t="shared" si="45"/>
        <v>2004</v>
      </c>
      <c r="X790" s="21">
        <v>1</v>
      </c>
      <c r="Y790" s="21">
        <v>0</v>
      </c>
      <c r="Z790" s="21">
        <v>0</v>
      </c>
      <c r="AA790" s="21">
        <v>0</v>
      </c>
      <c r="AB790" s="21">
        <v>0</v>
      </c>
      <c r="AC790" s="21">
        <v>1</v>
      </c>
      <c r="AD790" s="21">
        <v>0</v>
      </c>
      <c r="AE790" s="21">
        <v>0</v>
      </c>
      <c r="AF790" s="21">
        <v>0</v>
      </c>
      <c r="AG790" s="21">
        <v>0</v>
      </c>
      <c r="AH790" s="21">
        <v>0</v>
      </c>
      <c r="AI790" s="21">
        <v>0</v>
      </c>
      <c r="AJ790" s="21">
        <v>0</v>
      </c>
      <c r="AK790" s="21">
        <v>0</v>
      </c>
      <c r="AL790" s="21">
        <v>0</v>
      </c>
      <c r="AM790" s="21">
        <v>1</v>
      </c>
      <c r="AN790" s="21">
        <v>0</v>
      </c>
      <c r="AO790" s="21">
        <v>1</v>
      </c>
      <c r="AP790" s="21">
        <v>0</v>
      </c>
      <c r="AQ790" s="21">
        <v>0</v>
      </c>
      <c r="AR790" s="21">
        <v>1</v>
      </c>
      <c r="AS790" s="21">
        <v>1</v>
      </c>
      <c r="AT790" s="21">
        <v>1</v>
      </c>
      <c r="AU790" s="21">
        <v>1</v>
      </c>
      <c r="AV790" s="21">
        <v>0</v>
      </c>
      <c r="AW790" s="21">
        <v>1</v>
      </c>
      <c r="AX790" s="21">
        <v>0</v>
      </c>
      <c r="AY790" s="21">
        <v>1</v>
      </c>
      <c r="AZ790" s="21">
        <v>1</v>
      </c>
      <c r="BA790" s="21">
        <v>1</v>
      </c>
      <c r="BB790" s="21">
        <v>1</v>
      </c>
      <c r="BC790" s="21">
        <v>0</v>
      </c>
      <c r="BD790" s="21">
        <v>0</v>
      </c>
      <c r="BE790" s="21">
        <v>0</v>
      </c>
      <c r="BF790" s="21">
        <v>1</v>
      </c>
      <c r="BG790" s="21">
        <v>0</v>
      </c>
      <c r="BH790" s="21">
        <v>1</v>
      </c>
      <c r="BI790" s="21">
        <v>0</v>
      </c>
      <c r="BJ790" s="21">
        <v>0</v>
      </c>
      <c r="BK790" s="21">
        <v>0</v>
      </c>
      <c r="BL790" s="21">
        <v>0</v>
      </c>
      <c r="BM790" s="21">
        <v>0</v>
      </c>
      <c r="BN790" s="21">
        <v>0</v>
      </c>
      <c r="BO790" s="21">
        <v>0</v>
      </c>
      <c r="BP790" s="21">
        <v>0</v>
      </c>
      <c r="BQ790" s="21">
        <v>0</v>
      </c>
      <c r="BR790" s="21">
        <v>0</v>
      </c>
      <c r="BS790" s="21">
        <v>0</v>
      </c>
    </row>
    <row r="791" spans="1:71">
      <c r="A791" s="20" t="s">
        <v>4957</v>
      </c>
      <c r="B791">
        <v>45</v>
      </c>
      <c r="C791">
        <v>311</v>
      </c>
      <c r="D791" s="21">
        <v>2012</v>
      </c>
      <c r="E791" s="23">
        <v>-1.53</v>
      </c>
      <c r="F791">
        <v>0.16</v>
      </c>
      <c r="G791" s="14">
        <f t="shared" si="49"/>
        <v>-9.5625</v>
      </c>
      <c r="H791" s="27">
        <v>0</v>
      </c>
      <c r="I791" s="21">
        <v>0</v>
      </c>
      <c r="J791" s="21">
        <v>228</v>
      </c>
      <c r="K791" s="21">
        <v>1</v>
      </c>
      <c r="L791" s="21">
        <v>0</v>
      </c>
      <c r="M791" s="21">
        <v>0</v>
      </c>
      <c r="N791" s="21">
        <v>0</v>
      </c>
      <c r="O791" s="21">
        <v>0</v>
      </c>
      <c r="P791">
        <v>0</v>
      </c>
      <c r="Q791" s="21">
        <v>0</v>
      </c>
      <c r="R791" s="21">
        <v>0</v>
      </c>
      <c r="S791" s="21">
        <v>1</v>
      </c>
      <c r="T791" s="21">
        <v>1</v>
      </c>
      <c r="U791" s="21">
        <v>1998</v>
      </c>
      <c r="V791" s="21">
        <v>2009</v>
      </c>
      <c r="W791">
        <f t="shared" ref="W791:W854" si="50">ROUND(AVERAGE(U791:V791), 0)</f>
        <v>2004</v>
      </c>
      <c r="X791" s="21">
        <v>1</v>
      </c>
      <c r="Y791" s="21">
        <v>0</v>
      </c>
      <c r="Z791" s="21">
        <v>0</v>
      </c>
      <c r="AA791" s="21">
        <v>0</v>
      </c>
      <c r="AB791" s="21">
        <v>0</v>
      </c>
      <c r="AC791" s="21">
        <v>1</v>
      </c>
      <c r="AD791" s="21">
        <v>0</v>
      </c>
      <c r="AE791" s="21">
        <v>0</v>
      </c>
      <c r="AF791" s="21">
        <v>0</v>
      </c>
      <c r="AG791" s="21">
        <v>0</v>
      </c>
      <c r="AH791" s="21">
        <v>0</v>
      </c>
      <c r="AI791" s="21">
        <v>0</v>
      </c>
      <c r="AJ791" s="21">
        <v>0</v>
      </c>
      <c r="AK791" s="21">
        <v>0</v>
      </c>
      <c r="AL791" s="21">
        <v>0</v>
      </c>
      <c r="AM791" s="21">
        <v>1</v>
      </c>
      <c r="AN791" s="21">
        <v>0</v>
      </c>
      <c r="AO791" s="21">
        <v>1</v>
      </c>
      <c r="AP791" s="21">
        <v>0</v>
      </c>
      <c r="AQ791" s="21">
        <v>0</v>
      </c>
      <c r="AR791" s="21">
        <v>1</v>
      </c>
      <c r="AS791" s="21">
        <v>1</v>
      </c>
      <c r="AT791" s="21">
        <v>1</v>
      </c>
      <c r="AU791" s="21">
        <v>1</v>
      </c>
      <c r="AV791" s="21">
        <v>0</v>
      </c>
      <c r="AW791" s="21">
        <v>1</v>
      </c>
      <c r="AX791" s="21">
        <v>0</v>
      </c>
      <c r="AY791" s="21">
        <v>1</v>
      </c>
      <c r="AZ791" s="21">
        <v>1</v>
      </c>
      <c r="BA791" s="21">
        <v>1</v>
      </c>
      <c r="BB791" s="21">
        <v>1</v>
      </c>
      <c r="BC791" s="21">
        <v>0</v>
      </c>
      <c r="BD791" s="21">
        <v>0</v>
      </c>
      <c r="BE791" s="21">
        <v>0</v>
      </c>
      <c r="BF791" s="21">
        <v>1</v>
      </c>
      <c r="BG791" s="21">
        <v>0</v>
      </c>
      <c r="BH791" s="21">
        <v>1</v>
      </c>
      <c r="BI791" s="21">
        <v>0</v>
      </c>
      <c r="BJ791" s="21">
        <v>0</v>
      </c>
      <c r="BK791" s="21">
        <v>0</v>
      </c>
      <c r="BL791" s="21">
        <v>0</v>
      </c>
      <c r="BM791" s="21">
        <v>0</v>
      </c>
      <c r="BN791" s="21">
        <v>0</v>
      </c>
      <c r="BO791" s="21">
        <v>0</v>
      </c>
      <c r="BP791" s="21">
        <v>0</v>
      </c>
      <c r="BQ791" s="21">
        <v>0</v>
      </c>
      <c r="BR791" s="21">
        <v>0</v>
      </c>
      <c r="BS791" s="21">
        <v>0</v>
      </c>
    </row>
    <row r="792" spans="1:71">
      <c r="A792" s="20" t="s">
        <v>4957</v>
      </c>
      <c r="B792">
        <v>45</v>
      </c>
      <c r="C792">
        <v>312</v>
      </c>
      <c r="D792" s="21">
        <v>2012</v>
      </c>
      <c r="E792" s="23">
        <v>-1.38</v>
      </c>
      <c r="F792">
        <v>0.14000000000000001</v>
      </c>
      <c r="G792" s="14">
        <f t="shared" si="49"/>
        <v>-9.8571428571428559</v>
      </c>
      <c r="H792" s="27">
        <v>0</v>
      </c>
      <c r="I792" s="21">
        <v>0</v>
      </c>
      <c r="J792" s="21">
        <v>228</v>
      </c>
      <c r="K792" s="21">
        <v>1</v>
      </c>
      <c r="L792" s="21">
        <v>0</v>
      </c>
      <c r="M792" s="21">
        <v>0</v>
      </c>
      <c r="N792" s="21">
        <v>0</v>
      </c>
      <c r="O792" s="21">
        <v>0</v>
      </c>
      <c r="P792">
        <v>0</v>
      </c>
      <c r="Q792" s="21">
        <v>0</v>
      </c>
      <c r="R792" s="21">
        <v>0</v>
      </c>
      <c r="S792" s="21">
        <v>1</v>
      </c>
      <c r="T792" s="21">
        <v>1</v>
      </c>
      <c r="U792" s="21">
        <v>1998</v>
      </c>
      <c r="V792" s="21">
        <v>2009</v>
      </c>
      <c r="W792">
        <f t="shared" si="50"/>
        <v>2004</v>
      </c>
      <c r="X792" s="21">
        <v>1</v>
      </c>
      <c r="Y792" s="21">
        <v>0</v>
      </c>
      <c r="Z792" s="21">
        <v>0</v>
      </c>
      <c r="AA792" s="21">
        <v>0</v>
      </c>
      <c r="AB792" s="21">
        <v>0</v>
      </c>
      <c r="AC792" s="21">
        <v>1</v>
      </c>
      <c r="AD792" s="21">
        <v>0</v>
      </c>
      <c r="AE792" s="21">
        <v>0</v>
      </c>
      <c r="AF792" s="21">
        <v>0</v>
      </c>
      <c r="AG792" s="21">
        <v>0</v>
      </c>
      <c r="AH792" s="21">
        <v>0</v>
      </c>
      <c r="AI792" s="21">
        <v>0</v>
      </c>
      <c r="AJ792" s="21">
        <v>0</v>
      </c>
      <c r="AK792" s="21">
        <v>0</v>
      </c>
      <c r="AL792" s="21">
        <v>0</v>
      </c>
      <c r="AM792" s="21">
        <v>1</v>
      </c>
      <c r="AN792" s="21">
        <v>0</v>
      </c>
      <c r="AO792" s="21">
        <v>1</v>
      </c>
      <c r="AP792" s="21">
        <v>0</v>
      </c>
      <c r="AQ792" s="21">
        <v>0</v>
      </c>
      <c r="AR792" s="21">
        <v>1</v>
      </c>
      <c r="AS792" s="21">
        <v>1</v>
      </c>
      <c r="AT792" s="21">
        <v>1</v>
      </c>
      <c r="AU792" s="21">
        <v>1</v>
      </c>
      <c r="AV792" s="21">
        <v>0</v>
      </c>
      <c r="AW792" s="21">
        <v>1</v>
      </c>
      <c r="AX792" s="21">
        <v>0</v>
      </c>
      <c r="AY792" s="21">
        <v>1</v>
      </c>
      <c r="AZ792" s="21">
        <v>1</v>
      </c>
      <c r="BA792" s="21">
        <v>1</v>
      </c>
      <c r="BB792" s="21">
        <v>1</v>
      </c>
      <c r="BC792" s="21">
        <v>0</v>
      </c>
      <c r="BD792" s="21">
        <v>0</v>
      </c>
      <c r="BE792" s="21">
        <v>0</v>
      </c>
      <c r="BF792" s="21">
        <v>1</v>
      </c>
      <c r="BG792" s="21">
        <v>0</v>
      </c>
      <c r="BH792" s="21">
        <v>1</v>
      </c>
      <c r="BI792" s="21">
        <v>0</v>
      </c>
      <c r="BJ792" s="21">
        <v>0</v>
      </c>
      <c r="BK792" s="21">
        <v>0</v>
      </c>
      <c r="BL792" s="21">
        <v>0</v>
      </c>
      <c r="BM792" s="21">
        <v>0</v>
      </c>
      <c r="BN792" s="21">
        <v>0</v>
      </c>
      <c r="BO792" s="21">
        <v>0</v>
      </c>
      <c r="BP792" s="21">
        <v>0</v>
      </c>
      <c r="BQ792" s="21">
        <v>1</v>
      </c>
      <c r="BR792" s="21">
        <v>0</v>
      </c>
      <c r="BS792" s="21">
        <v>0</v>
      </c>
    </row>
    <row r="793" spans="1:71">
      <c r="A793" s="20" t="s">
        <v>4957</v>
      </c>
      <c r="B793">
        <v>45</v>
      </c>
      <c r="C793">
        <v>313</v>
      </c>
      <c r="D793" s="21">
        <v>2012</v>
      </c>
      <c r="E793" s="23">
        <v>-1.38</v>
      </c>
      <c r="F793">
        <v>0.14000000000000001</v>
      </c>
      <c r="G793" s="14">
        <f t="shared" si="49"/>
        <v>-9.8571428571428559</v>
      </c>
      <c r="H793" s="27">
        <v>0</v>
      </c>
      <c r="I793" s="21">
        <v>0</v>
      </c>
      <c r="J793" s="21">
        <v>228</v>
      </c>
      <c r="K793" s="21">
        <v>1</v>
      </c>
      <c r="L793" s="21">
        <v>0</v>
      </c>
      <c r="M793" s="21">
        <v>0</v>
      </c>
      <c r="N793" s="21">
        <v>0</v>
      </c>
      <c r="O793" s="21">
        <v>0</v>
      </c>
      <c r="P793">
        <v>0</v>
      </c>
      <c r="Q793" s="21">
        <v>0</v>
      </c>
      <c r="R793" s="21">
        <v>0</v>
      </c>
      <c r="S793" s="21">
        <v>1</v>
      </c>
      <c r="T793" s="21">
        <v>1</v>
      </c>
      <c r="U793" s="21">
        <v>1998</v>
      </c>
      <c r="V793" s="21">
        <v>2009</v>
      </c>
      <c r="W793">
        <f t="shared" si="50"/>
        <v>2004</v>
      </c>
      <c r="X793" s="21">
        <v>1</v>
      </c>
      <c r="Y793" s="21">
        <v>0</v>
      </c>
      <c r="Z793" s="21">
        <v>0</v>
      </c>
      <c r="AA793" s="21">
        <v>0</v>
      </c>
      <c r="AB793" s="21">
        <v>0</v>
      </c>
      <c r="AC793" s="21">
        <v>1</v>
      </c>
      <c r="AD793" s="21">
        <v>0</v>
      </c>
      <c r="AE793" s="21">
        <v>0</v>
      </c>
      <c r="AF793" s="21">
        <v>0</v>
      </c>
      <c r="AG793" s="21">
        <v>0</v>
      </c>
      <c r="AH793" s="21">
        <v>0</v>
      </c>
      <c r="AI793" s="21">
        <v>0</v>
      </c>
      <c r="AJ793" s="21">
        <v>0</v>
      </c>
      <c r="AK793" s="21">
        <v>0</v>
      </c>
      <c r="AL793" s="21">
        <v>0</v>
      </c>
      <c r="AM793" s="21">
        <v>1</v>
      </c>
      <c r="AN793" s="21">
        <v>0</v>
      </c>
      <c r="AO793" s="21">
        <v>1</v>
      </c>
      <c r="AP793" s="21">
        <v>0</v>
      </c>
      <c r="AQ793" s="21">
        <v>0</v>
      </c>
      <c r="AR793" s="21">
        <v>1</v>
      </c>
      <c r="AS793" s="21">
        <v>1</v>
      </c>
      <c r="AT793" s="21">
        <v>1</v>
      </c>
      <c r="AU793" s="21">
        <v>1</v>
      </c>
      <c r="AV793" s="21">
        <v>0</v>
      </c>
      <c r="AW793" s="21">
        <v>1</v>
      </c>
      <c r="AX793" s="21">
        <v>0</v>
      </c>
      <c r="AY793" s="21">
        <v>1</v>
      </c>
      <c r="AZ793" s="21">
        <v>1</v>
      </c>
      <c r="BA793" s="21">
        <v>1</v>
      </c>
      <c r="BB793" s="21">
        <v>1</v>
      </c>
      <c r="BC793" s="21">
        <v>0</v>
      </c>
      <c r="BD793" s="21">
        <v>0</v>
      </c>
      <c r="BE793" s="21">
        <v>0</v>
      </c>
      <c r="BF793" s="21">
        <v>1</v>
      </c>
      <c r="BG793" s="21">
        <v>0</v>
      </c>
      <c r="BH793" s="21">
        <v>1</v>
      </c>
      <c r="BI793" s="21">
        <v>0</v>
      </c>
      <c r="BJ793" s="21">
        <v>0</v>
      </c>
      <c r="BK793" s="21">
        <v>0</v>
      </c>
      <c r="BL793" s="21">
        <v>0</v>
      </c>
      <c r="BM793" s="21">
        <v>0</v>
      </c>
      <c r="BN793" s="21">
        <v>0</v>
      </c>
      <c r="BO793" s="21">
        <v>0</v>
      </c>
      <c r="BP793" s="21">
        <v>0</v>
      </c>
      <c r="BQ793" s="21">
        <v>1</v>
      </c>
      <c r="BR793" s="21">
        <v>0</v>
      </c>
      <c r="BS793" s="21">
        <v>0</v>
      </c>
    </row>
    <row r="794" spans="1:71">
      <c r="A794" s="20" t="s">
        <v>5085</v>
      </c>
      <c r="B794">
        <v>61</v>
      </c>
      <c r="C794">
        <v>408</v>
      </c>
      <c r="D794">
        <v>2012</v>
      </c>
      <c r="E794">
        <v>-1.0165</v>
      </c>
      <c r="F794">
        <v>3.6200000000000003E-2</v>
      </c>
      <c r="G794">
        <f t="shared" si="49"/>
        <v>-28.080110497237566</v>
      </c>
      <c r="H794" s="27">
        <v>0</v>
      </c>
      <c r="I794">
        <v>1</v>
      </c>
      <c r="J794">
        <v>4560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1</v>
      </c>
      <c r="U794">
        <v>1998</v>
      </c>
      <c r="V794">
        <v>2009</v>
      </c>
      <c r="W794">
        <f t="shared" si="50"/>
        <v>2004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 s="21">
        <v>0</v>
      </c>
      <c r="AE794">
        <v>1</v>
      </c>
      <c r="AF794">
        <v>0</v>
      </c>
      <c r="AG794">
        <v>1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 s="21">
        <v>0</v>
      </c>
      <c r="AO794" s="21">
        <v>0</v>
      </c>
      <c r="AP794" s="21">
        <v>1</v>
      </c>
      <c r="AQ794">
        <v>1</v>
      </c>
      <c r="AR794">
        <v>0</v>
      </c>
      <c r="AS794">
        <v>1</v>
      </c>
      <c r="AT794">
        <v>1</v>
      </c>
      <c r="AU794">
        <v>0</v>
      </c>
      <c r="AV794">
        <v>0</v>
      </c>
      <c r="AW794">
        <v>0</v>
      </c>
      <c r="AX794">
        <v>0</v>
      </c>
      <c r="AY794">
        <v>0</v>
      </c>
      <c r="AZ794" s="21">
        <v>0</v>
      </c>
      <c r="BA794" s="21">
        <v>0</v>
      </c>
      <c r="BB794" s="21">
        <v>1</v>
      </c>
      <c r="BC794">
        <v>0</v>
      </c>
      <c r="BD794">
        <v>0</v>
      </c>
      <c r="BE794">
        <v>0</v>
      </c>
      <c r="BF794">
        <v>0</v>
      </c>
      <c r="BG794">
        <v>1</v>
      </c>
      <c r="BH794">
        <v>1</v>
      </c>
      <c r="BI794">
        <v>0</v>
      </c>
      <c r="BJ794">
        <v>0</v>
      </c>
      <c r="BK794">
        <v>0</v>
      </c>
      <c r="BL794">
        <v>1</v>
      </c>
      <c r="BM794">
        <v>0</v>
      </c>
      <c r="BN794">
        <v>0</v>
      </c>
      <c r="BO794">
        <v>0</v>
      </c>
      <c r="BP794">
        <v>0</v>
      </c>
      <c r="BQ794">
        <v>0</v>
      </c>
      <c r="BR794" s="21">
        <v>1</v>
      </c>
      <c r="BS794" s="21">
        <v>0</v>
      </c>
    </row>
    <row r="795" spans="1:71">
      <c r="A795" s="20" t="s">
        <v>5228</v>
      </c>
      <c r="B795">
        <v>94</v>
      </c>
      <c r="C795">
        <v>573</v>
      </c>
      <c r="D795">
        <v>2012</v>
      </c>
      <c r="E795">
        <v>-0.71199999999999997</v>
      </c>
      <c r="F795">
        <v>0.315</v>
      </c>
      <c r="G795">
        <f t="shared" si="49"/>
        <v>-2.2603174603174603</v>
      </c>
      <c r="H795" s="27">
        <v>0</v>
      </c>
      <c r="I795">
        <v>1</v>
      </c>
      <c r="J795">
        <v>474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1980</v>
      </c>
      <c r="V795">
        <v>2007</v>
      </c>
      <c r="W795">
        <f t="shared" si="50"/>
        <v>1994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</v>
      </c>
      <c r="AN795" s="21">
        <v>0</v>
      </c>
      <c r="AO795" s="21">
        <v>1</v>
      </c>
      <c r="AP795" s="21">
        <v>0</v>
      </c>
      <c r="AQ795">
        <v>1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 s="21">
        <v>1</v>
      </c>
      <c r="BA795" s="21">
        <v>1</v>
      </c>
      <c r="BB795" s="21">
        <v>1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1</v>
      </c>
      <c r="BQ795">
        <v>0</v>
      </c>
      <c r="BR795" s="21">
        <v>0</v>
      </c>
      <c r="BS795" s="21">
        <v>0</v>
      </c>
    </row>
    <row r="796" spans="1:71">
      <c r="A796" s="18" t="s">
        <v>4886</v>
      </c>
      <c r="B796">
        <v>50</v>
      </c>
      <c r="C796">
        <v>339</v>
      </c>
      <c r="D796" s="21">
        <v>2011</v>
      </c>
      <c r="E796" s="23">
        <v>-1.48</v>
      </c>
      <c r="F796">
        <f t="shared" ref="F796:F816" si="51">E796/G796</f>
        <v>2.3143080531665361E-2</v>
      </c>
      <c r="G796">
        <v>-63.95</v>
      </c>
      <c r="H796" s="27">
        <v>0</v>
      </c>
      <c r="I796" s="21">
        <v>1</v>
      </c>
      <c r="J796" s="21">
        <v>83520</v>
      </c>
      <c r="K796" s="21">
        <v>1</v>
      </c>
      <c r="L796" s="21">
        <v>0</v>
      </c>
      <c r="M796" s="21">
        <v>0</v>
      </c>
      <c r="N796" s="21">
        <v>0</v>
      </c>
      <c r="O796" s="21">
        <v>0</v>
      </c>
      <c r="P796">
        <v>0</v>
      </c>
      <c r="Q796" s="21">
        <v>1</v>
      </c>
      <c r="R796" s="21">
        <v>0</v>
      </c>
      <c r="S796" s="21">
        <v>0</v>
      </c>
      <c r="T796" s="21">
        <v>1</v>
      </c>
      <c r="U796" s="21">
        <v>1995</v>
      </c>
      <c r="V796" s="21">
        <v>2006</v>
      </c>
      <c r="W796">
        <f t="shared" si="50"/>
        <v>2001</v>
      </c>
      <c r="X796" s="21">
        <v>1</v>
      </c>
      <c r="Y796" s="21">
        <v>0</v>
      </c>
      <c r="Z796" s="21">
        <v>1</v>
      </c>
      <c r="AA796" s="21">
        <v>0</v>
      </c>
      <c r="AB796" s="21">
        <v>0</v>
      </c>
      <c r="AC796" s="21">
        <v>0</v>
      </c>
      <c r="AD796" s="21">
        <v>0</v>
      </c>
      <c r="AE796" s="21">
        <v>0</v>
      </c>
      <c r="AF796" s="21">
        <v>1</v>
      </c>
      <c r="AG796" s="21">
        <v>1</v>
      </c>
      <c r="AH796" s="21">
        <v>1</v>
      </c>
      <c r="AI796" s="21">
        <v>1</v>
      </c>
      <c r="AJ796" s="21">
        <v>1</v>
      </c>
      <c r="AK796" s="21">
        <v>1</v>
      </c>
      <c r="AL796" s="21">
        <v>1</v>
      </c>
      <c r="AM796" s="21">
        <v>1</v>
      </c>
      <c r="AN796" s="21">
        <v>1</v>
      </c>
      <c r="AO796" s="21">
        <v>1</v>
      </c>
      <c r="AP796" s="21">
        <v>1</v>
      </c>
      <c r="AQ796" s="21">
        <v>0</v>
      </c>
      <c r="AR796" s="21">
        <v>1</v>
      </c>
      <c r="AS796" s="21">
        <v>1</v>
      </c>
      <c r="AT796" s="21">
        <v>1</v>
      </c>
      <c r="AU796" s="21">
        <v>1</v>
      </c>
      <c r="AV796" s="21">
        <v>1</v>
      </c>
      <c r="AW796" s="21">
        <v>1</v>
      </c>
      <c r="AX796" s="21">
        <v>1</v>
      </c>
      <c r="AY796" s="21">
        <v>1</v>
      </c>
      <c r="AZ796" s="21">
        <v>1</v>
      </c>
      <c r="BA796" s="21">
        <v>1</v>
      </c>
      <c r="BB796" s="21">
        <v>1</v>
      </c>
      <c r="BC796" s="21">
        <v>1</v>
      </c>
      <c r="BD796" s="21">
        <v>1</v>
      </c>
      <c r="BE796" s="21">
        <v>1</v>
      </c>
      <c r="BF796" s="21">
        <v>0</v>
      </c>
      <c r="BG796" s="21">
        <v>1</v>
      </c>
      <c r="BH796" s="21">
        <v>0</v>
      </c>
      <c r="BI796" s="21">
        <v>0</v>
      </c>
      <c r="BJ796" s="21">
        <v>0</v>
      </c>
      <c r="BK796" s="21">
        <v>0</v>
      </c>
      <c r="BL796" s="21">
        <v>0</v>
      </c>
      <c r="BM796" s="21">
        <v>0</v>
      </c>
      <c r="BN796" s="21">
        <v>0</v>
      </c>
      <c r="BO796" s="21">
        <v>1</v>
      </c>
      <c r="BP796" s="21">
        <v>0</v>
      </c>
      <c r="BQ796" s="21">
        <v>0</v>
      </c>
      <c r="BR796" s="21">
        <v>0</v>
      </c>
      <c r="BS796" s="21">
        <v>0</v>
      </c>
    </row>
    <row r="797" spans="1:71">
      <c r="A797" s="18" t="s">
        <v>4886</v>
      </c>
      <c r="B797">
        <v>50</v>
      </c>
      <c r="C797">
        <v>340</v>
      </c>
      <c r="D797" s="21">
        <v>2011</v>
      </c>
      <c r="E797" s="23">
        <v>-1.48</v>
      </c>
      <c r="F797">
        <f t="shared" si="51"/>
        <v>2.3143080531665361E-2</v>
      </c>
      <c r="G797">
        <v>-63.95</v>
      </c>
      <c r="H797" s="27">
        <v>0</v>
      </c>
      <c r="I797" s="21">
        <v>1</v>
      </c>
      <c r="J797" s="21">
        <v>83520</v>
      </c>
      <c r="K797" s="21">
        <v>1</v>
      </c>
      <c r="L797" s="21">
        <v>0</v>
      </c>
      <c r="M797" s="21">
        <v>0</v>
      </c>
      <c r="N797" s="21">
        <v>0</v>
      </c>
      <c r="O797" s="21">
        <v>0</v>
      </c>
      <c r="P797">
        <v>0</v>
      </c>
      <c r="Q797" s="21">
        <v>1</v>
      </c>
      <c r="R797" s="21">
        <v>0</v>
      </c>
      <c r="S797" s="21">
        <v>0</v>
      </c>
      <c r="T797" s="21">
        <v>1</v>
      </c>
      <c r="U797" s="21">
        <v>1995</v>
      </c>
      <c r="V797" s="21">
        <v>2006</v>
      </c>
      <c r="W797">
        <f t="shared" si="50"/>
        <v>2001</v>
      </c>
      <c r="X797" s="21">
        <v>1</v>
      </c>
      <c r="Y797" s="21">
        <v>0</v>
      </c>
      <c r="Z797" s="21">
        <v>1</v>
      </c>
      <c r="AA797" s="21">
        <v>0</v>
      </c>
      <c r="AB797" s="21">
        <v>0</v>
      </c>
      <c r="AC797" s="21">
        <v>0</v>
      </c>
      <c r="AD797" s="21">
        <v>0</v>
      </c>
      <c r="AE797" s="21">
        <v>0</v>
      </c>
      <c r="AF797" s="21">
        <v>1</v>
      </c>
      <c r="AG797" s="21">
        <v>1</v>
      </c>
      <c r="AH797" s="21">
        <v>1</v>
      </c>
      <c r="AI797" s="21">
        <v>1</v>
      </c>
      <c r="AJ797" s="21">
        <v>1</v>
      </c>
      <c r="AK797" s="21">
        <v>1</v>
      </c>
      <c r="AL797" s="21">
        <v>1</v>
      </c>
      <c r="AM797" s="21">
        <v>1</v>
      </c>
      <c r="AN797" s="21">
        <v>1</v>
      </c>
      <c r="AO797" s="21">
        <v>1</v>
      </c>
      <c r="AP797" s="21">
        <v>1</v>
      </c>
      <c r="AQ797" s="21">
        <v>0</v>
      </c>
      <c r="AR797" s="21">
        <v>1</v>
      </c>
      <c r="AS797" s="21">
        <v>1</v>
      </c>
      <c r="AT797" s="21">
        <v>1</v>
      </c>
      <c r="AU797" s="21">
        <v>1</v>
      </c>
      <c r="AV797" s="21">
        <v>1</v>
      </c>
      <c r="AW797" s="21">
        <v>1</v>
      </c>
      <c r="AX797" s="21">
        <v>1</v>
      </c>
      <c r="AY797" s="21">
        <v>1</v>
      </c>
      <c r="AZ797" s="21">
        <v>1</v>
      </c>
      <c r="BA797" s="21">
        <v>1</v>
      </c>
      <c r="BB797" s="21">
        <v>1</v>
      </c>
      <c r="BC797" s="21">
        <v>1</v>
      </c>
      <c r="BD797" s="21">
        <v>1</v>
      </c>
      <c r="BE797" s="21">
        <v>1</v>
      </c>
      <c r="BF797" s="21">
        <v>0</v>
      </c>
      <c r="BG797" s="21">
        <v>1</v>
      </c>
      <c r="BH797" s="21">
        <v>0</v>
      </c>
      <c r="BI797" s="21">
        <v>0</v>
      </c>
      <c r="BJ797" s="21">
        <v>0</v>
      </c>
      <c r="BK797" s="21">
        <v>0</v>
      </c>
      <c r="BL797" s="21">
        <v>0</v>
      </c>
      <c r="BM797" s="21">
        <v>0</v>
      </c>
      <c r="BN797" s="21">
        <v>0</v>
      </c>
      <c r="BO797" s="21">
        <v>1</v>
      </c>
      <c r="BP797" s="21">
        <v>0</v>
      </c>
      <c r="BQ797" s="21">
        <v>0</v>
      </c>
      <c r="BR797" s="21">
        <v>0</v>
      </c>
      <c r="BS797" s="21">
        <v>0</v>
      </c>
    </row>
    <row r="798" spans="1:71">
      <c r="A798" s="18" t="s">
        <v>4886</v>
      </c>
      <c r="B798">
        <v>50</v>
      </c>
      <c r="C798">
        <v>341</v>
      </c>
      <c r="D798" s="21">
        <v>2011</v>
      </c>
      <c r="E798" s="23">
        <v>-1.48</v>
      </c>
      <c r="F798">
        <f t="shared" si="51"/>
        <v>2.3143080531665361E-2</v>
      </c>
      <c r="G798">
        <v>-63.95</v>
      </c>
      <c r="H798" s="27">
        <v>0</v>
      </c>
      <c r="I798" s="21">
        <v>1</v>
      </c>
      <c r="J798" s="21">
        <v>83520</v>
      </c>
      <c r="K798" s="21">
        <v>1</v>
      </c>
      <c r="L798" s="21">
        <v>0</v>
      </c>
      <c r="M798" s="21">
        <v>0</v>
      </c>
      <c r="N798" s="21">
        <v>0</v>
      </c>
      <c r="O798" s="21">
        <v>0</v>
      </c>
      <c r="P798">
        <v>0</v>
      </c>
      <c r="Q798" s="21">
        <v>1</v>
      </c>
      <c r="R798" s="21">
        <v>0</v>
      </c>
      <c r="S798" s="21">
        <v>0</v>
      </c>
      <c r="T798" s="21">
        <v>1</v>
      </c>
      <c r="U798" s="21">
        <v>1995</v>
      </c>
      <c r="V798" s="21">
        <v>2006</v>
      </c>
      <c r="W798">
        <f t="shared" si="50"/>
        <v>2001</v>
      </c>
      <c r="X798" s="21">
        <v>1</v>
      </c>
      <c r="Y798" s="21">
        <v>0</v>
      </c>
      <c r="Z798" s="21">
        <v>1</v>
      </c>
      <c r="AA798" s="21">
        <v>0</v>
      </c>
      <c r="AB798" s="21">
        <v>0</v>
      </c>
      <c r="AC798" s="21">
        <v>0</v>
      </c>
      <c r="AD798" s="21">
        <v>0</v>
      </c>
      <c r="AE798" s="21">
        <v>0</v>
      </c>
      <c r="AF798" s="21">
        <v>1</v>
      </c>
      <c r="AG798" s="21">
        <v>1</v>
      </c>
      <c r="AH798" s="21">
        <v>1</v>
      </c>
      <c r="AI798" s="21">
        <v>1</v>
      </c>
      <c r="AJ798" s="21">
        <v>1</v>
      </c>
      <c r="AK798" s="21">
        <v>1</v>
      </c>
      <c r="AL798" s="21">
        <v>1</v>
      </c>
      <c r="AM798" s="21">
        <v>1</v>
      </c>
      <c r="AN798" s="21">
        <v>1</v>
      </c>
      <c r="AO798" s="21">
        <v>1</v>
      </c>
      <c r="AP798" s="21">
        <v>1</v>
      </c>
      <c r="AQ798" s="21">
        <v>0</v>
      </c>
      <c r="AR798" s="21">
        <v>1</v>
      </c>
      <c r="AS798" s="21">
        <v>1</v>
      </c>
      <c r="AT798" s="21">
        <v>1</v>
      </c>
      <c r="AU798" s="21">
        <v>1</v>
      </c>
      <c r="AV798" s="21">
        <v>1</v>
      </c>
      <c r="AW798" s="21">
        <v>1</v>
      </c>
      <c r="AX798" s="21">
        <v>1</v>
      </c>
      <c r="AY798" s="21">
        <v>1</v>
      </c>
      <c r="AZ798" s="21">
        <v>1</v>
      </c>
      <c r="BA798" s="21">
        <v>1</v>
      </c>
      <c r="BB798" s="21">
        <v>1</v>
      </c>
      <c r="BC798" s="21">
        <v>1</v>
      </c>
      <c r="BD798" s="21">
        <v>1</v>
      </c>
      <c r="BE798" s="21">
        <v>1</v>
      </c>
      <c r="BF798" s="21">
        <v>0</v>
      </c>
      <c r="BG798" s="21">
        <v>1</v>
      </c>
      <c r="BH798" s="21">
        <v>0</v>
      </c>
      <c r="BI798" s="21">
        <v>0</v>
      </c>
      <c r="BJ798" s="21">
        <v>0</v>
      </c>
      <c r="BK798" s="21">
        <v>0</v>
      </c>
      <c r="BL798" s="21">
        <v>0</v>
      </c>
      <c r="BM798" s="21">
        <v>0</v>
      </c>
      <c r="BN798" s="21">
        <v>1</v>
      </c>
      <c r="BO798" s="21">
        <v>1</v>
      </c>
      <c r="BP798" s="21">
        <v>0</v>
      </c>
      <c r="BQ798" s="21">
        <v>0</v>
      </c>
      <c r="BR798" s="21">
        <v>0</v>
      </c>
      <c r="BS798" s="21">
        <v>0</v>
      </c>
    </row>
    <row r="799" spans="1:71">
      <c r="A799" s="18" t="s">
        <v>4886</v>
      </c>
      <c r="B799">
        <v>50</v>
      </c>
      <c r="C799">
        <v>342</v>
      </c>
      <c r="D799" s="21">
        <v>2011</v>
      </c>
      <c r="E799" s="23">
        <v>-1.48</v>
      </c>
      <c r="F799">
        <f t="shared" si="51"/>
        <v>2.3143080531665361E-2</v>
      </c>
      <c r="G799">
        <v>-63.95</v>
      </c>
      <c r="H799" s="27">
        <v>0</v>
      </c>
      <c r="I799" s="21">
        <v>1</v>
      </c>
      <c r="J799" s="21">
        <v>83520</v>
      </c>
      <c r="K799" s="21">
        <v>1</v>
      </c>
      <c r="L799" s="21">
        <v>0</v>
      </c>
      <c r="M799" s="21">
        <v>0</v>
      </c>
      <c r="N799" s="21">
        <v>0</v>
      </c>
      <c r="O799" s="21">
        <v>0</v>
      </c>
      <c r="P799">
        <v>0</v>
      </c>
      <c r="Q799" s="21">
        <v>1</v>
      </c>
      <c r="R799" s="21">
        <v>0</v>
      </c>
      <c r="S799" s="21">
        <v>0</v>
      </c>
      <c r="T799" s="21">
        <v>1</v>
      </c>
      <c r="U799" s="21">
        <v>1995</v>
      </c>
      <c r="V799" s="21">
        <v>2006</v>
      </c>
      <c r="W799">
        <f t="shared" si="50"/>
        <v>2001</v>
      </c>
      <c r="X799" s="21">
        <v>1</v>
      </c>
      <c r="Y799" s="21">
        <v>0</v>
      </c>
      <c r="Z799" s="21">
        <v>1</v>
      </c>
      <c r="AA799" s="21">
        <v>0</v>
      </c>
      <c r="AB799" s="21">
        <v>0</v>
      </c>
      <c r="AC799" s="21">
        <v>0</v>
      </c>
      <c r="AD799" s="21">
        <v>0</v>
      </c>
      <c r="AE799" s="21">
        <v>0</v>
      </c>
      <c r="AF799" s="21">
        <v>1</v>
      </c>
      <c r="AG799" s="21">
        <v>1</v>
      </c>
      <c r="AH799" s="21">
        <v>1</v>
      </c>
      <c r="AI799" s="21">
        <v>1</v>
      </c>
      <c r="AJ799" s="21">
        <v>1</v>
      </c>
      <c r="AK799" s="21">
        <v>1</v>
      </c>
      <c r="AL799" s="21">
        <v>1</v>
      </c>
      <c r="AM799" s="21">
        <v>1</v>
      </c>
      <c r="AN799" s="21">
        <v>1</v>
      </c>
      <c r="AO799" s="21">
        <v>1</v>
      </c>
      <c r="AP799" s="21">
        <v>1</v>
      </c>
      <c r="AQ799" s="21">
        <v>0</v>
      </c>
      <c r="AR799" s="21">
        <v>1</v>
      </c>
      <c r="AS799" s="21">
        <v>1</v>
      </c>
      <c r="AT799" s="21">
        <v>1</v>
      </c>
      <c r="AU799" s="21">
        <v>1</v>
      </c>
      <c r="AV799" s="21">
        <v>1</v>
      </c>
      <c r="AW799" s="21">
        <v>1</v>
      </c>
      <c r="AX799" s="21">
        <v>1</v>
      </c>
      <c r="AY799" s="21">
        <v>1</v>
      </c>
      <c r="AZ799" s="21">
        <v>1</v>
      </c>
      <c r="BA799" s="21">
        <v>1</v>
      </c>
      <c r="BB799" s="21">
        <v>1</v>
      </c>
      <c r="BC799" s="21">
        <v>1</v>
      </c>
      <c r="BD799" s="21">
        <v>1</v>
      </c>
      <c r="BE799" s="21">
        <v>1</v>
      </c>
      <c r="BF799" s="21">
        <v>0</v>
      </c>
      <c r="BG799" s="21">
        <v>1</v>
      </c>
      <c r="BH799" s="21">
        <v>0</v>
      </c>
      <c r="BI799" s="21">
        <v>0</v>
      </c>
      <c r="BJ799" s="21">
        <v>0</v>
      </c>
      <c r="BK799" s="21">
        <v>0</v>
      </c>
      <c r="BL799" s="21">
        <v>0</v>
      </c>
      <c r="BM799" s="21">
        <v>0</v>
      </c>
      <c r="BN799" s="21">
        <v>1</v>
      </c>
      <c r="BO799" s="21">
        <v>1</v>
      </c>
      <c r="BP799" s="21">
        <v>0</v>
      </c>
      <c r="BQ799" s="21">
        <v>0</v>
      </c>
      <c r="BR799" s="21">
        <v>0</v>
      </c>
      <c r="BS799" s="21">
        <v>0</v>
      </c>
    </row>
    <row r="800" spans="1:71">
      <c r="A800" s="20" t="s">
        <v>4886</v>
      </c>
      <c r="B800">
        <v>50</v>
      </c>
      <c r="C800">
        <v>343</v>
      </c>
      <c r="D800" s="21">
        <v>2011</v>
      </c>
      <c r="E800" s="23">
        <v>-1.48</v>
      </c>
      <c r="F800">
        <f t="shared" si="51"/>
        <v>2.3143080531665361E-2</v>
      </c>
      <c r="G800">
        <v>-63.95</v>
      </c>
      <c r="H800" s="27">
        <v>0</v>
      </c>
      <c r="I800" s="21">
        <v>1</v>
      </c>
      <c r="J800" s="21">
        <v>83520</v>
      </c>
      <c r="K800" s="21">
        <v>1</v>
      </c>
      <c r="L800" s="21">
        <v>0</v>
      </c>
      <c r="M800" s="21">
        <v>0</v>
      </c>
      <c r="N800" s="21">
        <v>0</v>
      </c>
      <c r="O800" s="21">
        <v>0</v>
      </c>
      <c r="P800">
        <v>0</v>
      </c>
      <c r="Q800" s="21">
        <v>1</v>
      </c>
      <c r="R800" s="21">
        <v>0</v>
      </c>
      <c r="S800" s="21">
        <v>0</v>
      </c>
      <c r="T800" s="21">
        <v>1</v>
      </c>
      <c r="U800" s="21">
        <v>1995</v>
      </c>
      <c r="V800" s="21">
        <v>2006</v>
      </c>
      <c r="W800">
        <f t="shared" si="50"/>
        <v>2001</v>
      </c>
      <c r="X800" s="21">
        <v>1</v>
      </c>
      <c r="Y800" s="21">
        <v>0</v>
      </c>
      <c r="Z800" s="21">
        <v>1</v>
      </c>
      <c r="AA800" s="21">
        <v>0</v>
      </c>
      <c r="AB800" s="21">
        <v>0</v>
      </c>
      <c r="AC800" s="21">
        <v>0</v>
      </c>
      <c r="AD800" s="21">
        <v>0</v>
      </c>
      <c r="AE800" s="21">
        <v>0</v>
      </c>
      <c r="AF800" s="21">
        <v>1</v>
      </c>
      <c r="AG800" s="21">
        <v>1</v>
      </c>
      <c r="AH800" s="21">
        <v>1</v>
      </c>
      <c r="AI800" s="21">
        <v>1</v>
      </c>
      <c r="AJ800" s="21">
        <v>1</v>
      </c>
      <c r="AK800" s="21">
        <v>1</v>
      </c>
      <c r="AL800" s="21">
        <v>1</v>
      </c>
      <c r="AM800" s="21">
        <v>1</v>
      </c>
      <c r="AN800" s="21">
        <v>1</v>
      </c>
      <c r="AO800" s="21">
        <v>1</v>
      </c>
      <c r="AP800" s="21">
        <v>1</v>
      </c>
      <c r="AQ800" s="21">
        <v>0</v>
      </c>
      <c r="AR800" s="21">
        <v>1</v>
      </c>
      <c r="AS800" s="21">
        <v>1</v>
      </c>
      <c r="AT800" s="21">
        <v>1</v>
      </c>
      <c r="AU800" s="21">
        <v>1</v>
      </c>
      <c r="AV800" s="21">
        <v>1</v>
      </c>
      <c r="AW800" s="21">
        <v>1</v>
      </c>
      <c r="AX800" s="21">
        <v>1</v>
      </c>
      <c r="AY800" s="21">
        <v>1</v>
      </c>
      <c r="AZ800" s="21">
        <v>1</v>
      </c>
      <c r="BA800" s="21">
        <v>1</v>
      </c>
      <c r="BB800" s="21">
        <v>1</v>
      </c>
      <c r="BC800" s="21">
        <v>1</v>
      </c>
      <c r="BD800" s="21">
        <v>1</v>
      </c>
      <c r="BE800" s="21">
        <v>1</v>
      </c>
      <c r="BF800" s="21">
        <v>0</v>
      </c>
      <c r="BG800" s="21">
        <v>1</v>
      </c>
      <c r="BH800" s="21">
        <v>0</v>
      </c>
      <c r="BI800" s="21">
        <v>0</v>
      </c>
      <c r="BJ800" s="21">
        <v>0</v>
      </c>
      <c r="BK800" s="21">
        <v>0</v>
      </c>
      <c r="BL800" s="21">
        <v>0</v>
      </c>
      <c r="BM800" s="21">
        <v>0</v>
      </c>
      <c r="BN800" s="21">
        <v>1</v>
      </c>
      <c r="BO800" s="21">
        <v>1</v>
      </c>
      <c r="BP800" s="21">
        <v>0</v>
      </c>
      <c r="BQ800" s="21">
        <v>0</v>
      </c>
      <c r="BR800" s="21">
        <v>0</v>
      </c>
      <c r="BS800" s="21">
        <v>0</v>
      </c>
    </row>
    <row r="801" spans="1:71">
      <c r="A801" s="18" t="s">
        <v>4886</v>
      </c>
      <c r="B801">
        <v>50</v>
      </c>
      <c r="C801">
        <v>344</v>
      </c>
      <c r="D801" s="21">
        <v>2011</v>
      </c>
      <c r="E801" s="23">
        <v>-1.48</v>
      </c>
      <c r="F801">
        <f t="shared" si="51"/>
        <v>2.3143080531665361E-2</v>
      </c>
      <c r="G801">
        <v>-63.95</v>
      </c>
      <c r="H801" s="27">
        <v>0</v>
      </c>
      <c r="I801" s="21">
        <v>1</v>
      </c>
      <c r="J801" s="21">
        <v>83520</v>
      </c>
      <c r="K801" s="21">
        <v>1</v>
      </c>
      <c r="L801" s="21">
        <v>0</v>
      </c>
      <c r="M801" s="21">
        <v>0</v>
      </c>
      <c r="N801" s="21">
        <v>0</v>
      </c>
      <c r="O801" s="21">
        <v>0</v>
      </c>
      <c r="P801">
        <v>0</v>
      </c>
      <c r="Q801" s="21">
        <v>1</v>
      </c>
      <c r="R801" s="21">
        <v>0</v>
      </c>
      <c r="S801" s="21">
        <v>0</v>
      </c>
      <c r="T801" s="21">
        <v>1</v>
      </c>
      <c r="U801" s="21">
        <v>1995</v>
      </c>
      <c r="V801" s="21">
        <v>2006</v>
      </c>
      <c r="W801">
        <f t="shared" si="50"/>
        <v>2001</v>
      </c>
      <c r="X801" s="21">
        <v>1</v>
      </c>
      <c r="Y801" s="21">
        <v>0</v>
      </c>
      <c r="Z801" s="21">
        <v>1</v>
      </c>
      <c r="AA801" s="21">
        <v>0</v>
      </c>
      <c r="AB801" s="21">
        <v>0</v>
      </c>
      <c r="AC801" s="21">
        <v>0</v>
      </c>
      <c r="AD801" s="21">
        <v>0</v>
      </c>
      <c r="AE801" s="21">
        <v>0</v>
      </c>
      <c r="AF801" s="21">
        <v>1</v>
      </c>
      <c r="AG801" s="21">
        <v>1</v>
      </c>
      <c r="AH801" s="21">
        <v>1</v>
      </c>
      <c r="AI801" s="21">
        <v>1</v>
      </c>
      <c r="AJ801" s="21">
        <v>1</v>
      </c>
      <c r="AK801" s="21">
        <v>1</v>
      </c>
      <c r="AL801" s="21">
        <v>1</v>
      </c>
      <c r="AM801" s="21">
        <v>1</v>
      </c>
      <c r="AN801" s="21">
        <v>1</v>
      </c>
      <c r="AO801" s="21">
        <v>1</v>
      </c>
      <c r="AP801" s="21">
        <v>1</v>
      </c>
      <c r="AQ801" s="21">
        <v>0</v>
      </c>
      <c r="AR801" s="21">
        <v>1</v>
      </c>
      <c r="AS801" s="21">
        <v>1</v>
      </c>
      <c r="AT801" s="21">
        <v>1</v>
      </c>
      <c r="AU801" s="21">
        <v>1</v>
      </c>
      <c r="AV801" s="21">
        <v>1</v>
      </c>
      <c r="AW801" s="21">
        <v>1</v>
      </c>
      <c r="AX801" s="21">
        <v>1</v>
      </c>
      <c r="AY801" s="21">
        <v>1</v>
      </c>
      <c r="AZ801" s="21">
        <v>1</v>
      </c>
      <c r="BA801" s="21">
        <v>1</v>
      </c>
      <c r="BB801" s="21">
        <v>1</v>
      </c>
      <c r="BC801" s="21">
        <v>1</v>
      </c>
      <c r="BD801" s="21">
        <v>1</v>
      </c>
      <c r="BE801" s="21">
        <v>1</v>
      </c>
      <c r="BF801" s="21">
        <v>0</v>
      </c>
      <c r="BG801" s="21">
        <v>1</v>
      </c>
      <c r="BH801" s="21">
        <v>0</v>
      </c>
      <c r="BI801" s="21">
        <v>0</v>
      </c>
      <c r="BJ801" s="21">
        <v>0</v>
      </c>
      <c r="BK801" s="21">
        <v>0</v>
      </c>
      <c r="BL801" s="21">
        <v>0</v>
      </c>
      <c r="BM801" s="21">
        <v>0</v>
      </c>
      <c r="BN801" s="21">
        <v>1</v>
      </c>
      <c r="BO801" s="21">
        <v>1</v>
      </c>
      <c r="BP801" s="21">
        <v>0</v>
      </c>
      <c r="BQ801" s="21">
        <v>0</v>
      </c>
      <c r="BR801" s="21">
        <v>0</v>
      </c>
      <c r="BS801" s="21">
        <v>0</v>
      </c>
    </row>
    <row r="802" spans="1:71">
      <c r="A802" s="18" t="s">
        <v>5114</v>
      </c>
      <c r="B802">
        <v>88</v>
      </c>
      <c r="C802">
        <v>551</v>
      </c>
      <c r="D802">
        <v>2011</v>
      </c>
      <c r="E802">
        <v>-0.74099999999999999</v>
      </c>
      <c r="F802">
        <f t="shared" si="51"/>
        <v>0.26370106761565837</v>
      </c>
      <c r="G802">
        <v>-2.81</v>
      </c>
      <c r="H802" s="27">
        <v>1</v>
      </c>
      <c r="I802">
        <v>1</v>
      </c>
      <c r="J802">
        <v>473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1</v>
      </c>
      <c r="U802">
        <v>2000</v>
      </c>
      <c r="V802">
        <v>2009</v>
      </c>
      <c r="W802">
        <f t="shared" si="50"/>
        <v>2005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 s="21">
        <v>0</v>
      </c>
      <c r="AO802" s="21">
        <v>0</v>
      </c>
      <c r="AP802" s="21">
        <v>1</v>
      </c>
      <c r="AQ802">
        <v>1</v>
      </c>
      <c r="AR802">
        <v>0</v>
      </c>
      <c r="AS802">
        <v>0</v>
      </c>
      <c r="AT802">
        <v>1</v>
      </c>
      <c r="AU802">
        <v>0</v>
      </c>
      <c r="AV802">
        <v>0</v>
      </c>
      <c r="AW802">
        <v>0</v>
      </c>
      <c r="AX802">
        <v>0</v>
      </c>
      <c r="AY802">
        <v>0</v>
      </c>
      <c r="AZ802" s="21">
        <v>0</v>
      </c>
      <c r="BA802" s="21">
        <v>0</v>
      </c>
      <c r="BB802" s="21">
        <v>1</v>
      </c>
      <c r="BC802">
        <v>0</v>
      </c>
      <c r="BD802">
        <v>0</v>
      </c>
      <c r="BE802">
        <v>0</v>
      </c>
      <c r="BF802">
        <v>0</v>
      </c>
      <c r="BG802">
        <v>1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 s="21">
        <v>0</v>
      </c>
      <c r="BS802" s="21">
        <v>0</v>
      </c>
    </row>
    <row r="803" spans="1:71">
      <c r="A803" s="50" t="s">
        <v>4970</v>
      </c>
      <c r="B803">
        <v>1</v>
      </c>
      <c r="C803">
        <v>1</v>
      </c>
      <c r="D803">
        <v>2010</v>
      </c>
      <c r="E803" s="14">
        <v>-2.0699999999999998</v>
      </c>
      <c r="F803" s="14">
        <f t="shared" si="51"/>
        <v>0.4385593220338983</v>
      </c>
      <c r="G803" s="14">
        <v>-4.72</v>
      </c>
      <c r="H803" s="27">
        <v>0</v>
      </c>
      <c r="I803">
        <v>1</v>
      </c>
      <c r="J803">
        <v>364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1</v>
      </c>
      <c r="U803">
        <v>1990</v>
      </c>
      <c r="V803">
        <v>2002</v>
      </c>
      <c r="W803">
        <f t="shared" si="50"/>
        <v>1996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0</v>
      </c>
      <c r="BA803">
        <v>0</v>
      </c>
      <c r="BB803">
        <v>1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</row>
    <row r="804" spans="1:71">
      <c r="A804" s="50" t="s">
        <v>4970</v>
      </c>
      <c r="B804">
        <v>1</v>
      </c>
      <c r="C804">
        <v>2</v>
      </c>
      <c r="D804">
        <v>2010</v>
      </c>
      <c r="E804" s="14">
        <v>-1.99</v>
      </c>
      <c r="F804" s="14">
        <f t="shared" si="51"/>
        <v>0.2256235827664399</v>
      </c>
      <c r="G804" s="14">
        <v>-8.82</v>
      </c>
      <c r="H804" s="27">
        <v>0</v>
      </c>
      <c r="I804">
        <v>1</v>
      </c>
      <c r="J804">
        <v>364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1</v>
      </c>
      <c r="U804">
        <v>1990</v>
      </c>
      <c r="V804">
        <v>2002</v>
      </c>
      <c r="W804">
        <f t="shared" si="50"/>
        <v>1996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0</v>
      </c>
      <c r="AO804">
        <v>0</v>
      </c>
      <c r="AP804">
        <v>1</v>
      </c>
      <c r="AQ804">
        <v>1</v>
      </c>
      <c r="AR804">
        <v>0</v>
      </c>
      <c r="AS804">
        <v>0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</row>
    <row r="805" spans="1:71">
      <c r="A805" s="50" t="s">
        <v>4970</v>
      </c>
      <c r="B805">
        <v>1</v>
      </c>
      <c r="C805">
        <v>3</v>
      </c>
      <c r="D805">
        <v>2010</v>
      </c>
      <c r="E805" s="14">
        <v>-2.0099999999999998</v>
      </c>
      <c r="F805" s="14">
        <f t="shared" si="51"/>
        <v>0.58260869565217377</v>
      </c>
      <c r="G805" s="14">
        <v>-3.45</v>
      </c>
      <c r="H805" s="27">
        <v>0</v>
      </c>
      <c r="I805">
        <v>1</v>
      </c>
      <c r="J805">
        <v>189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1</v>
      </c>
      <c r="U805">
        <v>1990</v>
      </c>
      <c r="V805">
        <v>2002</v>
      </c>
      <c r="W805">
        <f t="shared" si="50"/>
        <v>1996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1</v>
      </c>
      <c r="AZ805">
        <v>0</v>
      </c>
      <c r="BA805">
        <v>0</v>
      </c>
      <c r="BB805">
        <v>1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</row>
    <row r="806" spans="1:71">
      <c r="A806" s="50" t="s">
        <v>4970</v>
      </c>
      <c r="B806">
        <v>1</v>
      </c>
      <c r="C806">
        <v>4</v>
      </c>
      <c r="D806">
        <v>2010</v>
      </c>
      <c r="E806" s="14">
        <v>-1.92</v>
      </c>
      <c r="F806" s="14">
        <f t="shared" si="51"/>
        <v>0.22068965517241379</v>
      </c>
      <c r="G806" s="14">
        <v>-8.6999999999999993</v>
      </c>
      <c r="H806" s="27">
        <v>0</v>
      </c>
      <c r="I806">
        <v>1</v>
      </c>
      <c r="J806">
        <v>189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1</v>
      </c>
      <c r="U806">
        <v>1990</v>
      </c>
      <c r="V806">
        <v>2002</v>
      </c>
      <c r="W806">
        <f t="shared" si="50"/>
        <v>1996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1</v>
      </c>
      <c r="AN806">
        <v>0</v>
      </c>
      <c r="AO806">
        <v>0</v>
      </c>
      <c r="AP806">
        <v>1</v>
      </c>
      <c r="AQ806">
        <v>1</v>
      </c>
      <c r="AR806">
        <v>0</v>
      </c>
      <c r="AS806">
        <v>0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</row>
    <row r="807" spans="1:71">
      <c r="A807" s="47" t="s">
        <v>5137</v>
      </c>
      <c r="B807">
        <v>28</v>
      </c>
      <c r="C807">
        <v>178</v>
      </c>
      <c r="D807" s="21">
        <v>2010</v>
      </c>
      <c r="E807" s="23">
        <v>-0.57999999999999996</v>
      </c>
      <c r="F807" s="14">
        <f t="shared" si="51"/>
        <v>1.644457045647859E-2</v>
      </c>
      <c r="G807" s="23">
        <v>-35.270000000000003</v>
      </c>
      <c r="H807" s="27">
        <v>0</v>
      </c>
      <c r="I807" s="21">
        <v>1</v>
      </c>
      <c r="J807" s="21">
        <v>20321</v>
      </c>
      <c r="K807" s="21">
        <v>1</v>
      </c>
      <c r="L807" s="21">
        <v>0</v>
      </c>
      <c r="M807" s="21">
        <v>0</v>
      </c>
      <c r="N807" s="21">
        <v>0</v>
      </c>
      <c r="O807" s="21">
        <v>0</v>
      </c>
      <c r="P807">
        <v>0</v>
      </c>
      <c r="Q807" s="21">
        <v>0</v>
      </c>
      <c r="R807" s="21">
        <v>0</v>
      </c>
      <c r="S807" s="21">
        <v>0</v>
      </c>
      <c r="T807" s="21">
        <v>1</v>
      </c>
      <c r="U807" s="21">
        <v>1995</v>
      </c>
      <c r="V807" s="21">
        <v>2004</v>
      </c>
      <c r="W807">
        <f t="shared" si="50"/>
        <v>2000</v>
      </c>
      <c r="X807" s="21">
        <v>1</v>
      </c>
      <c r="Y807" s="21">
        <v>0</v>
      </c>
      <c r="Z807" s="21">
        <v>1</v>
      </c>
      <c r="AA807" s="21">
        <v>0</v>
      </c>
      <c r="AB807" s="21">
        <v>0</v>
      </c>
      <c r="AC807" s="21">
        <v>0</v>
      </c>
      <c r="AD807" s="21">
        <v>0</v>
      </c>
      <c r="AE807" s="21">
        <v>0</v>
      </c>
      <c r="AF807" s="21">
        <v>1</v>
      </c>
      <c r="AG807" s="21">
        <v>1</v>
      </c>
      <c r="AH807" s="21">
        <v>1</v>
      </c>
      <c r="AI807" s="21">
        <v>1</v>
      </c>
      <c r="AJ807" s="21">
        <v>1</v>
      </c>
      <c r="AK807" s="21">
        <v>1</v>
      </c>
      <c r="AL807" s="21">
        <v>1</v>
      </c>
      <c r="AM807" s="21">
        <v>1</v>
      </c>
      <c r="AN807" s="21">
        <v>1</v>
      </c>
      <c r="AO807" s="21">
        <v>1</v>
      </c>
      <c r="AP807" s="21">
        <v>1</v>
      </c>
      <c r="AQ807" s="21">
        <v>0</v>
      </c>
      <c r="AR807" s="21">
        <v>1</v>
      </c>
      <c r="AS807" s="21">
        <v>1</v>
      </c>
      <c r="AT807" s="21">
        <v>1</v>
      </c>
      <c r="AU807" s="21">
        <v>1</v>
      </c>
      <c r="AV807" s="21">
        <v>1</v>
      </c>
      <c r="AW807" s="21">
        <v>1</v>
      </c>
      <c r="AX807" s="21">
        <v>1</v>
      </c>
      <c r="AY807" s="21">
        <v>1</v>
      </c>
      <c r="AZ807" s="21">
        <v>1</v>
      </c>
      <c r="BA807" s="21">
        <v>1</v>
      </c>
      <c r="BB807" s="21">
        <v>1</v>
      </c>
      <c r="BC807" s="21">
        <v>1</v>
      </c>
      <c r="BD807" s="21">
        <v>1</v>
      </c>
      <c r="BE807" s="21">
        <v>1</v>
      </c>
      <c r="BF807" s="21">
        <v>1</v>
      </c>
      <c r="BG807" s="21">
        <v>0</v>
      </c>
      <c r="BH807" s="21">
        <v>0</v>
      </c>
      <c r="BI807" s="21">
        <v>1</v>
      </c>
      <c r="BJ807" s="21">
        <v>0</v>
      </c>
      <c r="BK807" s="21">
        <v>0</v>
      </c>
      <c r="BL807" s="21">
        <v>0</v>
      </c>
      <c r="BM807" s="21">
        <v>0</v>
      </c>
      <c r="BN807" s="21">
        <v>1</v>
      </c>
      <c r="BO807" s="21">
        <v>1</v>
      </c>
      <c r="BP807" s="21">
        <v>0</v>
      </c>
      <c r="BQ807" s="21">
        <v>0</v>
      </c>
      <c r="BR807" s="21">
        <v>1</v>
      </c>
      <c r="BS807" s="21">
        <v>0</v>
      </c>
    </row>
    <row r="808" spans="1:71">
      <c r="A808" s="47" t="s">
        <v>5137</v>
      </c>
      <c r="B808">
        <v>28</v>
      </c>
      <c r="C808">
        <v>179</v>
      </c>
      <c r="D808" s="21">
        <v>2010</v>
      </c>
      <c r="E808" s="23">
        <v>-0.76</v>
      </c>
      <c r="F808" s="14">
        <f t="shared" si="51"/>
        <v>2.8625235404896421E-2</v>
      </c>
      <c r="G808" s="23">
        <v>-26.55</v>
      </c>
      <c r="H808" s="27">
        <v>0</v>
      </c>
      <c r="I808" s="21">
        <v>1</v>
      </c>
      <c r="J808" s="21">
        <v>18441</v>
      </c>
      <c r="K808" s="21">
        <v>1</v>
      </c>
      <c r="L808" s="21">
        <v>0</v>
      </c>
      <c r="M808" s="21">
        <v>0</v>
      </c>
      <c r="N808" s="21">
        <v>0</v>
      </c>
      <c r="O808" s="21">
        <v>0</v>
      </c>
      <c r="P808">
        <v>0</v>
      </c>
      <c r="Q808" s="21">
        <v>1</v>
      </c>
      <c r="R808" s="21">
        <v>0</v>
      </c>
      <c r="S808" s="21">
        <v>0</v>
      </c>
      <c r="T808" s="21">
        <v>1</v>
      </c>
      <c r="U808" s="21">
        <v>1995</v>
      </c>
      <c r="V808" s="21">
        <v>2004</v>
      </c>
      <c r="W808">
        <f t="shared" si="50"/>
        <v>2000</v>
      </c>
      <c r="X808" s="21">
        <v>1</v>
      </c>
      <c r="Y808" s="21">
        <v>0</v>
      </c>
      <c r="Z808" s="21">
        <v>1</v>
      </c>
      <c r="AA808" s="21">
        <v>0</v>
      </c>
      <c r="AB808" s="21">
        <v>0</v>
      </c>
      <c r="AC808" s="21">
        <v>0</v>
      </c>
      <c r="AD808" s="21">
        <v>0</v>
      </c>
      <c r="AE808" s="21">
        <v>0</v>
      </c>
      <c r="AF808" s="21">
        <v>1</v>
      </c>
      <c r="AG808" s="21">
        <v>1</v>
      </c>
      <c r="AH808" s="21">
        <v>1</v>
      </c>
      <c r="AI808" s="21">
        <v>1</v>
      </c>
      <c r="AJ808" s="21">
        <v>1</v>
      </c>
      <c r="AK808" s="21">
        <v>1</v>
      </c>
      <c r="AL808" s="21">
        <v>1</v>
      </c>
      <c r="AM808" s="21">
        <v>1</v>
      </c>
      <c r="AN808" s="21">
        <v>1</v>
      </c>
      <c r="AO808" s="21">
        <v>1</v>
      </c>
      <c r="AP808" s="21">
        <v>1</v>
      </c>
      <c r="AQ808" s="21">
        <v>0</v>
      </c>
      <c r="AR808" s="21">
        <v>1</v>
      </c>
      <c r="AS808" s="21">
        <v>1</v>
      </c>
      <c r="AT808" s="21">
        <v>1</v>
      </c>
      <c r="AU808" s="21">
        <v>1</v>
      </c>
      <c r="AV808" s="21">
        <v>1</v>
      </c>
      <c r="AW808" s="21">
        <v>1</v>
      </c>
      <c r="AX808" s="21">
        <v>1</v>
      </c>
      <c r="AY808" s="21">
        <v>1</v>
      </c>
      <c r="AZ808" s="21">
        <v>1</v>
      </c>
      <c r="BA808" s="21">
        <v>1</v>
      </c>
      <c r="BB808" s="21">
        <v>1</v>
      </c>
      <c r="BC808" s="21">
        <v>1</v>
      </c>
      <c r="BD808" s="21">
        <v>1</v>
      </c>
      <c r="BE808" s="21">
        <v>1</v>
      </c>
      <c r="BF808" s="21">
        <v>1</v>
      </c>
      <c r="BG808" s="21">
        <v>0</v>
      </c>
      <c r="BH808" s="21">
        <v>0</v>
      </c>
      <c r="BI808" s="21">
        <v>1</v>
      </c>
      <c r="BJ808" s="21">
        <v>0</v>
      </c>
      <c r="BK808" s="21">
        <v>0</v>
      </c>
      <c r="BL808" s="21">
        <v>0</v>
      </c>
      <c r="BM808" s="21">
        <v>0</v>
      </c>
      <c r="BN808" s="21">
        <v>1</v>
      </c>
      <c r="BO808" s="21">
        <v>1</v>
      </c>
      <c r="BP808" s="21">
        <v>0</v>
      </c>
      <c r="BQ808" s="21">
        <v>0</v>
      </c>
      <c r="BR808" s="21">
        <v>1</v>
      </c>
      <c r="BS808" s="21">
        <v>0</v>
      </c>
    </row>
    <row r="809" spans="1:71">
      <c r="A809" s="47" t="s">
        <v>5137</v>
      </c>
      <c r="B809">
        <v>28</v>
      </c>
      <c r="C809">
        <v>180</v>
      </c>
      <c r="D809" s="21">
        <v>2010</v>
      </c>
      <c r="E809" s="23">
        <v>-0.8</v>
      </c>
      <c r="F809" s="14">
        <f t="shared" si="51"/>
        <v>4.1884816753926704E-2</v>
      </c>
      <c r="G809" s="23">
        <v>-19.100000000000001</v>
      </c>
      <c r="H809" s="27">
        <v>0</v>
      </c>
      <c r="I809" s="21">
        <v>1</v>
      </c>
      <c r="J809" s="21">
        <v>18441</v>
      </c>
      <c r="K809" s="21">
        <v>1</v>
      </c>
      <c r="L809" s="21">
        <v>0</v>
      </c>
      <c r="M809" s="21">
        <v>0</v>
      </c>
      <c r="N809" s="21">
        <v>0</v>
      </c>
      <c r="O809" s="21">
        <v>0</v>
      </c>
      <c r="P809">
        <v>0</v>
      </c>
      <c r="Q809" s="21">
        <v>0</v>
      </c>
      <c r="R809" s="21">
        <v>0</v>
      </c>
      <c r="S809" s="21">
        <v>1</v>
      </c>
      <c r="T809" s="21">
        <v>1</v>
      </c>
      <c r="U809" s="21">
        <v>1995</v>
      </c>
      <c r="V809" s="21">
        <v>2004</v>
      </c>
      <c r="W809">
        <f t="shared" si="50"/>
        <v>2000</v>
      </c>
      <c r="X809" s="21">
        <v>1</v>
      </c>
      <c r="Y809" s="21">
        <v>0</v>
      </c>
      <c r="Z809" s="21">
        <v>1</v>
      </c>
      <c r="AA809" s="21">
        <v>0</v>
      </c>
      <c r="AB809" s="21">
        <v>0</v>
      </c>
      <c r="AC809" s="21">
        <v>0</v>
      </c>
      <c r="AD809" s="21">
        <v>0</v>
      </c>
      <c r="AE809" s="21">
        <v>0</v>
      </c>
      <c r="AF809" s="21">
        <v>1</v>
      </c>
      <c r="AG809" s="21">
        <v>1</v>
      </c>
      <c r="AH809" s="21">
        <v>1</v>
      </c>
      <c r="AI809" s="21">
        <v>1</v>
      </c>
      <c r="AJ809" s="21">
        <v>1</v>
      </c>
      <c r="AK809" s="21">
        <v>1</v>
      </c>
      <c r="AL809" s="21">
        <v>1</v>
      </c>
      <c r="AM809" s="21">
        <v>1</v>
      </c>
      <c r="AN809" s="21">
        <v>1</v>
      </c>
      <c r="AO809" s="21">
        <v>1</v>
      </c>
      <c r="AP809" s="21">
        <v>1</v>
      </c>
      <c r="AQ809" s="21">
        <v>0</v>
      </c>
      <c r="AR809" s="21">
        <v>1</v>
      </c>
      <c r="AS809" s="21">
        <v>1</v>
      </c>
      <c r="AT809" s="21">
        <v>1</v>
      </c>
      <c r="AU809" s="21">
        <v>1</v>
      </c>
      <c r="AV809" s="21">
        <v>1</v>
      </c>
      <c r="AW809" s="21">
        <v>1</v>
      </c>
      <c r="AX809" s="21">
        <v>1</v>
      </c>
      <c r="AY809" s="21">
        <v>1</v>
      </c>
      <c r="AZ809" s="21">
        <v>1</v>
      </c>
      <c r="BA809" s="21">
        <v>1</v>
      </c>
      <c r="BB809" s="21">
        <v>1</v>
      </c>
      <c r="BC809" s="21">
        <v>1</v>
      </c>
      <c r="BD809" s="21">
        <v>1</v>
      </c>
      <c r="BE809" s="21">
        <v>1</v>
      </c>
      <c r="BF809" s="21">
        <v>1</v>
      </c>
      <c r="BG809" s="21">
        <v>0</v>
      </c>
      <c r="BH809" s="21">
        <v>0</v>
      </c>
      <c r="BI809" s="21">
        <v>1</v>
      </c>
      <c r="BJ809" s="21">
        <v>0</v>
      </c>
      <c r="BK809" s="21">
        <v>0</v>
      </c>
      <c r="BL809" s="21">
        <v>0</v>
      </c>
      <c r="BM809" s="21">
        <v>0</v>
      </c>
      <c r="BN809" s="21">
        <v>1</v>
      </c>
      <c r="BO809" s="21">
        <v>1</v>
      </c>
      <c r="BP809" s="21">
        <v>0</v>
      </c>
      <c r="BQ809" s="21">
        <v>0</v>
      </c>
      <c r="BR809" s="21">
        <v>1</v>
      </c>
      <c r="BS809" s="21">
        <v>0</v>
      </c>
    </row>
    <row r="810" spans="1:71">
      <c r="A810" s="47" t="s">
        <v>5137</v>
      </c>
      <c r="B810">
        <v>28</v>
      </c>
      <c r="C810">
        <v>181</v>
      </c>
      <c r="D810" s="21">
        <v>2010</v>
      </c>
      <c r="E810" s="23">
        <v>-0.53</v>
      </c>
      <c r="F810" s="14">
        <f t="shared" si="51"/>
        <v>1.9175108538350218E-2</v>
      </c>
      <c r="G810" s="23">
        <v>-27.64</v>
      </c>
      <c r="H810" s="27">
        <v>0</v>
      </c>
      <c r="I810" s="21">
        <v>1</v>
      </c>
      <c r="J810" s="21">
        <v>13921</v>
      </c>
      <c r="K810" s="21">
        <v>1</v>
      </c>
      <c r="L810" s="21">
        <v>0</v>
      </c>
      <c r="M810" s="21">
        <v>0</v>
      </c>
      <c r="N810" s="21">
        <v>0</v>
      </c>
      <c r="O810" s="21">
        <v>0</v>
      </c>
      <c r="P810">
        <v>0</v>
      </c>
      <c r="Q810" s="21">
        <v>0</v>
      </c>
      <c r="R810" s="21">
        <v>0</v>
      </c>
      <c r="S810" s="21">
        <v>0</v>
      </c>
      <c r="T810" s="21">
        <v>1</v>
      </c>
      <c r="U810" s="21">
        <v>1995</v>
      </c>
      <c r="V810" s="21">
        <v>2004</v>
      </c>
      <c r="W810">
        <f t="shared" si="50"/>
        <v>2000</v>
      </c>
      <c r="X810" s="21">
        <v>1</v>
      </c>
      <c r="Y810" s="21">
        <v>0</v>
      </c>
      <c r="Z810" s="21">
        <v>1</v>
      </c>
      <c r="AA810" s="21">
        <v>0</v>
      </c>
      <c r="AB810" s="21">
        <v>0</v>
      </c>
      <c r="AC810" s="21">
        <v>0</v>
      </c>
      <c r="AD810" s="21">
        <v>0</v>
      </c>
      <c r="AE810" s="21">
        <v>0</v>
      </c>
      <c r="AF810" s="21">
        <v>1</v>
      </c>
      <c r="AG810" s="21">
        <v>1</v>
      </c>
      <c r="AH810" s="21">
        <v>1</v>
      </c>
      <c r="AI810" s="21">
        <v>1</v>
      </c>
      <c r="AJ810" s="21">
        <v>1</v>
      </c>
      <c r="AK810" s="21">
        <v>1</v>
      </c>
      <c r="AL810" s="21">
        <v>1</v>
      </c>
      <c r="AM810" s="21">
        <v>1</v>
      </c>
      <c r="AN810" s="21">
        <v>1</v>
      </c>
      <c r="AO810" s="21">
        <v>1</v>
      </c>
      <c r="AP810" s="21">
        <v>1</v>
      </c>
      <c r="AQ810" s="21">
        <v>0</v>
      </c>
      <c r="AR810" s="21">
        <v>1</v>
      </c>
      <c r="AS810" s="21">
        <v>1</v>
      </c>
      <c r="AT810" s="21">
        <v>1</v>
      </c>
      <c r="AU810" s="21">
        <v>1</v>
      </c>
      <c r="AV810" s="21">
        <v>1</v>
      </c>
      <c r="AW810" s="21">
        <v>1</v>
      </c>
      <c r="AX810" s="21">
        <v>1</v>
      </c>
      <c r="AY810" s="21">
        <v>1</v>
      </c>
      <c r="AZ810" s="21">
        <v>1</v>
      </c>
      <c r="BA810" s="21">
        <v>1</v>
      </c>
      <c r="BB810" s="21">
        <v>1</v>
      </c>
      <c r="BC810" s="21">
        <v>1</v>
      </c>
      <c r="BD810" s="21">
        <v>1</v>
      </c>
      <c r="BE810" s="21">
        <v>1</v>
      </c>
      <c r="BF810" s="21">
        <v>1</v>
      </c>
      <c r="BG810" s="21">
        <v>0</v>
      </c>
      <c r="BH810" s="21">
        <v>0</v>
      </c>
      <c r="BI810" s="21">
        <v>1</v>
      </c>
      <c r="BJ810" s="21">
        <v>0</v>
      </c>
      <c r="BK810" s="21">
        <v>0</v>
      </c>
      <c r="BL810" s="21">
        <v>0</v>
      </c>
      <c r="BM810" s="21">
        <v>0</v>
      </c>
      <c r="BN810" s="21">
        <v>1</v>
      </c>
      <c r="BO810" s="21">
        <v>1</v>
      </c>
      <c r="BP810" s="21">
        <v>0</v>
      </c>
      <c r="BQ810" s="21">
        <v>0</v>
      </c>
      <c r="BR810" s="21">
        <v>1</v>
      </c>
      <c r="BS810" s="21">
        <v>0</v>
      </c>
    </row>
    <row r="811" spans="1:71">
      <c r="A811" s="47" t="s">
        <v>5137</v>
      </c>
      <c r="B811">
        <v>28</v>
      </c>
      <c r="C811">
        <v>182</v>
      </c>
      <c r="D811" s="21">
        <v>2010</v>
      </c>
      <c r="E811" s="23">
        <v>-0.55000000000000004</v>
      </c>
      <c r="F811" s="14">
        <f t="shared" si="51"/>
        <v>3.2429245283018868E-2</v>
      </c>
      <c r="G811" s="23">
        <v>-16.96</v>
      </c>
      <c r="H811" s="27">
        <v>0</v>
      </c>
      <c r="I811" s="21">
        <v>1</v>
      </c>
      <c r="J811" s="21">
        <v>12054</v>
      </c>
      <c r="K811" s="21">
        <v>1</v>
      </c>
      <c r="L811" s="21">
        <v>0</v>
      </c>
      <c r="M811" s="21">
        <v>0</v>
      </c>
      <c r="N811" s="21">
        <v>0</v>
      </c>
      <c r="O811" s="21">
        <v>0</v>
      </c>
      <c r="P811">
        <v>0</v>
      </c>
      <c r="Q811" s="21">
        <v>1</v>
      </c>
      <c r="R811" s="21">
        <v>0</v>
      </c>
      <c r="S811" s="21">
        <v>0</v>
      </c>
      <c r="T811" s="21">
        <v>1</v>
      </c>
      <c r="U811" s="21">
        <v>1995</v>
      </c>
      <c r="V811" s="21">
        <v>2004</v>
      </c>
      <c r="W811">
        <f t="shared" si="50"/>
        <v>2000</v>
      </c>
      <c r="X811" s="21">
        <v>1</v>
      </c>
      <c r="Y811" s="21">
        <v>0</v>
      </c>
      <c r="Z811" s="21">
        <v>1</v>
      </c>
      <c r="AA811" s="21">
        <v>0</v>
      </c>
      <c r="AB811" s="21">
        <v>0</v>
      </c>
      <c r="AC811" s="21">
        <v>0</v>
      </c>
      <c r="AD811" s="21">
        <v>0</v>
      </c>
      <c r="AE811" s="21">
        <v>0</v>
      </c>
      <c r="AF811" s="21">
        <v>1</v>
      </c>
      <c r="AG811" s="21">
        <v>1</v>
      </c>
      <c r="AH811" s="21">
        <v>1</v>
      </c>
      <c r="AI811" s="21">
        <v>1</v>
      </c>
      <c r="AJ811" s="21">
        <v>1</v>
      </c>
      <c r="AK811" s="21">
        <v>1</v>
      </c>
      <c r="AL811" s="21">
        <v>1</v>
      </c>
      <c r="AM811" s="21">
        <v>1</v>
      </c>
      <c r="AN811" s="21">
        <v>1</v>
      </c>
      <c r="AO811" s="21">
        <v>1</v>
      </c>
      <c r="AP811" s="21">
        <v>1</v>
      </c>
      <c r="AQ811" s="21">
        <v>0</v>
      </c>
      <c r="AR811" s="21">
        <v>1</v>
      </c>
      <c r="AS811" s="21">
        <v>1</v>
      </c>
      <c r="AT811" s="21">
        <v>1</v>
      </c>
      <c r="AU811" s="21">
        <v>1</v>
      </c>
      <c r="AV811" s="21">
        <v>1</v>
      </c>
      <c r="AW811" s="21">
        <v>1</v>
      </c>
      <c r="AX811" s="21">
        <v>1</v>
      </c>
      <c r="AY811" s="21">
        <v>1</v>
      </c>
      <c r="AZ811" s="21">
        <v>1</v>
      </c>
      <c r="BA811" s="21">
        <v>1</v>
      </c>
      <c r="BB811" s="21">
        <v>1</v>
      </c>
      <c r="BC811" s="21">
        <v>1</v>
      </c>
      <c r="BD811" s="21">
        <v>1</v>
      </c>
      <c r="BE811" s="21">
        <v>1</v>
      </c>
      <c r="BF811" s="21">
        <v>1</v>
      </c>
      <c r="BG811" s="21">
        <v>0</v>
      </c>
      <c r="BH811" s="21">
        <v>0</v>
      </c>
      <c r="BI811" s="21">
        <v>1</v>
      </c>
      <c r="BJ811" s="21">
        <v>0</v>
      </c>
      <c r="BK811" s="21">
        <v>0</v>
      </c>
      <c r="BL811" s="21">
        <v>0</v>
      </c>
      <c r="BM811" s="21">
        <v>0</v>
      </c>
      <c r="BN811" s="21">
        <v>1</v>
      </c>
      <c r="BO811" s="21">
        <v>1</v>
      </c>
      <c r="BP811" s="21">
        <v>0</v>
      </c>
      <c r="BQ811" s="21">
        <v>0</v>
      </c>
      <c r="BR811" s="21">
        <v>1</v>
      </c>
      <c r="BS811" s="21">
        <v>0</v>
      </c>
    </row>
    <row r="812" spans="1:71">
      <c r="A812" s="47" t="s">
        <v>5137</v>
      </c>
      <c r="B812">
        <v>28</v>
      </c>
      <c r="C812">
        <v>183</v>
      </c>
      <c r="D812" s="21">
        <v>2010</v>
      </c>
      <c r="E812" s="23">
        <v>-0.61</v>
      </c>
      <c r="F812" s="14">
        <f t="shared" si="51"/>
        <v>4.8489666136724958E-2</v>
      </c>
      <c r="G812" s="23">
        <v>-12.58</v>
      </c>
      <c r="H812" s="27">
        <v>0</v>
      </c>
      <c r="I812" s="21">
        <v>1</v>
      </c>
      <c r="J812" s="21">
        <v>12054</v>
      </c>
      <c r="K812" s="21">
        <v>1</v>
      </c>
      <c r="L812" s="21">
        <v>0</v>
      </c>
      <c r="M812" s="21">
        <v>0</v>
      </c>
      <c r="N812" s="21">
        <v>0</v>
      </c>
      <c r="O812" s="21">
        <v>0</v>
      </c>
      <c r="P812">
        <v>0</v>
      </c>
      <c r="Q812" s="21">
        <v>0</v>
      </c>
      <c r="R812" s="21">
        <v>0</v>
      </c>
      <c r="S812" s="21">
        <v>1</v>
      </c>
      <c r="T812" s="21">
        <v>1</v>
      </c>
      <c r="U812" s="21">
        <v>1995</v>
      </c>
      <c r="V812" s="21">
        <v>2004</v>
      </c>
      <c r="W812">
        <f t="shared" si="50"/>
        <v>2000</v>
      </c>
      <c r="X812" s="21">
        <v>1</v>
      </c>
      <c r="Y812" s="21">
        <v>0</v>
      </c>
      <c r="Z812" s="21">
        <v>1</v>
      </c>
      <c r="AA812" s="21">
        <v>0</v>
      </c>
      <c r="AB812" s="21">
        <v>0</v>
      </c>
      <c r="AC812" s="21">
        <v>0</v>
      </c>
      <c r="AD812" s="21">
        <v>0</v>
      </c>
      <c r="AE812" s="21">
        <v>0</v>
      </c>
      <c r="AF812" s="21">
        <v>1</v>
      </c>
      <c r="AG812" s="21">
        <v>1</v>
      </c>
      <c r="AH812" s="21">
        <v>1</v>
      </c>
      <c r="AI812" s="21">
        <v>1</v>
      </c>
      <c r="AJ812" s="21">
        <v>1</v>
      </c>
      <c r="AK812" s="21">
        <v>1</v>
      </c>
      <c r="AL812" s="21">
        <v>1</v>
      </c>
      <c r="AM812" s="21">
        <v>1</v>
      </c>
      <c r="AN812" s="21">
        <v>1</v>
      </c>
      <c r="AO812" s="21">
        <v>1</v>
      </c>
      <c r="AP812" s="21">
        <v>1</v>
      </c>
      <c r="AQ812" s="21">
        <v>0</v>
      </c>
      <c r="AR812" s="21">
        <v>1</v>
      </c>
      <c r="AS812" s="21">
        <v>1</v>
      </c>
      <c r="AT812" s="21">
        <v>1</v>
      </c>
      <c r="AU812" s="21">
        <v>1</v>
      </c>
      <c r="AV812" s="21">
        <v>1</v>
      </c>
      <c r="AW812" s="21">
        <v>1</v>
      </c>
      <c r="AX812" s="21">
        <v>1</v>
      </c>
      <c r="AY812" s="21">
        <v>1</v>
      </c>
      <c r="AZ812" s="21">
        <v>1</v>
      </c>
      <c r="BA812" s="21">
        <v>1</v>
      </c>
      <c r="BB812" s="21">
        <v>1</v>
      </c>
      <c r="BC812" s="21">
        <v>1</v>
      </c>
      <c r="BD812" s="21">
        <v>1</v>
      </c>
      <c r="BE812" s="21">
        <v>1</v>
      </c>
      <c r="BF812" s="21">
        <v>1</v>
      </c>
      <c r="BG812" s="21">
        <v>0</v>
      </c>
      <c r="BH812" s="21">
        <v>0</v>
      </c>
      <c r="BI812" s="21">
        <v>1</v>
      </c>
      <c r="BJ812" s="21">
        <v>0</v>
      </c>
      <c r="BK812" s="21">
        <v>0</v>
      </c>
      <c r="BL812" s="21">
        <v>0</v>
      </c>
      <c r="BM812" s="21">
        <v>0</v>
      </c>
      <c r="BN812" s="21">
        <v>1</v>
      </c>
      <c r="BO812" s="21">
        <v>1</v>
      </c>
      <c r="BP812" s="21">
        <v>0</v>
      </c>
      <c r="BQ812" s="21">
        <v>0</v>
      </c>
      <c r="BR812" s="21">
        <v>1</v>
      </c>
      <c r="BS812" s="21">
        <v>0</v>
      </c>
    </row>
    <row r="813" spans="1:71">
      <c r="A813" s="47" t="s">
        <v>4873</v>
      </c>
      <c r="B813">
        <v>29</v>
      </c>
      <c r="C813">
        <v>184</v>
      </c>
      <c r="D813" s="21">
        <v>2010</v>
      </c>
      <c r="E813" s="23">
        <v>-1.47</v>
      </c>
      <c r="F813" s="14">
        <f t="shared" si="51"/>
        <v>9.0740740740740747E-2</v>
      </c>
      <c r="G813" s="23">
        <v>-16.2</v>
      </c>
      <c r="H813" s="27">
        <v>0</v>
      </c>
      <c r="I813" s="21">
        <v>1</v>
      </c>
      <c r="J813" s="21">
        <v>132</v>
      </c>
      <c r="K813" s="21">
        <v>1</v>
      </c>
      <c r="L813" s="21">
        <v>0</v>
      </c>
      <c r="M813" s="21">
        <v>0</v>
      </c>
      <c r="N813" s="21">
        <v>0</v>
      </c>
      <c r="O813" s="21">
        <v>0</v>
      </c>
      <c r="P813">
        <v>0</v>
      </c>
      <c r="Q813" s="21">
        <v>0</v>
      </c>
      <c r="R813" s="21">
        <v>0</v>
      </c>
      <c r="S813" s="21">
        <v>0</v>
      </c>
      <c r="T813" s="21">
        <v>1</v>
      </c>
      <c r="U813" s="21">
        <v>1995</v>
      </c>
      <c r="V813" s="21">
        <v>2005</v>
      </c>
      <c r="W813">
        <f t="shared" si="50"/>
        <v>2000</v>
      </c>
      <c r="X813" s="21">
        <v>1</v>
      </c>
      <c r="Y813" s="21">
        <v>0</v>
      </c>
      <c r="Z813" s="21">
        <v>0</v>
      </c>
      <c r="AA813" s="21">
        <v>0</v>
      </c>
      <c r="AB813" s="21">
        <v>0</v>
      </c>
      <c r="AC813" s="21">
        <v>1</v>
      </c>
      <c r="AD813" s="21">
        <v>0</v>
      </c>
      <c r="AE813" s="21">
        <v>0</v>
      </c>
      <c r="AF813" s="21">
        <v>1</v>
      </c>
      <c r="AG813" s="21">
        <v>1</v>
      </c>
      <c r="AH813" s="21">
        <v>1</v>
      </c>
      <c r="AI813" s="21">
        <v>0</v>
      </c>
      <c r="AJ813" s="21">
        <v>0</v>
      </c>
      <c r="AK813" s="21">
        <v>0</v>
      </c>
      <c r="AL813" s="21">
        <v>0</v>
      </c>
      <c r="AM813" s="21">
        <v>1</v>
      </c>
      <c r="AN813" s="21">
        <v>0</v>
      </c>
      <c r="AO813" s="21">
        <v>1</v>
      </c>
      <c r="AP813" s="21">
        <v>0</v>
      </c>
      <c r="AQ813" s="21">
        <v>0</v>
      </c>
      <c r="AR813" s="21">
        <v>1</v>
      </c>
      <c r="AS813" s="21">
        <v>1</v>
      </c>
      <c r="AT813" s="21">
        <v>1</v>
      </c>
      <c r="AU813" s="21">
        <v>1</v>
      </c>
      <c r="AV813" s="21">
        <v>0</v>
      </c>
      <c r="AW813" s="21">
        <v>1</v>
      </c>
      <c r="AX813" s="21">
        <v>0</v>
      </c>
      <c r="AY813" s="21">
        <v>1</v>
      </c>
      <c r="AZ813" s="21">
        <v>0</v>
      </c>
      <c r="BA813" s="21">
        <v>1</v>
      </c>
      <c r="BB813" s="21">
        <v>1</v>
      </c>
      <c r="BC813" s="21">
        <v>0</v>
      </c>
      <c r="BD813" s="21">
        <v>0</v>
      </c>
      <c r="BE813" s="21">
        <v>0</v>
      </c>
      <c r="BF813" s="21">
        <v>0</v>
      </c>
      <c r="BG813" s="21">
        <v>1</v>
      </c>
      <c r="BH813" s="21">
        <v>0</v>
      </c>
      <c r="BI813" s="21">
        <v>0</v>
      </c>
      <c r="BJ813" s="21">
        <v>1</v>
      </c>
      <c r="BK813" s="21">
        <v>0</v>
      </c>
      <c r="BL813" s="21">
        <v>0</v>
      </c>
      <c r="BM813" s="21">
        <v>0</v>
      </c>
      <c r="BN813" s="21">
        <v>1</v>
      </c>
      <c r="BO813" s="21">
        <v>0</v>
      </c>
      <c r="BP813" s="21">
        <v>0</v>
      </c>
      <c r="BQ813" s="21">
        <v>0</v>
      </c>
      <c r="BR813" s="21">
        <v>0</v>
      </c>
      <c r="BS813" s="21">
        <v>0</v>
      </c>
    </row>
    <row r="814" spans="1:71">
      <c r="A814" s="47" t="s">
        <v>4873</v>
      </c>
      <c r="B814">
        <v>29</v>
      </c>
      <c r="C814">
        <v>185</v>
      </c>
      <c r="D814" s="21">
        <v>2010</v>
      </c>
      <c r="E814" s="23">
        <v>-1.56</v>
      </c>
      <c r="F814" s="14">
        <f t="shared" si="51"/>
        <v>7.0492544057840043E-2</v>
      </c>
      <c r="G814" s="23">
        <v>-22.13</v>
      </c>
      <c r="H814" s="27">
        <v>0</v>
      </c>
      <c r="I814" s="21">
        <v>1</v>
      </c>
      <c r="J814" s="21">
        <v>132</v>
      </c>
      <c r="K814" s="21">
        <v>1</v>
      </c>
      <c r="L814" s="21">
        <v>0</v>
      </c>
      <c r="M814" s="21">
        <v>0</v>
      </c>
      <c r="N814" s="21">
        <v>0</v>
      </c>
      <c r="O814" s="21">
        <v>0</v>
      </c>
      <c r="P814">
        <v>0</v>
      </c>
      <c r="Q814" s="21">
        <v>0</v>
      </c>
      <c r="R814" s="21">
        <v>0</v>
      </c>
      <c r="S814" s="21">
        <v>0</v>
      </c>
      <c r="T814" s="21">
        <v>1</v>
      </c>
      <c r="U814" s="21">
        <v>1995</v>
      </c>
      <c r="V814" s="21">
        <v>2005</v>
      </c>
      <c r="W814">
        <f t="shared" si="50"/>
        <v>2000</v>
      </c>
      <c r="X814" s="21">
        <v>1</v>
      </c>
      <c r="Y814" s="21">
        <v>0</v>
      </c>
      <c r="Z814" s="21">
        <v>0</v>
      </c>
      <c r="AA814" s="21">
        <v>0</v>
      </c>
      <c r="AB814" s="21">
        <v>0</v>
      </c>
      <c r="AC814" s="21">
        <v>1</v>
      </c>
      <c r="AD814" s="21">
        <v>0</v>
      </c>
      <c r="AE814" s="21">
        <v>0</v>
      </c>
      <c r="AF814" s="21">
        <v>1</v>
      </c>
      <c r="AG814" s="21">
        <v>1</v>
      </c>
      <c r="AH814" s="21">
        <v>1</v>
      </c>
      <c r="AI814" s="21">
        <v>0</v>
      </c>
      <c r="AJ814" s="21">
        <v>0</v>
      </c>
      <c r="AK814" s="21">
        <v>0</v>
      </c>
      <c r="AL814" s="21">
        <v>0</v>
      </c>
      <c r="AM814" s="21">
        <v>1</v>
      </c>
      <c r="AN814" s="21">
        <v>0</v>
      </c>
      <c r="AO814" s="21">
        <v>1</v>
      </c>
      <c r="AP814" s="21">
        <v>0</v>
      </c>
      <c r="AQ814" s="21">
        <v>0</v>
      </c>
      <c r="AR814" s="21">
        <v>1</v>
      </c>
      <c r="AS814" s="21">
        <v>1</v>
      </c>
      <c r="AT814" s="21">
        <v>1</v>
      </c>
      <c r="AU814" s="21">
        <v>1</v>
      </c>
      <c r="AV814" s="21">
        <v>0</v>
      </c>
      <c r="AW814" s="21">
        <v>1</v>
      </c>
      <c r="AX814" s="21">
        <v>0</v>
      </c>
      <c r="AY814" s="21">
        <v>1</v>
      </c>
      <c r="AZ814" s="21">
        <v>0</v>
      </c>
      <c r="BA814" s="21">
        <v>1</v>
      </c>
      <c r="BB814" s="21">
        <v>1</v>
      </c>
      <c r="BC814" s="21">
        <v>0</v>
      </c>
      <c r="BD814" s="21">
        <v>0</v>
      </c>
      <c r="BE814" s="21">
        <v>0</v>
      </c>
      <c r="BF814" s="21">
        <v>0</v>
      </c>
      <c r="BG814" s="21">
        <v>1</v>
      </c>
      <c r="BH814" s="21">
        <v>0</v>
      </c>
      <c r="BI814" s="21">
        <v>0</v>
      </c>
      <c r="BJ814" s="21">
        <v>1</v>
      </c>
      <c r="BK814" s="21">
        <v>0</v>
      </c>
      <c r="BL814" s="21">
        <v>0</v>
      </c>
      <c r="BM814" s="21">
        <v>0</v>
      </c>
      <c r="BN814" s="21">
        <v>0</v>
      </c>
      <c r="BO814" s="21">
        <v>0</v>
      </c>
      <c r="BP814" s="21">
        <v>0</v>
      </c>
      <c r="BQ814" s="21">
        <v>0</v>
      </c>
      <c r="BR814" s="21">
        <v>0</v>
      </c>
      <c r="BS814" s="21">
        <v>0</v>
      </c>
    </row>
    <row r="815" spans="1:71">
      <c r="A815" s="47" t="s">
        <v>4873</v>
      </c>
      <c r="B815">
        <v>29</v>
      </c>
      <c r="C815">
        <v>186</v>
      </c>
      <c r="D815" s="21">
        <v>2010</v>
      </c>
      <c r="E815" s="23">
        <v>-3.61</v>
      </c>
      <c r="F815" s="14">
        <f t="shared" si="51"/>
        <v>0.27369219105382864</v>
      </c>
      <c r="G815" s="23">
        <v>-13.19</v>
      </c>
      <c r="H815" s="27">
        <v>0</v>
      </c>
      <c r="I815" s="21">
        <v>1</v>
      </c>
      <c r="J815" s="21">
        <v>84</v>
      </c>
      <c r="K815" s="21">
        <v>1</v>
      </c>
      <c r="L815" s="21">
        <v>0</v>
      </c>
      <c r="M815" s="21">
        <v>0</v>
      </c>
      <c r="N815" s="21">
        <v>0</v>
      </c>
      <c r="O815" s="21">
        <v>0</v>
      </c>
      <c r="P815">
        <v>0</v>
      </c>
      <c r="Q815" s="21">
        <v>0</v>
      </c>
      <c r="R815" s="21">
        <v>0</v>
      </c>
      <c r="S815" s="21">
        <v>0</v>
      </c>
      <c r="T815" s="21">
        <v>1</v>
      </c>
      <c r="U815" s="21">
        <v>1995</v>
      </c>
      <c r="V815" s="21">
        <v>2005</v>
      </c>
      <c r="W815">
        <f t="shared" si="50"/>
        <v>2000</v>
      </c>
      <c r="X815" s="21">
        <v>0</v>
      </c>
      <c r="Y815" s="21">
        <v>1</v>
      </c>
      <c r="Z815" s="21">
        <v>0</v>
      </c>
      <c r="AA815" s="21">
        <v>0</v>
      </c>
      <c r="AB815" s="21">
        <v>0</v>
      </c>
      <c r="AC815" s="21">
        <v>1</v>
      </c>
      <c r="AD815" s="21">
        <v>0</v>
      </c>
      <c r="AE815" s="21">
        <v>0</v>
      </c>
      <c r="AF815" s="21">
        <v>1</v>
      </c>
      <c r="AG815" s="21">
        <v>1</v>
      </c>
      <c r="AH815" s="21">
        <v>1</v>
      </c>
      <c r="AI815" s="21">
        <v>0</v>
      </c>
      <c r="AJ815" s="21">
        <v>0</v>
      </c>
      <c r="AK815" s="21">
        <v>0</v>
      </c>
      <c r="AL815" s="21">
        <v>0</v>
      </c>
      <c r="AM815" s="21">
        <v>1</v>
      </c>
      <c r="AN815" s="21">
        <v>0</v>
      </c>
      <c r="AO815" s="21">
        <v>1</v>
      </c>
      <c r="AP815" s="21">
        <v>0</v>
      </c>
      <c r="AQ815" s="21">
        <v>0</v>
      </c>
      <c r="AR815" s="21">
        <v>1</v>
      </c>
      <c r="AS815" s="21">
        <v>1</v>
      </c>
      <c r="AT815" s="21">
        <v>1</v>
      </c>
      <c r="AU815" s="21">
        <v>0</v>
      </c>
      <c r="AV815" s="21">
        <v>0</v>
      </c>
      <c r="AW815" s="21">
        <v>0</v>
      </c>
      <c r="AX815" s="21">
        <v>0</v>
      </c>
      <c r="AY815" s="21">
        <v>0</v>
      </c>
      <c r="AZ815" s="21">
        <v>0</v>
      </c>
      <c r="BA815" s="21">
        <v>1</v>
      </c>
      <c r="BB815" s="21">
        <v>1</v>
      </c>
      <c r="BC815" s="21">
        <v>0</v>
      </c>
      <c r="BD815" s="21">
        <v>0</v>
      </c>
      <c r="BE815" s="21">
        <v>0</v>
      </c>
      <c r="BF815" s="21">
        <v>0</v>
      </c>
      <c r="BG815" s="21">
        <v>1</v>
      </c>
      <c r="BH815" s="21">
        <v>0</v>
      </c>
      <c r="BI815" s="21">
        <v>0</v>
      </c>
      <c r="BJ815" s="21">
        <v>1</v>
      </c>
      <c r="BK815" s="21">
        <v>0</v>
      </c>
      <c r="BL815" s="21">
        <v>0</v>
      </c>
      <c r="BM815" s="21">
        <v>0</v>
      </c>
      <c r="BN815" s="21">
        <v>1</v>
      </c>
      <c r="BO815" s="21">
        <v>0</v>
      </c>
      <c r="BP815" s="21">
        <v>0</v>
      </c>
      <c r="BQ815" s="21">
        <v>0</v>
      </c>
      <c r="BR815" s="21">
        <v>0</v>
      </c>
      <c r="BS815" s="21">
        <v>0</v>
      </c>
    </row>
    <row r="816" spans="1:71">
      <c r="A816" s="47" t="s">
        <v>4873</v>
      </c>
      <c r="B816">
        <v>29</v>
      </c>
      <c r="C816">
        <v>187</v>
      </c>
      <c r="D816" s="21">
        <v>2010</v>
      </c>
      <c r="E816" s="23">
        <v>-2.14</v>
      </c>
      <c r="F816" s="14">
        <f t="shared" si="51"/>
        <v>0.18212765957446811</v>
      </c>
      <c r="G816" s="23">
        <v>-11.75</v>
      </c>
      <c r="H816" s="27">
        <v>0</v>
      </c>
      <c r="I816" s="21">
        <v>1</v>
      </c>
      <c r="J816" s="21">
        <v>84</v>
      </c>
      <c r="K816" s="21">
        <v>1</v>
      </c>
      <c r="L816" s="21">
        <v>0</v>
      </c>
      <c r="M816" s="21">
        <v>0</v>
      </c>
      <c r="N816" s="21">
        <v>0</v>
      </c>
      <c r="O816" s="21">
        <v>0</v>
      </c>
      <c r="P816">
        <v>0</v>
      </c>
      <c r="Q816" s="21">
        <v>0</v>
      </c>
      <c r="R816" s="21">
        <v>0</v>
      </c>
      <c r="S816" s="21">
        <v>0</v>
      </c>
      <c r="T816" s="21">
        <v>1</v>
      </c>
      <c r="U816" s="21">
        <v>1995</v>
      </c>
      <c r="V816" s="21">
        <v>2005</v>
      </c>
      <c r="W816">
        <f t="shared" si="50"/>
        <v>2000</v>
      </c>
      <c r="X816" s="21">
        <v>0</v>
      </c>
      <c r="Y816" s="21">
        <v>1</v>
      </c>
      <c r="Z816" s="21">
        <v>0</v>
      </c>
      <c r="AA816" s="21">
        <v>0</v>
      </c>
      <c r="AB816" s="21">
        <v>0</v>
      </c>
      <c r="AC816" s="21">
        <v>1</v>
      </c>
      <c r="AD816" s="21">
        <v>0</v>
      </c>
      <c r="AE816" s="21">
        <v>0</v>
      </c>
      <c r="AF816" s="21">
        <v>1</v>
      </c>
      <c r="AG816" s="21">
        <v>1</v>
      </c>
      <c r="AH816" s="21">
        <v>1</v>
      </c>
      <c r="AI816" s="21">
        <v>0</v>
      </c>
      <c r="AJ816" s="21">
        <v>0</v>
      </c>
      <c r="AK816" s="21">
        <v>0</v>
      </c>
      <c r="AL816" s="21">
        <v>0</v>
      </c>
      <c r="AM816" s="21">
        <v>1</v>
      </c>
      <c r="AN816" s="21">
        <v>0</v>
      </c>
      <c r="AO816" s="21">
        <v>1</v>
      </c>
      <c r="AP816" s="21">
        <v>0</v>
      </c>
      <c r="AQ816" s="21">
        <v>0</v>
      </c>
      <c r="AR816" s="21">
        <v>1</v>
      </c>
      <c r="AS816" s="21">
        <v>1</v>
      </c>
      <c r="AT816" s="21">
        <v>1</v>
      </c>
      <c r="AU816" s="21">
        <v>0</v>
      </c>
      <c r="AV816" s="21">
        <v>0</v>
      </c>
      <c r="AW816" s="21">
        <v>0</v>
      </c>
      <c r="AX816" s="21">
        <v>0</v>
      </c>
      <c r="AY816" s="21">
        <v>0</v>
      </c>
      <c r="AZ816" s="21">
        <v>0</v>
      </c>
      <c r="BA816" s="21">
        <v>1</v>
      </c>
      <c r="BB816" s="21">
        <v>1</v>
      </c>
      <c r="BC816" s="21">
        <v>0</v>
      </c>
      <c r="BD816" s="21">
        <v>0</v>
      </c>
      <c r="BE816" s="21">
        <v>0</v>
      </c>
      <c r="BF816" s="21">
        <v>0</v>
      </c>
      <c r="BG816" s="21">
        <v>1</v>
      </c>
      <c r="BH816" s="21">
        <v>0</v>
      </c>
      <c r="BI816" s="21">
        <v>0</v>
      </c>
      <c r="BJ816" s="21">
        <v>1</v>
      </c>
      <c r="BK816" s="21">
        <v>0</v>
      </c>
      <c r="BL816" s="21">
        <v>0</v>
      </c>
      <c r="BM816" s="21">
        <v>0</v>
      </c>
      <c r="BN816" s="21">
        <v>0</v>
      </c>
      <c r="BO816" s="21">
        <v>0</v>
      </c>
      <c r="BP816" s="21">
        <v>0</v>
      </c>
      <c r="BQ816" s="21">
        <v>0</v>
      </c>
      <c r="BR816" s="21">
        <v>0</v>
      </c>
      <c r="BS816" s="21">
        <v>0</v>
      </c>
    </row>
    <row r="817" spans="1:71">
      <c r="A817" s="18" t="s">
        <v>5220</v>
      </c>
      <c r="B817">
        <v>43</v>
      </c>
      <c r="C817">
        <v>283</v>
      </c>
      <c r="D817" s="21">
        <v>2010</v>
      </c>
      <c r="E817" s="23">
        <v>-1.42</v>
      </c>
      <c r="F817">
        <v>0.28000000000000003</v>
      </c>
      <c r="G817" s="14">
        <f>E817/F817</f>
        <v>-5.0714285714285703</v>
      </c>
      <c r="H817" s="27">
        <v>0</v>
      </c>
      <c r="I817" s="21">
        <v>0</v>
      </c>
      <c r="J817" s="21">
        <v>1404</v>
      </c>
      <c r="K817" s="21">
        <v>1</v>
      </c>
      <c r="L817" s="21">
        <v>0</v>
      </c>
      <c r="M817" s="21">
        <v>0</v>
      </c>
      <c r="N817" s="21">
        <v>0</v>
      </c>
      <c r="O817" s="21">
        <v>0</v>
      </c>
      <c r="P817">
        <v>0</v>
      </c>
      <c r="Q817" s="21">
        <v>0</v>
      </c>
      <c r="R817" s="21">
        <v>0</v>
      </c>
      <c r="S817" s="21">
        <v>0</v>
      </c>
      <c r="T817" s="21">
        <v>1</v>
      </c>
      <c r="U817" s="21">
        <v>2000</v>
      </c>
      <c r="V817" s="21">
        <v>2005</v>
      </c>
      <c r="W817">
        <f t="shared" si="50"/>
        <v>2003</v>
      </c>
      <c r="X817" s="21">
        <v>1</v>
      </c>
      <c r="Y817" s="21">
        <v>0</v>
      </c>
      <c r="Z817" s="21">
        <v>0</v>
      </c>
      <c r="AA817" s="21">
        <v>0</v>
      </c>
      <c r="AB817" s="21">
        <v>0</v>
      </c>
      <c r="AC817" s="21">
        <v>0</v>
      </c>
      <c r="AD817" s="21">
        <v>0</v>
      </c>
      <c r="AE817" s="21">
        <v>0</v>
      </c>
      <c r="AF817" s="21">
        <v>0</v>
      </c>
      <c r="AG817" s="21">
        <v>0</v>
      </c>
      <c r="AH817" s="21">
        <v>0</v>
      </c>
      <c r="AI817" s="21">
        <v>0</v>
      </c>
      <c r="AJ817" s="21">
        <v>0</v>
      </c>
      <c r="AK817" s="21">
        <v>0</v>
      </c>
      <c r="AL817" s="21">
        <v>0</v>
      </c>
      <c r="AM817" s="21">
        <v>1</v>
      </c>
      <c r="AN817" s="21">
        <v>0</v>
      </c>
      <c r="AO817" s="21">
        <v>1</v>
      </c>
      <c r="AP817" s="21">
        <v>0</v>
      </c>
      <c r="AQ817" s="21">
        <v>0</v>
      </c>
      <c r="AR817" s="21">
        <v>1</v>
      </c>
      <c r="AS817" s="21">
        <v>1</v>
      </c>
      <c r="AT817" s="21">
        <v>1</v>
      </c>
      <c r="AU817" s="21">
        <v>1</v>
      </c>
      <c r="AV817" s="21">
        <v>0</v>
      </c>
      <c r="AW817" s="21">
        <v>1</v>
      </c>
      <c r="AX817" s="21">
        <v>0</v>
      </c>
      <c r="AY817" s="21">
        <v>1</v>
      </c>
      <c r="AZ817" s="21">
        <v>1</v>
      </c>
      <c r="BA817" s="21">
        <v>1</v>
      </c>
      <c r="BB817" s="21">
        <v>1</v>
      </c>
      <c r="BC817" s="21">
        <v>0</v>
      </c>
      <c r="BD817" s="21">
        <v>0</v>
      </c>
      <c r="BE817" s="21">
        <v>0</v>
      </c>
      <c r="BF817" s="21">
        <v>1</v>
      </c>
      <c r="BG817" s="21">
        <v>0</v>
      </c>
      <c r="BH817" s="21">
        <v>1</v>
      </c>
      <c r="BI817" s="21">
        <v>0</v>
      </c>
      <c r="BJ817" s="21">
        <v>0</v>
      </c>
      <c r="BK817" s="21">
        <v>0</v>
      </c>
      <c r="BL817" s="21">
        <v>0</v>
      </c>
      <c r="BM817" s="21">
        <v>0</v>
      </c>
      <c r="BN817" s="21">
        <v>0</v>
      </c>
      <c r="BO817" s="21">
        <v>0</v>
      </c>
      <c r="BP817" s="21">
        <v>0</v>
      </c>
      <c r="BQ817" s="21">
        <v>1</v>
      </c>
      <c r="BR817" s="21">
        <v>0</v>
      </c>
      <c r="BS817" s="21">
        <v>0</v>
      </c>
    </row>
    <row r="818" spans="1:71">
      <c r="A818" s="18" t="s">
        <v>5220</v>
      </c>
      <c r="B818">
        <v>43</v>
      </c>
      <c r="C818">
        <v>284</v>
      </c>
      <c r="D818" s="21">
        <v>2010</v>
      </c>
      <c r="E818" s="23">
        <v>-1.55</v>
      </c>
      <c r="F818">
        <v>0.27</v>
      </c>
      <c r="G818" s="14">
        <f>E818/F818</f>
        <v>-5.7407407407407405</v>
      </c>
      <c r="H818" s="27">
        <v>0</v>
      </c>
      <c r="I818" s="21">
        <v>0</v>
      </c>
      <c r="J818" s="21">
        <v>1404</v>
      </c>
      <c r="K818" s="21">
        <v>1</v>
      </c>
      <c r="L818" s="21">
        <v>0</v>
      </c>
      <c r="M818" s="21">
        <v>0</v>
      </c>
      <c r="N818" s="21">
        <v>0</v>
      </c>
      <c r="O818" s="21">
        <v>0</v>
      </c>
      <c r="P818">
        <v>0</v>
      </c>
      <c r="Q818" s="21">
        <v>0</v>
      </c>
      <c r="R818" s="21">
        <v>0</v>
      </c>
      <c r="S818" s="21">
        <v>0</v>
      </c>
      <c r="T818" s="21">
        <v>1</v>
      </c>
      <c r="U818" s="21">
        <v>2000</v>
      </c>
      <c r="V818" s="21">
        <v>2005</v>
      </c>
      <c r="W818">
        <f t="shared" si="50"/>
        <v>2003</v>
      </c>
      <c r="X818" s="21">
        <v>1</v>
      </c>
      <c r="Y818" s="21">
        <v>0</v>
      </c>
      <c r="Z818" s="21">
        <v>0</v>
      </c>
      <c r="AA818" s="21">
        <v>0</v>
      </c>
      <c r="AB818" s="21">
        <v>0</v>
      </c>
      <c r="AC818" s="21">
        <v>0</v>
      </c>
      <c r="AD818" s="21">
        <v>0</v>
      </c>
      <c r="AE818" s="21">
        <v>0</v>
      </c>
      <c r="AF818" s="21">
        <v>0</v>
      </c>
      <c r="AG818" s="21">
        <v>0</v>
      </c>
      <c r="AH818" s="21">
        <v>0</v>
      </c>
      <c r="AI818" s="21">
        <v>0</v>
      </c>
      <c r="AJ818" s="21">
        <v>0</v>
      </c>
      <c r="AK818" s="21">
        <v>0</v>
      </c>
      <c r="AL818" s="21">
        <v>0</v>
      </c>
      <c r="AM818" s="21">
        <v>1</v>
      </c>
      <c r="AN818" s="21">
        <v>0</v>
      </c>
      <c r="AO818" s="21">
        <v>1</v>
      </c>
      <c r="AP818" s="21">
        <v>0</v>
      </c>
      <c r="AQ818" s="21">
        <v>0</v>
      </c>
      <c r="AR818" s="21">
        <v>1</v>
      </c>
      <c r="AS818" s="21">
        <v>1</v>
      </c>
      <c r="AT818" s="21">
        <v>1</v>
      </c>
      <c r="AU818" s="21">
        <v>1</v>
      </c>
      <c r="AV818" s="21">
        <v>0</v>
      </c>
      <c r="AW818" s="21">
        <v>1</v>
      </c>
      <c r="AX818" s="21">
        <v>0</v>
      </c>
      <c r="AY818" s="21">
        <v>1</v>
      </c>
      <c r="AZ818" s="21">
        <v>1</v>
      </c>
      <c r="BA818" s="21">
        <v>1</v>
      </c>
      <c r="BB818" s="21">
        <v>1</v>
      </c>
      <c r="BC818" s="21">
        <v>0</v>
      </c>
      <c r="BD818" s="21">
        <v>0</v>
      </c>
      <c r="BE818" s="21">
        <v>0</v>
      </c>
      <c r="BF818" s="21">
        <v>1</v>
      </c>
      <c r="BG818" s="21">
        <v>0</v>
      </c>
      <c r="BH818" s="21">
        <v>1</v>
      </c>
      <c r="BI818" s="21">
        <v>0</v>
      </c>
      <c r="BJ818" s="21">
        <v>0</v>
      </c>
      <c r="BK818" s="21">
        <v>0</v>
      </c>
      <c r="BL818" s="21">
        <v>0</v>
      </c>
      <c r="BM818" s="21">
        <v>0</v>
      </c>
      <c r="BN818" s="21">
        <v>0</v>
      </c>
      <c r="BO818" s="21">
        <v>0</v>
      </c>
      <c r="BP818" s="21">
        <v>0</v>
      </c>
      <c r="BQ818" s="21">
        <v>1</v>
      </c>
      <c r="BR818" s="21">
        <v>0</v>
      </c>
      <c r="BS818" s="21">
        <v>0</v>
      </c>
    </row>
    <row r="819" spans="1:71">
      <c r="A819" s="18" t="s">
        <v>5220</v>
      </c>
      <c r="B819">
        <v>43</v>
      </c>
      <c r="C819">
        <v>285</v>
      </c>
      <c r="D819" s="21">
        <v>2010</v>
      </c>
      <c r="E819" s="23">
        <v>-1.6</v>
      </c>
      <c r="F819">
        <v>0.27</v>
      </c>
      <c r="G819" s="14">
        <f>E819/F819</f>
        <v>-5.9259259259259256</v>
      </c>
      <c r="H819" s="27">
        <v>0</v>
      </c>
      <c r="I819" s="21">
        <v>0</v>
      </c>
      <c r="J819" s="21">
        <v>1404</v>
      </c>
      <c r="K819" s="21">
        <v>1</v>
      </c>
      <c r="L819" s="21">
        <v>0</v>
      </c>
      <c r="M819" s="21">
        <v>0</v>
      </c>
      <c r="N819" s="21">
        <v>0</v>
      </c>
      <c r="O819" s="21">
        <v>0</v>
      </c>
      <c r="P819">
        <v>0</v>
      </c>
      <c r="Q819" s="21">
        <v>0</v>
      </c>
      <c r="R819" s="21">
        <v>0</v>
      </c>
      <c r="S819" s="21">
        <v>0</v>
      </c>
      <c r="T819" s="21">
        <v>1</v>
      </c>
      <c r="U819" s="21">
        <v>2000</v>
      </c>
      <c r="V819" s="21">
        <v>2005</v>
      </c>
      <c r="W819">
        <f t="shared" si="50"/>
        <v>2003</v>
      </c>
      <c r="X819" s="21">
        <v>1</v>
      </c>
      <c r="Y819" s="21">
        <v>0</v>
      </c>
      <c r="Z819" s="21">
        <v>0</v>
      </c>
      <c r="AA819" s="21">
        <v>0</v>
      </c>
      <c r="AB819" s="21">
        <v>0</v>
      </c>
      <c r="AC819" s="21">
        <v>0</v>
      </c>
      <c r="AD819" s="21">
        <v>0</v>
      </c>
      <c r="AE819" s="21">
        <v>0</v>
      </c>
      <c r="AF819" s="21">
        <v>0</v>
      </c>
      <c r="AG819" s="21">
        <v>0</v>
      </c>
      <c r="AH819" s="21">
        <v>0</v>
      </c>
      <c r="AI819" s="21">
        <v>0</v>
      </c>
      <c r="AJ819" s="21">
        <v>0</v>
      </c>
      <c r="AK819" s="21">
        <v>0</v>
      </c>
      <c r="AL819" s="21">
        <v>0</v>
      </c>
      <c r="AM819" s="21">
        <v>1</v>
      </c>
      <c r="AN819" s="21">
        <v>0</v>
      </c>
      <c r="AO819" s="21">
        <v>1</v>
      </c>
      <c r="AP819" s="21">
        <v>0</v>
      </c>
      <c r="AQ819" s="21">
        <v>0</v>
      </c>
      <c r="AR819" s="21">
        <v>1</v>
      </c>
      <c r="AS819" s="21">
        <v>1</v>
      </c>
      <c r="AT819" s="21">
        <v>1</v>
      </c>
      <c r="AU819" s="21">
        <v>1</v>
      </c>
      <c r="AV819" s="21">
        <v>0</v>
      </c>
      <c r="AW819" s="21">
        <v>1</v>
      </c>
      <c r="AX819" s="21">
        <v>0</v>
      </c>
      <c r="AY819" s="21">
        <v>1</v>
      </c>
      <c r="AZ819" s="21">
        <v>1</v>
      </c>
      <c r="BA819" s="21">
        <v>1</v>
      </c>
      <c r="BB819" s="21">
        <v>1</v>
      </c>
      <c r="BC819" s="21">
        <v>0</v>
      </c>
      <c r="BD819" s="21">
        <v>0</v>
      </c>
      <c r="BE819" s="21">
        <v>0</v>
      </c>
      <c r="BF819" s="21">
        <v>1</v>
      </c>
      <c r="BG819" s="21">
        <v>0</v>
      </c>
      <c r="BH819" s="21">
        <v>1</v>
      </c>
      <c r="BI819" s="21">
        <v>0</v>
      </c>
      <c r="BJ819" s="21">
        <v>0</v>
      </c>
      <c r="BK819" s="21">
        <v>0</v>
      </c>
      <c r="BL819" s="21">
        <v>0</v>
      </c>
      <c r="BM819" s="21">
        <v>0</v>
      </c>
      <c r="BN819" s="21">
        <v>0</v>
      </c>
      <c r="BO819" s="21">
        <v>0</v>
      </c>
      <c r="BP819" s="21">
        <v>0</v>
      </c>
      <c r="BQ819" s="21">
        <v>1</v>
      </c>
      <c r="BR819" s="21">
        <v>0</v>
      </c>
      <c r="BS819" s="21">
        <v>0</v>
      </c>
    </row>
    <row r="820" spans="1:71">
      <c r="A820" s="18" t="s">
        <v>5220</v>
      </c>
      <c r="B820">
        <v>43</v>
      </c>
      <c r="C820">
        <v>286</v>
      </c>
      <c r="D820" s="21">
        <v>2010</v>
      </c>
      <c r="E820" s="23">
        <v>-1.62</v>
      </c>
      <c r="F820">
        <v>0.27</v>
      </c>
      <c r="G820" s="14">
        <f>E820/F820</f>
        <v>-6</v>
      </c>
      <c r="H820" s="27">
        <v>0</v>
      </c>
      <c r="I820" s="21">
        <v>0</v>
      </c>
      <c r="J820" s="21">
        <v>1404</v>
      </c>
      <c r="K820" s="21">
        <v>1</v>
      </c>
      <c r="L820" s="21">
        <v>0</v>
      </c>
      <c r="M820" s="21">
        <v>0</v>
      </c>
      <c r="N820" s="21">
        <v>0</v>
      </c>
      <c r="O820" s="21">
        <v>0</v>
      </c>
      <c r="P820">
        <v>0</v>
      </c>
      <c r="Q820" s="21">
        <v>0</v>
      </c>
      <c r="R820" s="21">
        <v>0</v>
      </c>
      <c r="S820" s="21">
        <v>0</v>
      </c>
      <c r="T820" s="21">
        <v>1</v>
      </c>
      <c r="U820" s="21">
        <v>2000</v>
      </c>
      <c r="V820" s="21">
        <v>2005</v>
      </c>
      <c r="W820">
        <f t="shared" si="50"/>
        <v>2003</v>
      </c>
      <c r="X820" s="21">
        <v>1</v>
      </c>
      <c r="Y820" s="21">
        <v>0</v>
      </c>
      <c r="Z820" s="21">
        <v>0</v>
      </c>
      <c r="AA820" s="21">
        <v>0</v>
      </c>
      <c r="AB820" s="21">
        <v>0</v>
      </c>
      <c r="AC820" s="21">
        <v>0</v>
      </c>
      <c r="AD820" s="21">
        <v>0</v>
      </c>
      <c r="AE820" s="21">
        <v>0</v>
      </c>
      <c r="AF820" s="21">
        <v>0</v>
      </c>
      <c r="AG820" s="21">
        <v>0</v>
      </c>
      <c r="AH820" s="21">
        <v>0</v>
      </c>
      <c r="AI820" s="21">
        <v>0</v>
      </c>
      <c r="AJ820" s="21">
        <v>0</v>
      </c>
      <c r="AK820" s="21">
        <v>0</v>
      </c>
      <c r="AL820" s="21">
        <v>0</v>
      </c>
      <c r="AM820" s="21">
        <v>1</v>
      </c>
      <c r="AN820" s="21">
        <v>0</v>
      </c>
      <c r="AO820" s="21">
        <v>1</v>
      </c>
      <c r="AP820" s="21">
        <v>0</v>
      </c>
      <c r="AQ820" s="21">
        <v>0</v>
      </c>
      <c r="AR820" s="21">
        <v>1</v>
      </c>
      <c r="AS820" s="21">
        <v>1</v>
      </c>
      <c r="AT820" s="21">
        <v>1</v>
      </c>
      <c r="AU820" s="21">
        <v>1</v>
      </c>
      <c r="AV820" s="21">
        <v>0</v>
      </c>
      <c r="AW820" s="21">
        <v>1</v>
      </c>
      <c r="AX820" s="21">
        <v>0</v>
      </c>
      <c r="AY820" s="21">
        <v>1</v>
      </c>
      <c r="AZ820" s="21">
        <v>1</v>
      </c>
      <c r="BA820" s="21">
        <v>1</v>
      </c>
      <c r="BB820" s="21">
        <v>1</v>
      </c>
      <c r="BC820" s="21">
        <v>0</v>
      </c>
      <c r="BD820" s="21">
        <v>0</v>
      </c>
      <c r="BE820" s="21">
        <v>0</v>
      </c>
      <c r="BF820" s="21">
        <v>1</v>
      </c>
      <c r="BG820" s="21">
        <v>0</v>
      </c>
      <c r="BH820" s="21">
        <v>1</v>
      </c>
      <c r="BI820" s="21">
        <v>0</v>
      </c>
      <c r="BJ820" s="21">
        <v>0</v>
      </c>
      <c r="BK820" s="21">
        <v>0</v>
      </c>
      <c r="BL820" s="21">
        <v>0</v>
      </c>
      <c r="BM820" s="21">
        <v>0</v>
      </c>
      <c r="BN820" s="21">
        <v>0</v>
      </c>
      <c r="BO820" s="21">
        <v>0</v>
      </c>
      <c r="BP820" s="21">
        <v>0</v>
      </c>
      <c r="BQ820" s="21">
        <v>1</v>
      </c>
      <c r="BR820" s="21">
        <v>0</v>
      </c>
      <c r="BS820" s="21">
        <v>0</v>
      </c>
    </row>
    <row r="821" spans="1:71">
      <c r="A821" s="18" t="s">
        <v>5220</v>
      </c>
      <c r="B821">
        <v>43</v>
      </c>
      <c r="C821">
        <v>287</v>
      </c>
      <c r="D821" s="21">
        <v>2010</v>
      </c>
      <c r="E821" s="23">
        <v>-1.67</v>
      </c>
      <c r="F821">
        <v>0.3</v>
      </c>
      <c r="G821" s="14">
        <f>E821/F821</f>
        <v>-5.5666666666666664</v>
      </c>
      <c r="H821" s="27">
        <v>0</v>
      </c>
      <c r="I821" s="21">
        <v>0</v>
      </c>
      <c r="J821" s="21">
        <v>1404</v>
      </c>
      <c r="K821" s="21">
        <v>1</v>
      </c>
      <c r="L821" s="21">
        <v>0</v>
      </c>
      <c r="M821" s="21">
        <v>0</v>
      </c>
      <c r="N821" s="21">
        <v>0</v>
      </c>
      <c r="O821" s="21">
        <v>0</v>
      </c>
      <c r="P821">
        <v>0</v>
      </c>
      <c r="Q821" s="21">
        <v>0</v>
      </c>
      <c r="R821" s="21">
        <v>0</v>
      </c>
      <c r="S821" s="21">
        <v>0</v>
      </c>
      <c r="T821" s="21">
        <v>1</v>
      </c>
      <c r="U821" s="21">
        <v>2000</v>
      </c>
      <c r="V821" s="21">
        <v>2005</v>
      </c>
      <c r="W821">
        <f t="shared" si="50"/>
        <v>2003</v>
      </c>
      <c r="X821" s="21">
        <v>1</v>
      </c>
      <c r="Y821" s="21">
        <v>0</v>
      </c>
      <c r="Z821" s="21">
        <v>0</v>
      </c>
      <c r="AA821" s="21">
        <v>0</v>
      </c>
      <c r="AB821" s="21">
        <v>0</v>
      </c>
      <c r="AC821" s="21">
        <v>0</v>
      </c>
      <c r="AD821" s="21">
        <v>0</v>
      </c>
      <c r="AE821" s="21">
        <v>0</v>
      </c>
      <c r="AF821" s="21">
        <v>0</v>
      </c>
      <c r="AG821" s="21">
        <v>0</v>
      </c>
      <c r="AH821" s="21">
        <v>0</v>
      </c>
      <c r="AI821" s="21">
        <v>0</v>
      </c>
      <c r="AJ821" s="21">
        <v>0</v>
      </c>
      <c r="AK821" s="21">
        <v>0</v>
      </c>
      <c r="AL821" s="21">
        <v>0</v>
      </c>
      <c r="AM821" s="21">
        <v>1</v>
      </c>
      <c r="AN821" s="21">
        <v>0</v>
      </c>
      <c r="AO821" s="21">
        <v>1</v>
      </c>
      <c r="AP821" s="21">
        <v>0</v>
      </c>
      <c r="AQ821" s="21">
        <v>0</v>
      </c>
      <c r="AR821" s="21">
        <v>1</v>
      </c>
      <c r="AS821" s="21">
        <v>1</v>
      </c>
      <c r="AT821" s="21">
        <v>1</v>
      </c>
      <c r="AU821" s="21">
        <v>1</v>
      </c>
      <c r="AV821" s="21">
        <v>0</v>
      </c>
      <c r="AW821" s="21">
        <v>1</v>
      </c>
      <c r="AX821" s="21">
        <v>0</v>
      </c>
      <c r="AY821" s="21">
        <v>1</v>
      </c>
      <c r="AZ821" s="21">
        <v>1</v>
      </c>
      <c r="BA821" s="21">
        <v>1</v>
      </c>
      <c r="BB821" s="21">
        <v>1</v>
      </c>
      <c r="BC821" s="21">
        <v>0</v>
      </c>
      <c r="BD821" s="21">
        <v>0</v>
      </c>
      <c r="BE821" s="21">
        <v>0</v>
      </c>
      <c r="BF821" s="21">
        <v>1</v>
      </c>
      <c r="BG821" s="21">
        <v>0</v>
      </c>
      <c r="BH821" s="21">
        <v>1</v>
      </c>
      <c r="BI821" s="21">
        <v>0</v>
      </c>
      <c r="BJ821" s="21">
        <v>0</v>
      </c>
      <c r="BK821" s="21">
        <v>0</v>
      </c>
      <c r="BL821" s="21">
        <v>0</v>
      </c>
      <c r="BM821" s="21">
        <v>0</v>
      </c>
      <c r="BN821" s="21">
        <v>0</v>
      </c>
      <c r="BO821" s="21">
        <v>0</v>
      </c>
      <c r="BP821" s="21">
        <v>0</v>
      </c>
      <c r="BQ821" s="21">
        <v>1</v>
      </c>
      <c r="BR821" s="21">
        <v>0</v>
      </c>
      <c r="BS821" s="21">
        <v>0</v>
      </c>
    </row>
    <row r="822" spans="1:71">
      <c r="A822" s="18" t="s">
        <v>4924</v>
      </c>
      <c r="B822">
        <v>73</v>
      </c>
      <c r="C822">
        <v>476</v>
      </c>
      <c r="D822">
        <v>2010</v>
      </c>
      <c r="E822">
        <v>-0.81</v>
      </c>
      <c r="F822">
        <f t="shared" ref="F822:F839" si="52">E822/G822</f>
        <v>0.16875000000000001</v>
      </c>
      <c r="G822">
        <v>-4.8</v>
      </c>
      <c r="H822" s="27">
        <v>0</v>
      </c>
      <c r="I822">
        <v>1</v>
      </c>
      <c r="J822">
        <v>224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1</v>
      </c>
      <c r="U822">
        <v>2000</v>
      </c>
      <c r="V822">
        <v>2006</v>
      </c>
      <c r="W822">
        <f t="shared" si="50"/>
        <v>2003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 s="21">
        <v>0</v>
      </c>
      <c r="AO822" s="21">
        <v>1</v>
      </c>
      <c r="AP822" s="21">
        <v>0</v>
      </c>
      <c r="AQ822">
        <v>1</v>
      </c>
      <c r="AR822">
        <v>0</v>
      </c>
      <c r="AS822">
        <v>1</v>
      </c>
      <c r="AT822">
        <v>1</v>
      </c>
      <c r="AU822">
        <v>1</v>
      </c>
      <c r="AV822">
        <v>0</v>
      </c>
      <c r="AW822">
        <v>1</v>
      </c>
      <c r="AX822">
        <v>0</v>
      </c>
      <c r="AY822">
        <v>1</v>
      </c>
      <c r="AZ822" s="21">
        <v>1</v>
      </c>
      <c r="BA822" s="21">
        <v>1</v>
      </c>
      <c r="BB822" s="21">
        <v>1</v>
      </c>
      <c r="BC822">
        <v>0</v>
      </c>
      <c r="BD822">
        <v>0</v>
      </c>
      <c r="BE822">
        <v>0</v>
      </c>
      <c r="BF822">
        <v>0</v>
      </c>
      <c r="BG822">
        <v>1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 s="21">
        <v>0</v>
      </c>
      <c r="BS822" s="21">
        <v>0</v>
      </c>
    </row>
    <row r="823" spans="1:71">
      <c r="A823" s="18" t="s">
        <v>4924</v>
      </c>
      <c r="B823">
        <v>73</v>
      </c>
      <c r="C823">
        <v>477</v>
      </c>
      <c r="D823">
        <v>2010</v>
      </c>
      <c r="E823">
        <v>-0.87</v>
      </c>
      <c r="F823">
        <f t="shared" si="52"/>
        <v>0.16795366795366795</v>
      </c>
      <c r="G823">
        <v>-5.18</v>
      </c>
      <c r="H823" s="27">
        <v>0</v>
      </c>
      <c r="I823">
        <v>1</v>
      </c>
      <c r="J823">
        <v>224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1</v>
      </c>
      <c r="U823">
        <v>2000</v>
      </c>
      <c r="V823">
        <v>2006</v>
      </c>
      <c r="W823">
        <f t="shared" si="50"/>
        <v>2003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</v>
      </c>
      <c r="AN823" s="21">
        <v>0</v>
      </c>
      <c r="AO823" s="21">
        <v>1</v>
      </c>
      <c r="AP823" s="21">
        <v>0</v>
      </c>
      <c r="AQ823">
        <v>1</v>
      </c>
      <c r="AR823">
        <v>0</v>
      </c>
      <c r="AS823">
        <v>1</v>
      </c>
      <c r="AT823">
        <v>1</v>
      </c>
      <c r="AU823">
        <v>1</v>
      </c>
      <c r="AV823">
        <v>0</v>
      </c>
      <c r="AW823">
        <v>1</v>
      </c>
      <c r="AX823">
        <v>0</v>
      </c>
      <c r="AY823">
        <v>1</v>
      </c>
      <c r="AZ823" s="21">
        <v>1</v>
      </c>
      <c r="BA823" s="21">
        <v>1</v>
      </c>
      <c r="BB823" s="21">
        <v>1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 s="21">
        <v>0</v>
      </c>
      <c r="BS823" s="21">
        <v>0</v>
      </c>
    </row>
    <row r="824" spans="1:71">
      <c r="A824" s="18" t="s">
        <v>4924</v>
      </c>
      <c r="B824">
        <v>73</v>
      </c>
      <c r="C824">
        <v>478</v>
      </c>
      <c r="D824">
        <v>2010</v>
      </c>
      <c r="E824">
        <v>-0.82</v>
      </c>
      <c r="F824">
        <f t="shared" si="52"/>
        <v>0.16046966731898238</v>
      </c>
      <c r="G824">
        <v>-5.1100000000000003</v>
      </c>
      <c r="H824" s="27">
        <v>0</v>
      </c>
      <c r="I824">
        <v>1</v>
      </c>
      <c r="J824">
        <v>224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1</v>
      </c>
      <c r="U824">
        <v>2000</v>
      </c>
      <c r="V824">
        <v>2006</v>
      </c>
      <c r="W824">
        <f t="shared" si="50"/>
        <v>2003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</v>
      </c>
      <c r="AN824" s="21">
        <v>0</v>
      </c>
      <c r="AO824" s="21">
        <v>1</v>
      </c>
      <c r="AP824" s="21">
        <v>0</v>
      </c>
      <c r="AQ824">
        <v>1</v>
      </c>
      <c r="AR824">
        <v>0</v>
      </c>
      <c r="AS824">
        <v>1</v>
      </c>
      <c r="AT824">
        <v>1</v>
      </c>
      <c r="AU824">
        <v>1</v>
      </c>
      <c r="AV824">
        <v>0</v>
      </c>
      <c r="AW824">
        <v>1</v>
      </c>
      <c r="AX824">
        <v>0</v>
      </c>
      <c r="AY824">
        <v>1</v>
      </c>
      <c r="AZ824" s="21">
        <v>1</v>
      </c>
      <c r="BA824" s="21">
        <v>1</v>
      </c>
      <c r="BB824" s="21">
        <v>1</v>
      </c>
      <c r="BC824">
        <v>0</v>
      </c>
      <c r="BD824">
        <v>0</v>
      </c>
      <c r="BE824">
        <v>0</v>
      </c>
      <c r="BF824">
        <v>0</v>
      </c>
      <c r="BG824">
        <v>1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 s="21">
        <v>0</v>
      </c>
      <c r="BS824" s="21">
        <v>0</v>
      </c>
    </row>
    <row r="825" spans="1:71">
      <c r="A825" s="18" t="s">
        <v>4924</v>
      </c>
      <c r="B825">
        <v>73</v>
      </c>
      <c r="C825">
        <v>479</v>
      </c>
      <c r="D825">
        <v>2010</v>
      </c>
      <c r="E825">
        <v>-0.83</v>
      </c>
      <c r="F825">
        <f t="shared" si="52"/>
        <v>0.15839694656488548</v>
      </c>
      <c r="G825">
        <v>-5.24</v>
      </c>
      <c r="H825" s="27">
        <v>0</v>
      </c>
      <c r="I825">
        <v>1</v>
      </c>
      <c r="J825">
        <v>224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1</v>
      </c>
      <c r="U825">
        <v>2000</v>
      </c>
      <c r="V825">
        <v>2006</v>
      </c>
      <c r="W825">
        <f t="shared" si="50"/>
        <v>2003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 s="21">
        <v>0</v>
      </c>
      <c r="AO825" s="21">
        <v>1</v>
      </c>
      <c r="AP825" s="21">
        <v>0</v>
      </c>
      <c r="AQ825">
        <v>1</v>
      </c>
      <c r="AR825">
        <v>0</v>
      </c>
      <c r="AS825">
        <v>1</v>
      </c>
      <c r="AT825">
        <v>1</v>
      </c>
      <c r="AU825">
        <v>1</v>
      </c>
      <c r="AV825">
        <v>0</v>
      </c>
      <c r="AW825">
        <v>1</v>
      </c>
      <c r="AX825">
        <v>0</v>
      </c>
      <c r="AY825">
        <v>1</v>
      </c>
      <c r="AZ825" s="21">
        <v>1</v>
      </c>
      <c r="BA825" s="21">
        <v>1</v>
      </c>
      <c r="BB825" s="21">
        <v>1</v>
      </c>
      <c r="BC825">
        <v>0</v>
      </c>
      <c r="BD825">
        <v>0</v>
      </c>
      <c r="BE825">
        <v>0</v>
      </c>
      <c r="BF825">
        <v>0</v>
      </c>
      <c r="BG825">
        <v>1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 s="21">
        <v>0</v>
      </c>
      <c r="BS825" s="21">
        <v>0</v>
      </c>
    </row>
    <row r="826" spans="1:71">
      <c r="A826" s="18" t="s">
        <v>4924</v>
      </c>
      <c r="B826">
        <v>73</v>
      </c>
      <c r="C826">
        <v>480</v>
      </c>
      <c r="D826">
        <v>2010</v>
      </c>
      <c r="E826">
        <v>-0.84</v>
      </c>
      <c r="F826">
        <f t="shared" si="52"/>
        <v>0.16</v>
      </c>
      <c r="G826">
        <v>-5.25</v>
      </c>
      <c r="H826" s="27">
        <v>0</v>
      </c>
      <c r="I826">
        <v>1</v>
      </c>
      <c r="J826">
        <v>224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1</v>
      </c>
      <c r="U826">
        <v>2000</v>
      </c>
      <c r="V826">
        <v>2006</v>
      </c>
      <c r="W826">
        <f t="shared" si="50"/>
        <v>2003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 s="21">
        <v>0</v>
      </c>
      <c r="AO826" s="21">
        <v>1</v>
      </c>
      <c r="AP826" s="21">
        <v>0</v>
      </c>
      <c r="AQ826">
        <v>1</v>
      </c>
      <c r="AR826">
        <v>0</v>
      </c>
      <c r="AS826">
        <v>1</v>
      </c>
      <c r="AT826">
        <v>1</v>
      </c>
      <c r="AU826">
        <v>1</v>
      </c>
      <c r="AV826">
        <v>0</v>
      </c>
      <c r="AW826">
        <v>1</v>
      </c>
      <c r="AX826">
        <v>0</v>
      </c>
      <c r="AY826">
        <v>1</v>
      </c>
      <c r="AZ826" s="21">
        <v>1</v>
      </c>
      <c r="BA826" s="21">
        <v>1</v>
      </c>
      <c r="BB826" s="21">
        <v>1</v>
      </c>
      <c r="BC826">
        <v>0</v>
      </c>
      <c r="BD826">
        <v>0</v>
      </c>
      <c r="BE826">
        <v>0</v>
      </c>
      <c r="BF826">
        <v>0</v>
      </c>
      <c r="BG826">
        <v>1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 s="21">
        <v>0</v>
      </c>
      <c r="BS826" s="21">
        <v>0</v>
      </c>
    </row>
    <row r="827" spans="1:71">
      <c r="A827" s="18" t="s">
        <v>4924</v>
      </c>
      <c r="B827">
        <v>73</v>
      </c>
      <c r="C827">
        <v>481</v>
      </c>
      <c r="D827">
        <v>2010</v>
      </c>
      <c r="E827">
        <v>-0.83</v>
      </c>
      <c r="F827">
        <f t="shared" si="52"/>
        <v>0.15839694656488548</v>
      </c>
      <c r="G827">
        <v>-5.24</v>
      </c>
      <c r="H827" s="27">
        <v>0</v>
      </c>
      <c r="I827">
        <v>1</v>
      </c>
      <c r="J827">
        <v>224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1</v>
      </c>
      <c r="U827">
        <v>2000</v>
      </c>
      <c r="V827">
        <v>2006</v>
      </c>
      <c r="W827">
        <f t="shared" si="50"/>
        <v>2003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 s="21">
        <v>0</v>
      </c>
      <c r="AO827" s="21">
        <v>1</v>
      </c>
      <c r="AP827" s="21">
        <v>0</v>
      </c>
      <c r="AQ827">
        <v>1</v>
      </c>
      <c r="AR827">
        <v>0</v>
      </c>
      <c r="AS827">
        <v>1</v>
      </c>
      <c r="AT827">
        <v>1</v>
      </c>
      <c r="AU827">
        <v>1</v>
      </c>
      <c r="AV827">
        <v>0</v>
      </c>
      <c r="AW827">
        <v>1</v>
      </c>
      <c r="AX827">
        <v>0</v>
      </c>
      <c r="AY827">
        <v>1</v>
      </c>
      <c r="AZ827" s="21">
        <v>1</v>
      </c>
      <c r="BA827" s="21">
        <v>1</v>
      </c>
      <c r="BB827" s="21">
        <v>1</v>
      </c>
      <c r="BC827">
        <v>0</v>
      </c>
      <c r="BD827">
        <v>0</v>
      </c>
      <c r="BE827">
        <v>0</v>
      </c>
      <c r="BF827">
        <v>0</v>
      </c>
      <c r="BG827">
        <v>1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 s="21">
        <v>0</v>
      </c>
      <c r="BS827" s="21">
        <v>0</v>
      </c>
    </row>
    <row r="828" spans="1:71">
      <c r="A828" s="18" t="s">
        <v>4924</v>
      </c>
      <c r="B828">
        <v>73</v>
      </c>
      <c r="C828">
        <v>482</v>
      </c>
      <c r="D828">
        <v>2010</v>
      </c>
      <c r="E828">
        <v>-0.85</v>
      </c>
      <c r="F828">
        <f t="shared" si="52"/>
        <v>0.14455782312925169</v>
      </c>
      <c r="G828">
        <v>-5.88</v>
      </c>
      <c r="H828" s="27">
        <v>0</v>
      </c>
      <c r="I828">
        <v>1</v>
      </c>
      <c r="J828">
        <v>224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1</v>
      </c>
      <c r="U828">
        <v>2000</v>
      </c>
      <c r="V828">
        <v>2006</v>
      </c>
      <c r="W828">
        <f t="shared" si="50"/>
        <v>2003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1</v>
      </c>
      <c r="AN828" s="21">
        <v>0</v>
      </c>
      <c r="AO828" s="21">
        <v>1</v>
      </c>
      <c r="AP828" s="21">
        <v>0</v>
      </c>
      <c r="AQ828">
        <v>1</v>
      </c>
      <c r="AR828">
        <v>0</v>
      </c>
      <c r="AS828">
        <v>1</v>
      </c>
      <c r="AT828">
        <v>1</v>
      </c>
      <c r="AU828">
        <v>1</v>
      </c>
      <c r="AV828">
        <v>0</v>
      </c>
      <c r="AW828">
        <v>1</v>
      </c>
      <c r="AX828">
        <v>0</v>
      </c>
      <c r="AY828">
        <v>1</v>
      </c>
      <c r="AZ828" s="21">
        <v>1</v>
      </c>
      <c r="BA828" s="21">
        <v>1</v>
      </c>
      <c r="BB828" s="21">
        <v>1</v>
      </c>
      <c r="BC828">
        <v>0</v>
      </c>
      <c r="BD828">
        <v>0</v>
      </c>
      <c r="BE828">
        <v>0</v>
      </c>
      <c r="BF828">
        <v>1</v>
      </c>
      <c r="BG828">
        <v>1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 s="21">
        <v>0</v>
      </c>
      <c r="BS828" s="21">
        <v>0</v>
      </c>
    </row>
    <row r="829" spans="1:71">
      <c r="A829" s="18" t="s">
        <v>4924</v>
      </c>
      <c r="B829">
        <v>73</v>
      </c>
      <c r="C829">
        <v>483</v>
      </c>
      <c r="D829">
        <v>2010</v>
      </c>
      <c r="E829">
        <v>-0.79</v>
      </c>
      <c r="F829">
        <f t="shared" si="52"/>
        <v>0.16666666666666666</v>
      </c>
      <c r="G829">
        <v>-4.74</v>
      </c>
      <c r="H829" s="27">
        <v>0</v>
      </c>
      <c r="I829">
        <v>1</v>
      </c>
      <c r="J829">
        <v>224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1</v>
      </c>
      <c r="U829">
        <v>2000</v>
      </c>
      <c r="V829">
        <v>2006</v>
      </c>
      <c r="W829">
        <f t="shared" si="50"/>
        <v>2003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</v>
      </c>
      <c r="AN829" s="21">
        <v>0</v>
      </c>
      <c r="AO829" s="21">
        <v>1</v>
      </c>
      <c r="AP829" s="21">
        <v>0</v>
      </c>
      <c r="AQ829">
        <v>1</v>
      </c>
      <c r="AR829">
        <v>0</v>
      </c>
      <c r="AS829">
        <v>1</v>
      </c>
      <c r="AT829">
        <v>1</v>
      </c>
      <c r="AU829">
        <v>1</v>
      </c>
      <c r="AV829">
        <v>0</v>
      </c>
      <c r="AW829">
        <v>1</v>
      </c>
      <c r="AX829">
        <v>0</v>
      </c>
      <c r="AY829">
        <v>1</v>
      </c>
      <c r="AZ829" s="21">
        <v>1</v>
      </c>
      <c r="BA829" s="21">
        <v>1</v>
      </c>
      <c r="BB829" s="21">
        <v>1</v>
      </c>
      <c r="BC829">
        <v>0</v>
      </c>
      <c r="BD829">
        <v>0</v>
      </c>
      <c r="BE829">
        <v>0</v>
      </c>
      <c r="BF829">
        <v>0</v>
      </c>
      <c r="BG829">
        <v>1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 s="21">
        <v>0</v>
      </c>
      <c r="BS829" s="21">
        <v>0</v>
      </c>
    </row>
    <row r="830" spans="1:71">
      <c r="A830" s="20" t="s">
        <v>4924</v>
      </c>
      <c r="B830">
        <v>73</v>
      </c>
      <c r="C830">
        <v>484</v>
      </c>
      <c r="D830">
        <v>2010</v>
      </c>
      <c r="E830">
        <v>-0.83</v>
      </c>
      <c r="F830">
        <f t="shared" si="52"/>
        <v>0.15900383141762453</v>
      </c>
      <c r="G830">
        <v>-5.22</v>
      </c>
      <c r="H830" s="27">
        <v>0</v>
      </c>
      <c r="I830">
        <v>1</v>
      </c>
      <c r="J830">
        <v>224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1</v>
      </c>
      <c r="U830">
        <v>2000</v>
      </c>
      <c r="V830">
        <v>2006</v>
      </c>
      <c r="W830">
        <f t="shared" si="50"/>
        <v>2003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</v>
      </c>
      <c r="AN830" s="21">
        <v>0</v>
      </c>
      <c r="AO830" s="21">
        <v>1</v>
      </c>
      <c r="AP830" s="21">
        <v>0</v>
      </c>
      <c r="AQ830">
        <v>1</v>
      </c>
      <c r="AR830">
        <v>0</v>
      </c>
      <c r="AS830">
        <v>1</v>
      </c>
      <c r="AT830">
        <v>1</v>
      </c>
      <c r="AU830">
        <v>1</v>
      </c>
      <c r="AV830">
        <v>0</v>
      </c>
      <c r="AW830">
        <v>1</v>
      </c>
      <c r="AX830">
        <v>0</v>
      </c>
      <c r="AY830">
        <v>1</v>
      </c>
      <c r="AZ830" s="21">
        <v>1</v>
      </c>
      <c r="BA830" s="21">
        <v>1</v>
      </c>
      <c r="BB830" s="21">
        <v>1</v>
      </c>
      <c r="BC830">
        <v>0</v>
      </c>
      <c r="BD830">
        <v>0</v>
      </c>
      <c r="BE830">
        <v>0</v>
      </c>
      <c r="BF830">
        <v>0</v>
      </c>
      <c r="BG830">
        <v>1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 s="21">
        <v>0</v>
      </c>
      <c r="BS830" s="21">
        <v>0</v>
      </c>
    </row>
    <row r="831" spans="1:71">
      <c r="A831" s="20" t="s">
        <v>4924</v>
      </c>
      <c r="B831">
        <v>73</v>
      </c>
      <c r="C831">
        <v>485</v>
      </c>
      <c r="D831">
        <v>2010</v>
      </c>
      <c r="E831">
        <v>-0.84</v>
      </c>
      <c r="F831">
        <f t="shared" si="52"/>
        <v>0.18461538461538463</v>
      </c>
      <c r="G831">
        <v>-4.55</v>
      </c>
      <c r="H831" s="27">
        <v>0</v>
      </c>
      <c r="I831">
        <v>1</v>
      </c>
      <c r="J831">
        <v>224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1</v>
      </c>
      <c r="U831">
        <v>2000</v>
      </c>
      <c r="V831">
        <v>2006</v>
      </c>
      <c r="W831">
        <f t="shared" si="50"/>
        <v>2003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</v>
      </c>
      <c r="AN831" s="21">
        <v>0</v>
      </c>
      <c r="AO831" s="21">
        <v>1</v>
      </c>
      <c r="AP831" s="21">
        <v>0</v>
      </c>
      <c r="AQ831">
        <v>1</v>
      </c>
      <c r="AR831">
        <v>0</v>
      </c>
      <c r="AS831">
        <v>1</v>
      </c>
      <c r="AT831">
        <v>1</v>
      </c>
      <c r="AU831">
        <v>1</v>
      </c>
      <c r="AV831">
        <v>0</v>
      </c>
      <c r="AW831">
        <v>1</v>
      </c>
      <c r="AX831">
        <v>0</v>
      </c>
      <c r="AY831">
        <v>1</v>
      </c>
      <c r="AZ831" s="21">
        <v>1</v>
      </c>
      <c r="BA831" s="21">
        <v>1</v>
      </c>
      <c r="BB831" s="21">
        <v>1</v>
      </c>
      <c r="BC831">
        <v>0</v>
      </c>
      <c r="BD831">
        <v>0</v>
      </c>
      <c r="BE831">
        <v>0</v>
      </c>
      <c r="BF831">
        <v>0</v>
      </c>
      <c r="BG831">
        <v>1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 s="21">
        <v>0</v>
      </c>
      <c r="BS831" s="21">
        <v>0</v>
      </c>
    </row>
    <row r="832" spans="1:71">
      <c r="A832" s="20" t="s">
        <v>4924</v>
      </c>
      <c r="B832">
        <v>73</v>
      </c>
      <c r="C832">
        <v>486</v>
      </c>
      <c r="D832">
        <v>2010</v>
      </c>
      <c r="E832">
        <v>-0.82</v>
      </c>
      <c r="F832">
        <f t="shared" si="52"/>
        <v>0.16872427983539093</v>
      </c>
      <c r="G832">
        <v>-4.8600000000000003</v>
      </c>
      <c r="H832" s="27">
        <v>0</v>
      </c>
      <c r="I832">
        <v>1</v>
      </c>
      <c r="J832">
        <v>224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1</v>
      </c>
      <c r="U832">
        <v>2000</v>
      </c>
      <c r="V832">
        <v>2006</v>
      </c>
      <c r="W832">
        <f t="shared" si="50"/>
        <v>2003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1</v>
      </c>
      <c r="AN832" s="21">
        <v>0</v>
      </c>
      <c r="AO832" s="21">
        <v>1</v>
      </c>
      <c r="AP832" s="21">
        <v>0</v>
      </c>
      <c r="AQ832">
        <v>1</v>
      </c>
      <c r="AR832">
        <v>0</v>
      </c>
      <c r="AS832">
        <v>1</v>
      </c>
      <c r="AT832">
        <v>1</v>
      </c>
      <c r="AU832">
        <v>1</v>
      </c>
      <c r="AV832">
        <v>0</v>
      </c>
      <c r="AW832">
        <v>1</v>
      </c>
      <c r="AX832">
        <v>0</v>
      </c>
      <c r="AY832">
        <v>1</v>
      </c>
      <c r="AZ832" s="21">
        <v>1</v>
      </c>
      <c r="BA832" s="21">
        <v>1</v>
      </c>
      <c r="BB832" s="21">
        <v>1</v>
      </c>
      <c r="BC832">
        <v>0</v>
      </c>
      <c r="BD832">
        <v>0</v>
      </c>
      <c r="BE832">
        <v>0</v>
      </c>
      <c r="BF832">
        <v>0</v>
      </c>
      <c r="BG832">
        <v>1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 s="21">
        <v>0</v>
      </c>
      <c r="BS832" s="21">
        <v>0</v>
      </c>
    </row>
    <row r="833" spans="1:71">
      <c r="A833" s="20" t="s">
        <v>4992</v>
      </c>
      <c r="B833">
        <v>74</v>
      </c>
      <c r="C833">
        <v>487</v>
      </c>
      <c r="D833">
        <v>2010</v>
      </c>
      <c r="E833">
        <v>-0.57199999999999995</v>
      </c>
      <c r="F833">
        <f t="shared" si="52"/>
        <v>0.18698921216083686</v>
      </c>
      <c r="G833">
        <v>-3.0590000000000002</v>
      </c>
      <c r="H833" s="27">
        <v>0</v>
      </c>
      <c r="I833">
        <v>1</v>
      </c>
      <c r="J833">
        <v>196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1</v>
      </c>
      <c r="U833">
        <v>1995</v>
      </c>
      <c r="V833">
        <v>2006</v>
      </c>
      <c r="W833">
        <f t="shared" si="50"/>
        <v>2001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 s="21">
        <v>0</v>
      </c>
      <c r="AO833" s="21">
        <v>0</v>
      </c>
      <c r="AP833" s="21">
        <v>1</v>
      </c>
      <c r="AQ833">
        <v>1</v>
      </c>
      <c r="AR833">
        <v>0</v>
      </c>
      <c r="AS833">
        <v>1</v>
      </c>
      <c r="AT833">
        <v>1</v>
      </c>
      <c r="AU833">
        <v>0</v>
      </c>
      <c r="AV833">
        <v>0</v>
      </c>
      <c r="AW833">
        <v>0</v>
      </c>
      <c r="AX833">
        <v>0</v>
      </c>
      <c r="AY833">
        <v>0</v>
      </c>
      <c r="AZ833" s="21">
        <v>1</v>
      </c>
      <c r="BA833" s="21">
        <v>1</v>
      </c>
      <c r="BB833" s="21">
        <v>1</v>
      </c>
      <c r="BC833">
        <v>0</v>
      </c>
      <c r="BD833">
        <v>0</v>
      </c>
      <c r="BE833">
        <v>0</v>
      </c>
      <c r="BF833">
        <v>0</v>
      </c>
      <c r="BG833">
        <v>1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1</v>
      </c>
      <c r="BO833">
        <v>0</v>
      </c>
      <c r="BP833">
        <v>0</v>
      </c>
      <c r="BQ833">
        <v>0</v>
      </c>
      <c r="BR833" s="21">
        <v>0</v>
      </c>
      <c r="BS833" s="21">
        <v>0</v>
      </c>
    </row>
    <row r="834" spans="1:71">
      <c r="A834" s="20" t="s">
        <v>4992</v>
      </c>
      <c r="B834">
        <v>74</v>
      </c>
      <c r="C834">
        <v>488</v>
      </c>
      <c r="D834">
        <v>2010</v>
      </c>
      <c r="E834">
        <v>-0.82899999999999996</v>
      </c>
      <c r="F834">
        <f t="shared" si="52"/>
        <v>0.13503827985013844</v>
      </c>
      <c r="G834">
        <v>-6.1390000000000002</v>
      </c>
      <c r="H834" s="27">
        <v>0</v>
      </c>
      <c r="I834">
        <v>1</v>
      </c>
      <c r="J834">
        <v>196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1</v>
      </c>
      <c r="U834">
        <v>1995</v>
      </c>
      <c r="V834">
        <v>2006</v>
      </c>
      <c r="W834">
        <f t="shared" si="50"/>
        <v>2001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 s="21">
        <v>0</v>
      </c>
      <c r="AO834" s="21">
        <v>0</v>
      </c>
      <c r="AP834" s="21">
        <v>1</v>
      </c>
      <c r="AQ834">
        <v>1</v>
      </c>
      <c r="AR834">
        <v>0</v>
      </c>
      <c r="AS834">
        <v>1</v>
      </c>
      <c r="AT834">
        <v>1</v>
      </c>
      <c r="AU834">
        <v>0</v>
      </c>
      <c r="AV834">
        <v>0</v>
      </c>
      <c r="AW834">
        <v>0</v>
      </c>
      <c r="AX834">
        <v>0</v>
      </c>
      <c r="AY834">
        <v>0</v>
      </c>
      <c r="AZ834" s="21">
        <v>1</v>
      </c>
      <c r="BA834" s="21">
        <v>1</v>
      </c>
      <c r="BB834" s="21">
        <v>1</v>
      </c>
      <c r="BC834">
        <v>0</v>
      </c>
      <c r="BD834">
        <v>0</v>
      </c>
      <c r="BE834">
        <v>0</v>
      </c>
      <c r="BF834">
        <v>0</v>
      </c>
      <c r="BG834">
        <v>1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1</v>
      </c>
      <c r="BO834">
        <v>0</v>
      </c>
      <c r="BP834">
        <v>0</v>
      </c>
      <c r="BQ834">
        <v>0</v>
      </c>
      <c r="BR834" s="21">
        <v>0</v>
      </c>
      <c r="BS834" s="21">
        <v>0</v>
      </c>
    </row>
    <row r="835" spans="1:71">
      <c r="A835" s="20" t="s">
        <v>5154</v>
      </c>
      <c r="B835">
        <v>81</v>
      </c>
      <c r="C835">
        <v>513</v>
      </c>
      <c r="D835">
        <v>2010</v>
      </c>
      <c r="E835">
        <v>-0.23</v>
      </c>
      <c r="F835">
        <f t="shared" si="52"/>
        <v>9.3877551020408165E-2</v>
      </c>
      <c r="G835">
        <v>-2.4500000000000002</v>
      </c>
      <c r="H835" s="27">
        <v>0</v>
      </c>
      <c r="I835">
        <v>1</v>
      </c>
      <c r="J835">
        <v>608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1985</v>
      </c>
      <c r="V835">
        <v>2000</v>
      </c>
      <c r="W835">
        <f t="shared" si="50"/>
        <v>1993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 s="21">
        <v>0</v>
      </c>
      <c r="AO835" s="21">
        <v>1</v>
      </c>
      <c r="AP835" s="21">
        <v>0</v>
      </c>
      <c r="AQ835">
        <v>1</v>
      </c>
      <c r="AR835">
        <v>0</v>
      </c>
      <c r="AS835">
        <v>0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 s="21">
        <v>1</v>
      </c>
      <c r="BA835" s="21">
        <v>1</v>
      </c>
      <c r="BB835" s="21">
        <v>1</v>
      </c>
      <c r="BC835">
        <v>0</v>
      </c>
      <c r="BD835">
        <v>1</v>
      </c>
      <c r="BE835">
        <v>1</v>
      </c>
      <c r="BF835">
        <v>1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 s="21">
        <v>0</v>
      </c>
      <c r="BS835" s="21">
        <v>0</v>
      </c>
    </row>
    <row r="836" spans="1:71">
      <c r="A836" s="20" t="s">
        <v>5154</v>
      </c>
      <c r="B836">
        <v>81</v>
      </c>
      <c r="C836">
        <v>514</v>
      </c>
      <c r="D836">
        <v>2010</v>
      </c>
      <c r="E836">
        <v>-0.34</v>
      </c>
      <c r="F836">
        <f t="shared" si="52"/>
        <v>0.13492063492063494</v>
      </c>
      <c r="G836">
        <v>-2.52</v>
      </c>
      <c r="H836" s="27">
        <v>0</v>
      </c>
      <c r="I836">
        <v>1</v>
      </c>
      <c r="J836">
        <v>240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1985</v>
      </c>
      <c r="V836">
        <v>2000</v>
      </c>
      <c r="W836">
        <f t="shared" si="50"/>
        <v>1993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0</v>
      </c>
      <c r="AM836">
        <v>0</v>
      </c>
      <c r="AN836" s="21">
        <v>0</v>
      </c>
      <c r="AO836" s="21">
        <v>1</v>
      </c>
      <c r="AP836" s="21">
        <v>0</v>
      </c>
      <c r="AQ836">
        <v>1</v>
      </c>
      <c r="AR836">
        <v>0</v>
      </c>
      <c r="AS836">
        <v>0</v>
      </c>
      <c r="AT836">
        <v>1</v>
      </c>
      <c r="AU836">
        <v>0</v>
      </c>
      <c r="AV836">
        <v>0</v>
      </c>
      <c r="AW836">
        <v>1</v>
      </c>
      <c r="AX836">
        <v>0</v>
      </c>
      <c r="AY836">
        <v>0</v>
      </c>
      <c r="AZ836" s="21">
        <v>0</v>
      </c>
      <c r="BA836" s="21">
        <v>0</v>
      </c>
      <c r="BB836" s="21">
        <v>1</v>
      </c>
      <c r="BC836">
        <v>0</v>
      </c>
      <c r="BD836">
        <v>1</v>
      </c>
      <c r="BE836">
        <v>1</v>
      </c>
      <c r="BF836">
        <v>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 s="21">
        <v>0</v>
      </c>
      <c r="BS836" s="21">
        <v>0</v>
      </c>
    </row>
    <row r="837" spans="1:71">
      <c r="A837" s="20" t="s">
        <v>5154</v>
      </c>
      <c r="B837">
        <v>81</v>
      </c>
      <c r="C837">
        <v>515</v>
      </c>
      <c r="D837">
        <v>2010</v>
      </c>
      <c r="E837">
        <v>-0.41</v>
      </c>
      <c r="F837">
        <f t="shared" si="52"/>
        <v>0.21693121693121692</v>
      </c>
      <c r="G837">
        <v>-1.89</v>
      </c>
      <c r="H837" s="27">
        <v>0</v>
      </c>
      <c r="I837">
        <v>1</v>
      </c>
      <c r="J837">
        <v>112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1985</v>
      </c>
      <c r="V837">
        <v>2000</v>
      </c>
      <c r="W837">
        <f t="shared" si="50"/>
        <v>1993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 s="21">
        <v>0</v>
      </c>
      <c r="AO837" s="21">
        <v>1</v>
      </c>
      <c r="AP837" s="21">
        <v>0</v>
      </c>
      <c r="AQ837">
        <v>1</v>
      </c>
      <c r="AR837">
        <v>0</v>
      </c>
      <c r="AS837">
        <v>0</v>
      </c>
      <c r="AT837">
        <v>0</v>
      </c>
      <c r="AU837">
        <v>1</v>
      </c>
      <c r="AV837">
        <v>0</v>
      </c>
      <c r="AW837">
        <v>0</v>
      </c>
      <c r="AX837">
        <v>0</v>
      </c>
      <c r="AY837">
        <v>1</v>
      </c>
      <c r="AZ837" s="21">
        <v>0</v>
      </c>
      <c r="BA837" s="21">
        <v>1</v>
      </c>
      <c r="BB837" s="21">
        <v>1</v>
      </c>
      <c r="BC837">
        <v>0</v>
      </c>
      <c r="BD837">
        <v>1</v>
      </c>
      <c r="BE837">
        <v>1</v>
      </c>
      <c r="BF837">
        <v>1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 s="21">
        <v>0</v>
      </c>
      <c r="BS837" s="21">
        <v>0</v>
      </c>
    </row>
    <row r="838" spans="1:71">
      <c r="A838" s="20" t="s">
        <v>5154</v>
      </c>
      <c r="B838">
        <v>81</v>
      </c>
      <c r="C838">
        <v>516</v>
      </c>
      <c r="D838">
        <v>2010</v>
      </c>
      <c r="E838">
        <v>-0.12</v>
      </c>
      <c r="F838">
        <f t="shared" si="52"/>
        <v>6.4516129032258063E-2</v>
      </c>
      <c r="G838">
        <v>-1.86</v>
      </c>
      <c r="H838" s="27">
        <v>0</v>
      </c>
      <c r="I838">
        <v>1</v>
      </c>
      <c r="J838">
        <v>80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1985</v>
      </c>
      <c r="V838">
        <v>2000</v>
      </c>
      <c r="W838">
        <f t="shared" si="50"/>
        <v>1993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  <c r="AN838" s="21">
        <v>0</v>
      </c>
      <c r="AO838" s="21">
        <v>1</v>
      </c>
      <c r="AP838" s="21">
        <v>0</v>
      </c>
      <c r="AQ838">
        <v>1</v>
      </c>
      <c r="AR838">
        <v>0</v>
      </c>
      <c r="AS838">
        <v>0</v>
      </c>
      <c r="AT838">
        <v>0</v>
      </c>
      <c r="AU838">
        <v>0</v>
      </c>
      <c r="AV838">
        <v>1</v>
      </c>
      <c r="AW838">
        <v>0</v>
      </c>
      <c r="AX838">
        <v>0</v>
      </c>
      <c r="AY838">
        <v>0</v>
      </c>
      <c r="AZ838" s="21">
        <v>1</v>
      </c>
      <c r="BA838" s="21">
        <v>1</v>
      </c>
      <c r="BB838" s="21">
        <v>0</v>
      </c>
      <c r="BC838">
        <v>0</v>
      </c>
      <c r="BD838">
        <v>1</v>
      </c>
      <c r="BE838">
        <v>1</v>
      </c>
      <c r="BF838">
        <v>1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 s="21">
        <v>0</v>
      </c>
      <c r="BS838" s="21">
        <v>0</v>
      </c>
    </row>
    <row r="839" spans="1:71">
      <c r="A839" s="20" t="s">
        <v>5154</v>
      </c>
      <c r="B839">
        <v>81</v>
      </c>
      <c r="C839">
        <v>517</v>
      </c>
      <c r="D839">
        <v>2010</v>
      </c>
      <c r="E839">
        <v>-0.01</v>
      </c>
      <c r="F839">
        <f t="shared" si="52"/>
        <v>1.0869565217391304E-2</v>
      </c>
      <c r="G839">
        <v>-0.92</v>
      </c>
      <c r="H839" s="27">
        <v>0</v>
      </c>
      <c r="I839">
        <v>1</v>
      </c>
      <c r="J839">
        <v>114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1985</v>
      </c>
      <c r="V839">
        <v>2000</v>
      </c>
      <c r="W839">
        <f t="shared" si="50"/>
        <v>1993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1</v>
      </c>
      <c r="AK839">
        <v>0</v>
      </c>
      <c r="AL839">
        <v>0</v>
      </c>
      <c r="AM839">
        <v>0</v>
      </c>
      <c r="AN839" s="21">
        <v>0</v>
      </c>
      <c r="AO839" s="21">
        <v>1</v>
      </c>
      <c r="AP839" s="21">
        <v>0</v>
      </c>
      <c r="AQ839">
        <v>1</v>
      </c>
      <c r="AR839">
        <v>0</v>
      </c>
      <c r="AS839">
        <v>0</v>
      </c>
      <c r="AT839">
        <v>0</v>
      </c>
      <c r="AU839">
        <v>0</v>
      </c>
      <c r="AV839">
        <v>1</v>
      </c>
      <c r="AW839">
        <v>0</v>
      </c>
      <c r="AX839">
        <v>0</v>
      </c>
      <c r="AY839">
        <v>0</v>
      </c>
      <c r="AZ839" s="21">
        <v>1</v>
      </c>
      <c r="BA839" s="21">
        <v>1</v>
      </c>
      <c r="BB839" s="21">
        <v>0</v>
      </c>
      <c r="BC839">
        <v>0</v>
      </c>
      <c r="BD839">
        <v>1</v>
      </c>
      <c r="BE839">
        <v>1</v>
      </c>
      <c r="BF839">
        <v>1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 s="21">
        <v>0</v>
      </c>
      <c r="BS839" s="21">
        <v>0</v>
      </c>
    </row>
    <row r="840" spans="1:71">
      <c r="A840" s="20" t="s">
        <v>5170</v>
      </c>
      <c r="B840">
        <v>89</v>
      </c>
      <c r="C840">
        <v>552</v>
      </c>
      <c r="D840">
        <v>2010</v>
      </c>
      <c r="E840">
        <v>-1.4121999999999999</v>
      </c>
      <c r="F840">
        <v>4.3900000000000002E-2</v>
      </c>
      <c r="G840">
        <f>E840/F840</f>
        <v>-32.168564920273347</v>
      </c>
      <c r="H840" s="27">
        <v>0</v>
      </c>
      <c r="I840">
        <v>1</v>
      </c>
      <c r="J840">
        <v>31803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1982</v>
      </c>
      <c r="V840">
        <v>2008</v>
      </c>
      <c r="W840">
        <f t="shared" si="50"/>
        <v>1995</v>
      </c>
      <c r="X840">
        <v>1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 s="21">
        <v>1</v>
      </c>
      <c r="AO840" s="21">
        <v>1</v>
      </c>
      <c r="AP840" s="21">
        <v>1</v>
      </c>
      <c r="AQ840">
        <v>0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 s="21">
        <v>1</v>
      </c>
      <c r="BA840" s="21">
        <v>1</v>
      </c>
      <c r="BB840" s="21">
        <v>1</v>
      </c>
      <c r="BC840">
        <v>1</v>
      </c>
      <c r="BD840">
        <v>1</v>
      </c>
      <c r="BE840">
        <v>1</v>
      </c>
      <c r="BF840">
        <v>0</v>
      </c>
      <c r="BG840">
        <v>0</v>
      </c>
      <c r="BH840">
        <v>0</v>
      </c>
      <c r="BI840">
        <v>1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1</v>
      </c>
      <c r="BP840">
        <v>0</v>
      </c>
      <c r="BQ840">
        <v>0</v>
      </c>
      <c r="BR840" s="21">
        <v>0</v>
      </c>
      <c r="BS840" s="21">
        <v>1</v>
      </c>
    </row>
    <row r="841" spans="1:71">
      <c r="A841" s="20" t="s">
        <v>5170</v>
      </c>
      <c r="B841">
        <v>89</v>
      </c>
      <c r="C841">
        <v>553</v>
      </c>
      <c r="D841">
        <v>2010</v>
      </c>
      <c r="E841">
        <v>-1.5334000000000001</v>
      </c>
      <c r="F841">
        <v>3.7699999999999997E-2</v>
      </c>
      <c r="G841">
        <f>E841/F841</f>
        <v>-40.673740053050402</v>
      </c>
      <c r="H841" s="27">
        <v>0</v>
      </c>
      <c r="I841">
        <v>1</v>
      </c>
      <c r="J841">
        <v>31803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1</v>
      </c>
      <c r="U841">
        <v>1982</v>
      </c>
      <c r="V841">
        <v>2008</v>
      </c>
      <c r="W841">
        <f t="shared" si="50"/>
        <v>1995</v>
      </c>
      <c r="X841">
        <v>1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 s="21">
        <v>1</v>
      </c>
      <c r="AO841" s="21">
        <v>1</v>
      </c>
      <c r="AP841" s="21">
        <v>1</v>
      </c>
      <c r="AQ841">
        <v>0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 s="21">
        <v>1</v>
      </c>
      <c r="BA841" s="21">
        <v>1</v>
      </c>
      <c r="BB841" s="21">
        <v>1</v>
      </c>
      <c r="BC841">
        <v>1</v>
      </c>
      <c r="BD841">
        <v>1</v>
      </c>
      <c r="BE841">
        <v>1</v>
      </c>
      <c r="BF841">
        <v>0</v>
      </c>
      <c r="BG841">
        <v>0</v>
      </c>
      <c r="BH841">
        <v>0</v>
      </c>
      <c r="BI841">
        <v>1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1</v>
      </c>
      <c r="BP841">
        <v>0</v>
      </c>
      <c r="BQ841">
        <v>0</v>
      </c>
      <c r="BR841" s="21">
        <v>0</v>
      </c>
      <c r="BS841" s="21">
        <v>1</v>
      </c>
    </row>
    <row r="842" spans="1:71">
      <c r="A842" s="20" t="s">
        <v>5141</v>
      </c>
      <c r="B842">
        <v>102</v>
      </c>
      <c r="C842">
        <v>624</v>
      </c>
      <c r="D842">
        <v>2010</v>
      </c>
      <c r="E842">
        <v>-1.0209999999999999</v>
      </c>
      <c r="F842">
        <f>E842/G842</f>
        <v>2.9381294964028776E-2</v>
      </c>
      <c r="G842">
        <v>-34.75</v>
      </c>
      <c r="H842" s="27">
        <v>0</v>
      </c>
      <c r="I842">
        <v>1</v>
      </c>
      <c r="J842">
        <v>13010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1</v>
      </c>
      <c r="U842">
        <v>1995</v>
      </c>
      <c r="V842">
        <v>2006</v>
      </c>
      <c r="W842">
        <f t="shared" si="50"/>
        <v>2001</v>
      </c>
      <c r="X842">
        <v>1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  <c r="AG842">
        <v>1</v>
      </c>
      <c r="AH842">
        <v>0</v>
      </c>
      <c r="AI842">
        <v>0</v>
      </c>
      <c r="AJ842">
        <v>1</v>
      </c>
      <c r="AK842">
        <v>1</v>
      </c>
      <c r="AL842">
        <v>1</v>
      </c>
      <c r="AM842">
        <v>1</v>
      </c>
      <c r="AN842" s="21">
        <v>1</v>
      </c>
      <c r="AO842" s="21">
        <v>1</v>
      </c>
      <c r="AP842" s="21">
        <v>1</v>
      </c>
      <c r="AQ842">
        <v>0</v>
      </c>
      <c r="AR842">
        <v>1</v>
      </c>
      <c r="AS842">
        <v>1</v>
      </c>
      <c r="AT842">
        <v>1</v>
      </c>
      <c r="AU842">
        <v>1</v>
      </c>
      <c r="AV842">
        <v>0</v>
      </c>
      <c r="AW842">
        <v>1</v>
      </c>
      <c r="AX842">
        <v>1</v>
      </c>
      <c r="AY842">
        <v>1</v>
      </c>
      <c r="AZ842" s="21">
        <v>1</v>
      </c>
      <c r="BA842" s="21">
        <v>1</v>
      </c>
      <c r="BB842" s="21">
        <v>1</v>
      </c>
      <c r="BC842">
        <v>1</v>
      </c>
      <c r="BD842">
        <v>1</v>
      </c>
      <c r="BE842">
        <v>1</v>
      </c>
      <c r="BF842">
        <v>1</v>
      </c>
      <c r="BG842">
        <v>0</v>
      </c>
      <c r="BH842">
        <v>0</v>
      </c>
      <c r="BI842">
        <v>1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1</v>
      </c>
      <c r="BP842">
        <v>0</v>
      </c>
      <c r="BQ842">
        <v>0</v>
      </c>
      <c r="BR842" s="21">
        <v>1</v>
      </c>
      <c r="BS842" s="21">
        <v>0</v>
      </c>
    </row>
    <row r="843" spans="1:71">
      <c r="A843" s="20" t="s">
        <v>5141</v>
      </c>
      <c r="B843">
        <v>102</v>
      </c>
      <c r="C843">
        <v>625</v>
      </c>
      <c r="D843">
        <v>2010</v>
      </c>
      <c r="E843">
        <v>-0.87</v>
      </c>
      <c r="F843">
        <f>E843/G843</f>
        <v>3.2402234636871509E-2</v>
      </c>
      <c r="G843">
        <v>-26.85</v>
      </c>
      <c r="H843" s="27">
        <v>0</v>
      </c>
      <c r="I843">
        <v>1</v>
      </c>
      <c r="J843">
        <v>6702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1</v>
      </c>
      <c r="U843">
        <v>1995</v>
      </c>
      <c r="V843">
        <v>2006</v>
      </c>
      <c r="W843">
        <f t="shared" si="50"/>
        <v>2001</v>
      </c>
      <c r="X843">
        <v>1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1</v>
      </c>
      <c r="AH843">
        <v>1</v>
      </c>
      <c r="AI843">
        <v>0</v>
      </c>
      <c r="AJ843">
        <v>1</v>
      </c>
      <c r="AK843">
        <v>1</v>
      </c>
      <c r="AL843">
        <v>1</v>
      </c>
      <c r="AM843">
        <v>1</v>
      </c>
      <c r="AN843" s="21">
        <v>1</v>
      </c>
      <c r="AO843" s="21">
        <v>1</v>
      </c>
      <c r="AP843" s="21">
        <v>1</v>
      </c>
      <c r="AQ843">
        <v>0</v>
      </c>
      <c r="AR843">
        <v>1</v>
      </c>
      <c r="AS843">
        <v>1</v>
      </c>
      <c r="AT843">
        <v>1</v>
      </c>
      <c r="AU843">
        <v>1</v>
      </c>
      <c r="AV843">
        <v>0</v>
      </c>
      <c r="AW843">
        <v>1</v>
      </c>
      <c r="AX843">
        <v>1</v>
      </c>
      <c r="AY843">
        <v>1</v>
      </c>
      <c r="AZ843" s="21">
        <v>1</v>
      </c>
      <c r="BA843" s="21">
        <v>1</v>
      </c>
      <c r="BB843" s="21">
        <v>1</v>
      </c>
      <c r="BC843">
        <v>1</v>
      </c>
      <c r="BD843">
        <v>1</v>
      </c>
      <c r="BE843">
        <v>1</v>
      </c>
      <c r="BF843">
        <v>1</v>
      </c>
      <c r="BG843">
        <v>0</v>
      </c>
      <c r="BH843">
        <v>0</v>
      </c>
      <c r="BI843">
        <v>1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1</v>
      </c>
      <c r="BP843">
        <v>0</v>
      </c>
      <c r="BQ843">
        <v>0</v>
      </c>
      <c r="BR843" s="21">
        <v>1</v>
      </c>
      <c r="BS843" s="21">
        <v>0</v>
      </c>
    </row>
    <row r="844" spans="1:71">
      <c r="A844" s="20" t="s">
        <v>5141</v>
      </c>
      <c r="B844">
        <v>102</v>
      </c>
      <c r="C844">
        <v>626</v>
      </c>
      <c r="D844">
        <v>2010</v>
      </c>
      <c r="E844">
        <v>-0.70099999999999996</v>
      </c>
      <c r="F844">
        <f>E844/G844</f>
        <v>2.6088574618533679E-2</v>
      </c>
      <c r="G844">
        <v>-26.87</v>
      </c>
      <c r="H844" s="27">
        <v>0</v>
      </c>
      <c r="I844">
        <v>1</v>
      </c>
      <c r="J844">
        <v>10707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1</v>
      </c>
      <c r="U844">
        <v>1995</v>
      </c>
      <c r="V844">
        <v>2006</v>
      </c>
      <c r="W844">
        <f t="shared" si="50"/>
        <v>2001</v>
      </c>
      <c r="X844">
        <v>1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</v>
      </c>
      <c r="AG844">
        <v>1</v>
      </c>
      <c r="AH844">
        <v>1</v>
      </c>
      <c r="AI844">
        <v>1</v>
      </c>
      <c r="AJ844">
        <v>0</v>
      </c>
      <c r="AK844">
        <v>1</v>
      </c>
      <c r="AL844">
        <v>0</v>
      </c>
      <c r="AM844">
        <v>1</v>
      </c>
      <c r="AN844" s="21">
        <v>1</v>
      </c>
      <c r="AO844" s="21">
        <v>1</v>
      </c>
      <c r="AP844" s="21">
        <v>1</v>
      </c>
      <c r="AQ844">
        <v>0</v>
      </c>
      <c r="AR844">
        <v>1</v>
      </c>
      <c r="AS844">
        <v>1</v>
      </c>
      <c r="AT844">
        <v>1</v>
      </c>
      <c r="AU844">
        <v>1</v>
      </c>
      <c r="AV844">
        <v>0</v>
      </c>
      <c r="AW844">
        <v>1</v>
      </c>
      <c r="AX844">
        <v>1</v>
      </c>
      <c r="AY844">
        <v>1</v>
      </c>
      <c r="AZ844" s="21">
        <v>1</v>
      </c>
      <c r="BA844" s="21">
        <v>1</v>
      </c>
      <c r="BB844" s="21">
        <v>1</v>
      </c>
      <c r="BC844">
        <v>1</v>
      </c>
      <c r="BD844">
        <v>1</v>
      </c>
      <c r="BE844">
        <v>1</v>
      </c>
      <c r="BF844">
        <v>1</v>
      </c>
      <c r="BG844">
        <v>0</v>
      </c>
      <c r="BH844">
        <v>0</v>
      </c>
      <c r="BI844">
        <v>1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1</v>
      </c>
      <c r="BP844">
        <v>0</v>
      </c>
      <c r="BQ844">
        <v>0</v>
      </c>
      <c r="BR844" s="21">
        <v>1</v>
      </c>
      <c r="BS844" s="21">
        <v>0</v>
      </c>
    </row>
    <row r="845" spans="1:71">
      <c r="A845" s="20" t="s">
        <v>5047</v>
      </c>
      <c r="B845">
        <v>103</v>
      </c>
      <c r="C845">
        <v>627</v>
      </c>
      <c r="D845">
        <v>2010</v>
      </c>
      <c r="E845">
        <v>-0.51500000000000001</v>
      </c>
      <c r="F845">
        <v>1.41E-2</v>
      </c>
      <c r="G845">
        <f t="shared" ref="G845:G850" si="53">E845/F845</f>
        <v>-36.524822695035461</v>
      </c>
      <c r="H845" s="27">
        <v>0</v>
      </c>
      <c r="I845">
        <v>1</v>
      </c>
      <c r="J845">
        <v>95117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1</v>
      </c>
      <c r="U845">
        <v>1995</v>
      </c>
      <c r="V845">
        <v>2005</v>
      </c>
      <c r="W845">
        <f t="shared" si="50"/>
        <v>2000</v>
      </c>
      <c r="X845">
        <v>1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 s="21">
        <v>1</v>
      </c>
      <c r="AO845" s="21">
        <v>1</v>
      </c>
      <c r="AP845" s="21">
        <v>1</v>
      </c>
      <c r="AQ845">
        <v>0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 s="21">
        <v>1</v>
      </c>
      <c r="BA845" s="21">
        <v>1</v>
      </c>
      <c r="BB845" s="21">
        <v>1</v>
      </c>
      <c r="BC845">
        <v>1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 s="21">
        <v>0</v>
      </c>
      <c r="BS845" s="21">
        <v>0</v>
      </c>
    </row>
    <row r="846" spans="1:71">
      <c r="A846" s="20" t="s">
        <v>5047</v>
      </c>
      <c r="B846">
        <v>103</v>
      </c>
      <c r="C846">
        <v>628</v>
      </c>
      <c r="D846">
        <v>2010</v>
      </c>
      <c r="E846">
        <v>-0.57599999999999996</v>
      </c>
      <c r="F846">
        <v>1.52E-2</v>
      </c>
      <c r="G846">
        <f t="shared" si="53"/>
        <v>-37.89473684210526</v>
      </c>
      <c r="H846" s="27">
        <v>0</v>
      </c>
      <c r="I846">
        <v>1</v>
      </c>
      <c r="J846">
        <v>8222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2004</v>
      </c>
      <c r="V846">
        <v>2004</v>
      </c>
      <c r="W846">
        <f t="shared" si="50"/>
        <v>2004</v>
      </c>
      <c r="X846">
        <v>1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 s="21">
        <v>1</v>
      </c>
      <c r="AO846" s="21">
        <v>1</v>
      </c>
      <c r="AP846" s="21">
        <v>1</v>
      </c>
      <c r="AQ846">
        <v>0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 s="21">
        <v>1</v>
      </c>
      <c r="BA846" s="21">
        <v>1</v>
      </c>
      <c r="BB846" s="21">
        <v>1</v>
      </c>
      <c r="BC846">
        <v>1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 s="21">
        <v>0</v>
      </c>
      <c r="BS846" s="21">
        <v>0</v>
      </c>
    </row>
    <row r="847" spans="1:71">
      <c r="A847" s="20" t="s">
        <v>5047</v>
      </c>
      <c r="B847">
        <v>103</v>
      </c>
      <c r="C847">
        <v>629</v>
      </c>
      <c r="D847">
        <v>2010</v>
      </c>
      <c r="E847">
        <v>-0.53300000000000003</v>
      </c>
      <c r="F847">
        <v>1.35E-2</v>
      </c>
      <c r="G847">
        <f t="shared" si="53"/>
        <v>-39.481481481481481</v>
      </c>
      <c r="H847" s="27">
        <v>0</v>
      </c>
      <c r="I847">
        <v>1</v>
      </c>
      <c r="J847">
        <v>10870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2004</v>
      </c>
      <c r="V847">
        <v>2004</v>
      </c>
      <c r="W847">
        <f t="shared" si="50"/>
        <v>2004</v>
      </c>
      <c r="X847">
        <v>1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 s="21">
        <v>1</v>
      </c>
      <c r="AO847" s="21">
        <v>1</v>
      </c>
      <c r="AP847" s="21">
        <v>1</v>
      </c>
      <c r="AQ847">
        <v>0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 s="21">
        <v>1</v>
      </c>
      <c r="BA847" s="21">
        <v>1</v>
      </c>
      <c r="BB847" s="21">
        <v>1</v>
      </c>
      <c r="BC847">
        <v>1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 s="21">
        <v>0</v>
      </c>
      <c r="BS847" s="21">
        <v>0</v>
      </c>
    </row>
    <row r="848" spans="1:71">
      <c r="A848" s="20" t="s">
        <v>5047</v>
      </c>
      <c r="B848">
        <v>103</v>
      </c>
      <c r="C848">
        <v>630</v>
      </c>
      <c r="D848">
        <v>2010</v>
      </c>
      <c r="E848">
        <v>-0.34799999999999998</v>
      </c>
      <c r="F848">
        <v>2.0299999999999999E-2</v>
      </c>
      <c r="G848">
        <f t="shared" si="53"/>
        <v>-17.142857142857142</v>
      </c>
      <c r="H848" s="27">
        <v>0</v>
      </c>
      <c r="I848">
        <v>1</v>
      </c>
      <c r="J848">
        <v>95205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1</v>
      </c>
      <c r="U848">
        <v>1995</v>
      </c>
      <c r="V848">
        <v>2005</v>
      </c>
      <c r="W848">
        <f t="shared" si="50"/>
        <v>2000</v>
      </c>
      <c r="X848">
        <v>1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 s="21">
        <v>1</v>
      </c>
      <c r="AO848" s="21">
        <v>1</v>
      </c>
      <c r="AP848" s="21">
        <v>1</v>
      </c>
      <c r="AQ848">
        <v>0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 s="21">
        <v>1</v>
      </c>
      <c r="BA848" s="21">
        <v>1</v>
      </c>
      <c r="BB848" s="21">
        <v>1</v>
      </c>
      <c r="BC848">
        <v>1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 s="21">
        <v>0</v>
      </c>
      <c r="BS848" s="21">
        <v>0</v>
      </c>
    </row>
    <row r="849" spans="1:71">
      <c r="A849" s="20" t="s">
        <v>5047</v>
      </c>
      <c r="B849">
        <v>103</v>
      </c>
      <c r="C849">
        <v>631</v>
      </c>
      <c r="D849">
        <v>2010</v>
      </c>
      <c r="E849">
        <v>-0.309</v>
      </c>
      <c r="F849">
        <v>4.1200000000000001E-2</v>
      </c>
      <c r="G849">
        <f t="shared" si="53"/>
        <v>-7.5</v>
      </c>
      <c r="H849" s="27">
        <v>0</v>
      </c>
      <c r="I849">
        <v>1</v>
      </c>
      <c r="J849">
        <v>8223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2004</v>
      </c>
      <c r="V849">
        <v>2004</v>
      </c>
      <c r="W849">
        <f t="shared" si="50"/>
        <v>2004</v>
      </c>
      <c r="X849">
        <v>1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 s="21">
        <v>1</v>
      </c>
      <c r="AO849" s="21">
        <v>1</v>
      </c>
      <c r="AP849" s="21">
        <v>1</v>
      </c>
      <c r="AQ849">
        <v>0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 s="21">
        <v>1</v>
      </c>
      <c r="BA849" s="21">
        <v>1</v>
      </c>
      <c r="BB849" s="21">
        <v>1</v>
      </c>
      <c r="BC849">
        <v>1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 s="21">
        <v>0</v>
      </c>
      <c r="BS849" s="21">
        <v>0</v>
      </c>
    </row>
    <row r="850" spans="1:71">
      <c r="A850" s="20" t="s">
        <v>5047</v>
      </c>
      <c r="B850">
        <v>103</v>
      </c>
      <c r="C850">
        <v>632</v>
      </c>
      <c r="D850">
        <v>2010</v>
      </c>
      <c r="E850">
        <v>-0.33100000000000002</v>
      </c>
      <c r="F850">
        <v>1.8700000000000001E-2</v>
      </c>
      <c r="G850">
        <f t="shared" si="53"/>
        <v>-17.700534759358288</v>
      </c>
      <c r="H850" s="27">
        <v>0</v>
      </c>
      <c r="I850">
        <v>1</v>
      </c>
      <c r="J850">
        <v>10879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2004</v>
      </c>
      <c r="V850">
        <v>2004</v>
      </c>
      <c r="W850">
        <f t="shared" si="50"/>
        <v>2004</v>
      </c>
      <c r="X850">
        <v>1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 s="21">
        <v>1</v>
      </c>
      <c r="AO850" s="21">
        <v>1</v>
      </c>
      <c r="AP850" s="21">
        <v>1</v>
      </c>
      <c r="AQ850">
        <v>0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 s="21">
        <v>1</v>
      </c>
      <c r="BA850" s="21">
        <v>1</v>
      </c>
      <c r="BB850" s="21">
        <v>1</v>
      </c>
      <c r="BC850">
        <v>1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1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 s="21">
        <v>0</v>
      </c>
      <c r="BS850" s="21">
        <v>0</v>
      </c>
    </row>
    <row r="851" spans="1:71">
      <c r="A851" s="20" t="s">
        <v>5012</v>
      </c>
      <c r="B851">
        <v>62</v>
      </c>
      <c r="C851">
        <v>409</v>
      </c>
      <c r="D851">
        <v>2008</v>
      </c>
      <c r="E851">
        <v>-0.70779999999999998</v>
      </c>
      <c r="F851">
        <f t="shared" ref="F851:F856" si="54">E851/G851</f>
        <v>9.4625668449197856E-2</v>
      </c>
      <c r="G851">
        <v>-7.48</v>
      </c>
      <c r="H851" s="27">
        <v>0</v>
      </c>
      <c r="I851">
        <v>1</v>
      </c>
      <c r="J851">
        <v>821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2001</v>
      </c>
      <c r="V851">
        <v>2003</v>
      </c>
      <c r="W851">
        <f t="shared" si="50"/>
        <v>2002</v>
      </c>
      <c r="X851">
        <v>1</v>
      </c>
      <c r="Y851">
        <v>0</v>
      </c>
      <c r="Z851">
        <v>1</v>
      </c>
      <c r="AA851">
        <v>0</v>
      </c>
      <c r="AB851">
        <v>0</v>
      </c>
      <c r="AC851">
        <v>0</v>
      </c>
      <c r="AD851" s="21">
        <v>0</v>
      </c>
      <c r="AE851">
        <v>1</v>
      </c>
      <c r="AF851">
        <v>0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 s="21">
        <v>1</v>
      </c>
      <c r="AO851" s="21">
        <v>1</v>
      </c>
      <c r="AP851" s="21">
        <v>1</v>
      </c>
      <c r="AQ851">
        <v>1</v>
      </c>
      <c r="AR851">
        <v>0</v>
      </c>
      <c r="AS851">
        <v>1</v>
      </c>
      <c r="AT851">
        <v>1</v>
      </c>
      <c r="AU851">
        <v>0</v>
      </c>
      <c r="AV851">
        <v>0</v>
      </c>
      <c r="AW851">
        <v>1</v>
      </c>
      <c r="AX851">
        <v>0</v>
      </c>
      <c r="AY851">
        <v>1</v>
      </c>
      <c r="AZ851" s="21">
        <v>0</v>
      </c>
      <c r="BA851" s="21">
        <v>0</v>
      </c>
      <c r="BB851" s="21">
        <v>1</v>
      </c>
      <c r="BC851">
        <v>0</v>
      </c>
      <c r="BD851">
        <v>1</v>
      </c>
      <c r="BE851">
        <v>1</v>
      </c>
      <c r="BF851">
        <v>0</v>
      </c>
      <c r="BG851">
        <v>1</v>
      </c>
      <c r="BH851">
        <v>0</v>
      </c>
      <c r="BI851">
        <v>1</v>
      </c>
      <c r="BJ851">
        <v>1</v>
      </c>
      <c r="BK851">
        <v>1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 s="21">
        <v>1</v>
      </c>
      <c r="BS851" s="21">
        <v>1</v>
      </c>
    </row>
    <row r="852" spans="1:71">
      <c r="A852" s="20" t="s">
        <v>5012</v>
      </c>
      <c r="B852">
        <v>62</v>
      </c>
      <c r="C852">
        <v>410</v>
      </c>
      <c r="D852">
        <v>2008</v>
      </c>
      <c r="E852">
        <v>-0.66579999999999995</v>
      </c>
      <c r="F852">
        <f t="shared" si="54"/>
        <v>9.1581843191196693E-2</v>
      </c>
      <c r="G852">
        <v>-7.27</v>
      </c>
      <c r="H852" s="27">
        <v>0</v>
      </c>
      <c r="I852">
        <v>1</v>
      </c>
      <c r="J852">
        <v>821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2001</v>
      </c>
      <c r="V852">
        <v>2003</v>
      </c>
      <c r="W852">
        <f t="shared" si="50"/>
        <v>2002</v>
      </c>
      <c r="X852">
        <v>1</v>
      </c>
      <c r="Y852">
        <v>0</v>
      </c>
      <c r="Z852">
        <v>1</v>
      </c>
      <c r="AA852">
        <v>0</v>
      </c>
      <c r="AB852">
        <v>0</v>
      </c>
      <c r="AC852">
        <v>0</v>
      </c>
      <c r="AD852" s="21">
        <v>0</v>
      </c>
      <c r="AE852">
        <v>1</v>
      </c>
      <c r="AF852">
        <v>0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 s="21">
        <v>1</v>
      </c>
      <c r="AO852" s="21">
        <v>1</v>
      </c>
      <c r="AP852" s="21">
        <v>1</v>
      </c>
      <c r="AQ852">
        <v>1</v>
      </c>
      <c r="AR852">
        <v>0</v>
      </c>
      <c r="AS852">
        <v>1</v>
      </c>
      <c r="AT852">
        <v>1</v>
      </c>
      <c r="AU852">
        <v>0</v>
      </c>
      <c r="AV852">
        <v>0</v>
      </c>
      <c r="AW852">
        <v>1</v>
      </c>
      <c r="AX852">
        <v>0</v>
      </c>
      <c r="AY852">
        <v>1</v>
      </c>
      <c r="AZ852" s="21">
        <v>0</v>
      </c>
      <c r="BA852" s="21">
        <v>0</v>
      </c>
      <c r="BB852" s="21">
        <v>1</v>
      </c>
      <c r="BC852">
        <v>0</v>
      </c>
      <c r="BD852">
        <v>1</v>
      </c>
      <c r="BE852">
        <v>1</v>
      </c>
      <c r="BF852">
        <v>0</v>
      </c>
      <c r="BG852">
        <v>1</v>
      </c>
      <c r="BH852">
        <v>0</v>
      </c>
      <c r="BI852">
        <v>1</v>
      </c>
      <c r="BJ852">
        <v>1</v>
      </c>
      <c r="BK852">
        <v>1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 s="21">
        <v>1</v>
      </c>
      <c r="BS852" s="21">
        <v>1</v>
      </c>
    </row>
    <row r="853" spans="1:71">
      <c r="A853" s="20" t="s">
        <v>5012</v>
      </c>
      <c r="B853">
        <v>62</v>
      </c>
      <c r="C853">
        <v>411</v>
      </c>
      <c r="D853">
        <v>2008</v>
      </c>
      <c r="E853">
        <v>-0.70569999999999999</v>
      </c>
      <c r="F853">
        <f t="shared" si="54"/>
        <v>9.4724832214765103E-2</v>
      </c>
      <c r="G853">
        <v>-7.45</v>
      </c>
      <c r="H853" s="27">
        <v>0</v>
      </c>
      <c r="I853">
        <v>1</v>
      </c>
      <c r="J853">
        <v>821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2001</v>
      </c>
      <c r="V853">
        <v>2003</v>
      </c>
      <c r="W853">
        <f t="shared" si="50"/>
        <v>2002</v>
      </c>
      <c r="X853">
        <v>1</v>
      </c>
      <c r="Y853">
        <v>0</v>
      </c>
      <c r="Z853">
        <v>1</v>
      </c>
      <c r="AA853">
        <v>0</v>
      </c>
      <c r="AB853">
        <v>0</v>
      </c>
      <c r="AC853">
        <v>0</v>
      </c>
      <c r="AD853" s="21">
        <v>0</v>
      </c>
      <c r="AE853">
        <v>1</v>
      </c>
      <c r="AF853">
        <v>0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 s="21">
        <v>1</v>
      </c>
      <c r="AO853" s="21">
        <v>1</v>
      </c>
      <c r="AP853" s="21">
        <v>1</v>
      </c>
      <c r="AQ853">
        <v>1</v>
      </c>
      <c r="AR853">
        <v>0</v>
      </c>
      <c r="AS853">
        <v>1</v>
      </c>
      <c r="AT853">
        <v>1</v>
      </c>
      <c r="AU853">
        <v>0</v>
      </c>
      <c r="AV853">
        <v>0</v>
      </c>
      <c r="AW853">
        <v>1</v>
      </c>
      <c r="AX853">
        <v>0</v>
      </c>
      <c r="AY853">
        <v>1</v>
      </c>
      <c r="AZ853" s="21">
        <v>0</v>
      </c>
      <c r="BA853" s="21">
        <v>0</v>
      </c>
      <c r="BB853" s="21">
        <v>1</v>
      </c>
      <c r="BC853">
        <v>0</v>
      </c>
      <c r="BD853">
        <v>1</v>
      </c>
      <c r="BE853">
        <v>1</v>
      </c>
      <c r="BF853">
        <v>0</v>
      </c>
      <c r="BG853">
        <v>1</v>
      </c>
      <c r="BH853">
        <v>0</v>
      </c>
      <c r="BI853">
        <v>1</v>
      </c>
      <c r="BJ853">
        <v>1</v>
      </c>
      <c r="BK853">
        <v>1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 s="21">
        <v>1</v>
      </c>
      <c r="BS853" s="21">
        <v>1</v>
      </c>
    </row>
    <row r="854" spans="1:71">
      <c r="A854" s="20" t="s">
        <v>5012</v>
      </c>
      <c r="B854">
        <v>62</v>
      </c>
      <c r="C854">
        <v>412</v>
      </c>
      <c r="D854">
        <v>2008</v>
      </c>
      <c r="E854">
        <v>-0.71240000000000003</v>
      </c>
      <c r="F854">
        <f t="shared" si="54"/>
        <v>9.2881355932203397E-2</v>
      </c>
      <c r="G854">
        <v>-7.67</v>
      </c>
      <c r="H854" s="27">
        <v>0</v>
      </c>
      <c r="I854">
        <v>1</v>
      </c>
      <c r="J854">
        <v>821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2001</v>
      </c>
      <c r="V854">
        <v>2003</v>
      </c>
      <c r="W854">
        <f t="shared" si="50"/>
        <v>2002</v>
      </c>
      <c r="X854">
        <v>1</v>
      </c>
      <c r="Y854">
        <v>0</v>
      </c>
      <c r="Z854">
        <v>1</v>
      </c>
      <c r="AA854">
        <v>0</v>
      </c>
      <c r="AB854">
        <v>0</v>
      </c>
      <c r="AC854">
        <v>0</v>
      </c>
      <c r="AD854" s="21">
        <v>0</v>
      </c>
      <c r="AE854">
        <v>1</v>
      </c>
      <c r="AF854">
        <v>0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 s="21">
        <v>1</v>
      </c>
      <c r="AO854" s="21">
        <v>1</v>
      </c>
      <c r="AP854" s="21">
        <v>1</v>
      </c>
      <c r="AQ854">
        <v>1</v>
      </c>
      <c r="AR854">
        <v>0</v>
      </c>
      <c r="AS854">
        <v>1</v>
      </c>
      <c r="AT854">
        <v>1</v>
      </c>
      <c r="AU854">
        <v>0</v>
      </c>
      <c r="AV854">
        <v>0</v>
      </c>
      <c r="AW854">
        <v>1</v>
      </c>
      <c r="AX854">
        <v>0</v>
      </c>
      <c r="AY854">
        <v>1</v>
      </c>
      <c r="AZ854" s="21">
        <v>0</v>
      </c>
      <c r="BA854" s="21">
        <v>0</v>
      </c>
      <c r="BB854" s="21">
        <v>1</v>
      </c>
      <c r="BC854">
        <v>0</v>
      </c>
      <c r="BD854">
        <v>1</v>
      </c>
      <c r="BE854">
        <v>1</v>
      </c>
      <c r="BF854">
        <v>0</v>
      </c>
      <c r="BG854">
        <v>1</v>
      </c>
      <c r="BH854">
        <v>0</v>
      </c>
      <c r="BI854">
        <v>1</v>
      </c>
      <c r="BJ854">
        <v>1</v>
      </c>
      <c r="BK854">
        <v>1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 s="21">
        <v>1</v>
      </c>
      <c r="BS854" s="21">
        <v>1</v>
      </c>
    </row>
    <row r="855" spans="1:71">
      <c r="A855" s="20" t="s">
        <v>5012</v>
      </c>
      <c r="B855">
        <v>62</v>
      </c>
      <c r="C855">
        <v>413</v>
      </c>
      <c r="D855">
        <v>2008</v>
      </c>
      <c r="E855">
        <v>-0.67520000000000002</v>
      </c>
      <c r="F855">
        <f t="shared" si="54"/>
        <v>9.4964838255977499E-2</v>
      </c>
      <c r="G855">
        <v>-7.11</v>
      </c>
      <c r="H855" s="27">
        <v>0</v>
      </c>
      <c r="I855">
        <v>1</v>
      </c>
      <c r="J855">
        <v>821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2001</v>
      </c>
      <c r="V855">
        <v>2003</v>
      </c>
      <c r="W855">
        <f t="shared" ref="W855:W872" si="55">ROUND(AVERAGE(U855:V855), 0)</f>
        <v>2002</v>
      </c>
      <c r="X855">
        <v>1</v>
      </c>
      <c r="Y855">
        <v>0</v>
      </c>
      <c r="Z855">
        <v>1</v>
      </c>
      <c r="AA855">
        <v>0</v>
      </c>
      <c r="AB855">
        <v>0</v>
      </c>
      <c r="AC855">
        <v>0</v>
      </c>
      <c r="AD855" s="21">
        <v>0</v>
      </c>
      <c r="AE855">
        <v>1</v>
      </c>
      <c r="AF855">
        <v>0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 s="21">
        <v>1</v>
      </c>
      <c r="AO855" s="21">
        <v>1</v>
      </c>
      <c r="AP855" s="21">
        <v>1</v>
      </c>
      <c r="AQ855">
        <v>1</v>
      </c>
      <c r="AR855">
        <v>0</v>
      </c>
      <c r="AS855">
        <v>1</v>
      </c>
      <c r="AT855">
        <v>1</v>
      </c>
      <c r="AU855">
        <v>0</v>
      </c>
      <c r="AV855">
        <v>0</v>
      </c>
      <c r="AW855">
        <v>1</v>
      </c>
      <c r="AX855">
        <v>0</v>
      </c>
      <c r="AY855">
        <v>1</v>
      </c>
      <c r="AZ855" s="21">
        <v>0</v>
      </c>
      <c r="BA855" s="21">
        <v>0</v>
      </c>
      <c r="BB855" s="21">
        <v>1</v>
      </c>
      <c r="BC855">
        <v>0</v>
      </c>
      <c r="BD855">
        <v>1</v>
      </c>
      <c r="BE855">
        <v>1</v>
      </c>
      <c r="BF855">
        <v>0</v>
      </c>
      <c r="BG855">
        <v>1</v>
      </c>
      <c r="BH855">
        <v>0</v>
      </c>
      <c r="BI855">
        <v>1</v>
      </c>
      <c r="BJ855">
        <v>1</v>
      </c>
      <c r="BK855">
        <v>1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 s="21">
        <v>1</v>
      </c>
      <c r="BS855" s="21">
        <v>1</v>
      </c>
    </row>
    <row r="856" spans="1:71">
      <c r="A856" s="20" t="s">
        <v>5012</v>
      </c>
      <c r="B856">
        <v>62</v>
      </c>
      <c r="C856">
        <v>414</v>
      </c>
      <c r="D856">
        <v>2008</v>
      </c>
      <c r="E856">
        <v>-0.66149999999999998</v>
      </c>
      <c r="F856">
        <f t="shared" si="54"/>
        <v>9.2907303370786509E-2</v>
      </c>
      <c r="G856">
        <v>-7.12</v>
      </c>
      <c r="H856" s="27">
        <v>0</v>
      </c>
      <c r="I856">
        <v>1</v>
      </c>
      <c r="J856">
        <v>821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2001</v>
      </c>
      <c r="V856">
        <v>2003</v>
      </c>
      <c r="W856">
        <f t="shared" si="55"/>
        <v>2002</v>
      </c>
      <c r="X856">
        <v>1</v>
      </c>
      <c r="Y856">
        <v>0</v>
      </c>
      <c r="Z856">
        <v>1</v>
      </c>
      <c r="AA856">
        <v>0</v>
      </c>
      <c r="AB856">
        <v>0</v>
      </c>
      <c r="AC856">
        <v>0</v>
      </c>
      <c r="AD856" s="21">
        <v>0</v>
      </c>
      <c r="AE856">
        <v>1</v>
      </c>
      <c r="AF856">
        <v>0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 s="21">
        <v>1</v>
      </c>
      <c r="AO856" s="21">
        <v>1</v>
      </c>
      <c r="AP856" s="21">
        <v>1</v>
      </c>
      <c r="AQ856">
        <v>1</v>
      </c>
      <c r="AR856">
        <v>0</v>
      </c>
      <c r="AS856">
        <v>1</v>
      </c>
      <c r="AT856">
        <v>1</v>
      </c>
      <c r="AU856">
        <v>0</v>
      </c>
      <c r="AV856">
        <v>0</v>
      </c>
      <c r="AW856">
        <v>1</v>
      </c>
      <c r="AX856">
        <v>0</v>
      </c>
      <c r="AY856">
        <v>1</v>
      </c>
      <c r="AZ856" s="21">
        <v>0</v>
      </c>
      <c r="BA856" s="21">
        <v>0</v>
      </c>
      <c r="BB856" s="21">
        <v>1</v>
      </c>
      <c r="BC856">
        <v>0</v>
      </c>
      <c r="BD856">
        <v>1</v>
      </c>
      <c r="BE856">
        <v>1</v>
      </c>
      <c r="BF856">
        <v>0</v>
      </c>
      <c r="BG856">
        <v>1</v>
      </c>
      <c r="BH856">
        <v>0</v>
      </c>
      <c r="BI856">
        <v>1</v>
      </c>
      <c r="BJ856">
        <v>1</v>
      </c>
      <c r="BK856">
        <v>1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 s="21">
        <v>1</v>
      </c>
      <c r="BS856" s="21">
        <v>1</v>
      </c>
    </row>
    <row r="857" spans="1:71">
      <c r="A857" s="20" t="s">
        <v>5040</v>
      </c>
      <c r="B857">
        <v>77</v>
      </c>
      <c r="C857">
        <v>502</v>
      </c>
      <c r="D857">
        <v>2008</v>
      </c>
      <c r="E857">
        <v>-0.76</v>
      </c>
      <c r="F857">
        <v>0.22</v>
      </c>
      <c r="G857">
        <f>E857/F857</f>
        <v>-3.4545454545454546</v>
      </c>
      <c r="H857" s="27">
        <v>0</v>
      </c>
      <c r="I857">
        <v>1</v>
      </c>
      <c r="J857">
        <v>361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2000</v>
      </c>
      <c r="V857">
        <v>2004</v>
      </c>
      <c r="W857">
        <f t="shared" si="55"/>
        <v>2002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0</v>
      </c>
      <c r="AL857">
        <v>0</v>
      </c>
      <c r="AM857">
        <v>0</v>
      </c>
      <c r="AN857" s="21">
        <v>1</v>
      </c>
      <c r="AO857" s="21">
        <v>0</v>
      </c>
      <c r="AP857" s="21">
        <v>0</v>
      </c>
      <c r="AQ857">
        <v>1</v>
      </c>
      <c r="AR857">
        <v>0</v>
      </c>
      <c r="AS857">
        <v>0</v>
      </c>
      <c r="AT857">
        <v>1</v>
      </c>
      <c r="AU857">
        <v>1</v>
      </c>
      <c r="AV857">
        <v>1</v>
      </c>
      <c r="AW857">
        <v>1</v>
      </c>
      <c r="AX857">
        <v>0</v>
      </c>
      <c r="AY857">
        <v>1</v>
      </c>
      <c r="AZ857" s="21">
        <v>1</v>
      </c>
      <c r="BA857" s="21">
        <v>1</v>
      </c>
      <c r="BB857" s="21">
        <v>1</v>
      </c>
      <c r="BC857">
        <v>0</v>
      </c>
      <c r="BD857">
        <v>0</v>
      </c>
      <c r="BE857">
        <v>1</v>
      </c>
      <c r="BF857">
        <v>1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1</v>
      </c>
      <c r="BO857">
        <v>0</v>
      </c>
      <c r="BP857">
        <v>0</v>
      </c>
      <c r="BQ857">
        <v>0</v>
      </c>
      <c r="BR857" s="21">
        <v>0</v>
      </c>
      <c r="BS857" s="21">
        <v>0</v>
      </c>
    </row>
    <row r="858" spans="1:71">
      <c r="A858" s="20" t="s">
        <v>5040</v>
      </c>
      <c r="B858">
        <v>77</v>
      </c>
      <c r="C858">
        <v>503</v>
      </c>
      <c r="D858">
        <v>2008</v>
      </c>
      <c r="E858">
        <v>-0.66</v>
      </c>
      <c r="F858">
        <v>0.22</v>
      </c>
      <c r="G858">
        <f>E858/F858</f>
        <v>-3</v>
      </c>
      <c r="H858" s="27">
        <v>0</v>
      </c>
      <c r="I858">
        <v>1</v>
      </c>
      <c r="J858">
        <v>361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2000</v>
      </c>
      <c r="V858">
        <v>2004</v>
      </c>
      <c r="W858">
        <f t="shared" si="55"/>
        <v>2002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1</v>
      </c>
      <c r="AK858">
        <v>0</v>
      </c>
      <c r="AL858">
        <v>0</v>
      </c>
      <c r="AM858">
        <v>0</v>
      </c>
      <c r="AN858" s="21">
        <v>1</v>
      </c>
      <c r="AO858" s="21">
        <v>0</v>
      </c>
      <c r="AP858" s="21">
        <v>0</v>
      </c>
      <c r="AQ858">
        <v>1</v>
      </c>
      <c r="AR858">
        <v>0</v>
      </c>
      <c r="AS858">
        <v>0</v>
      </c>
      <c r="AT858">
        <v>1</v>
      </c>
      <c r="AU858">
        <v>1</v>
      </c>
      <c r="AV858">
        <v>1</v>
      </c>
      <c r="AW858">
        <v>1</v>
      </c>
      <c r="AX858">
        <v>0</v>
      </c>
      <c r="AY858">
        <v>1</v>
      </c>
      <c r="AZ858" s="21">
        <v>1</v>
      </c>
      <c r="BA858" s="21">
        <v>1</v>
      </c>
      <c r="BB858" s="21">
        <v>1</v>
      </c>
      <c r="BC858">
        <v>0</v>
      </c>
      <c r="BD858">
        <v>0</v>
      </c>
      <c r="BE858">
        <v>1</v>
      </c>
      <c r="BF858">
        <v>1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1</v>
      </c>
      <c r="BO858">
        <v>0</v>
      </c>
      <c r="BP858">
        <v>0</v>
      </c>
      <c r="BQ858">
        <v>0</v>
      </c>
      <c r="BR858" s="21">
        <v>0</v>
      </c>
      <c r="BS858" s="21">
        <v>0</v>
      </c>
    </row>
    <row r="859" spans="1:71">
      <c r="A859" s="20" t="s">
        <v>4921</v>
      </c>
      <c r="B859">
        <v>49</v>
      </c>
      <c r="C859">
        <v>330</v>
      </c>
      <c r="D859" s="21">
        <v>2007</v>
      </c>
      <c r="E859" s="23">
        <v>-0.59</v>
      </c>
      <c r="F859">
        <f t="shared" ref="F859:F871" si="56">E859/G859</f>
        <v>9.3206951026856236E-2</v>
      </c>
      <c r="G859">
        <v>-6.33</v>
      </c>
      <c r="H859" s="27">
        <v>0</v>
      </c>
      <c r="I859" s="21">
        <v>1</v>
      </c>
      <c r="J859" s="21">
        <v>912</v>
      </c>
      <c r="K859" s="21">
        <v>1</v>
      </c>
      <c r="L859" s="21">
        <v>0</v>
      </c>
      <c r="M859" s="21">
        <v>0</v>
      </c>
      <c r="N859" s="21">
        <v>0</v>
      </c>
      <c r="O859" s="21">
        <v>0</v>
      </c>
      <c r="P859">
        <v>0</v>
      </c>
      <c r="Q859" s="21">
        <v>0</v>
      </c>
      <c r="R859" s="21">
        <v>0</v>
      </c>
      <c r="S859" s="21">
        <v>0</v>
      </c>
      <c r="T859" s="21">
        <v>0</v>
      </c>
      <c r="U859" s="21">
        <v>2002</v>
      </c>
      <c r="V859" s="21">
        <v>2002</v>
      </c>
      <c r="W859">
        <f t="shared" si="55"/>
        <v>2002</v>
      </c>
      <c r="X859" s="21">
        <v>1</v>
      </c>
      <c r="Y859" s="21">
        <v>0</v>
      </c>
      <c r="Z859" s="21">
        <v>1</v>
      </c>
      <c r="AA859" s="21">
        <v>0</v>
      </c>
      <c r="AB859" s="21">
        <v>0</v>
      </c>
      <c r="AC859" s="21">
        <v>0</v>
      </c>
      <c r="AD859" s="21">
        <v>0</v>
      </c>
      <c r="AE859" s="21">
        <v>0</v>
      </c>
      <c r="AF859" s="21">
        <v>1</v>
      </c>
      <c r="AG859" s="21">
        <v>1</v>
      </c>
      <c r="AH859" s="21">
        <v>1</v>
      </c>
      <c r="AI859" s="21">
        <v>1</v>
      </c>
      <c r="AJ859" s="21">
        <v>1</v>
      </c>
      <c r="AK859" s="21">
        <v>1</v>
      </c>
      <c r="AL859" s="21">
        <v>1</v>
      </c>
      <c r="AM859" s="21">
        <v>1</v>
      </c>
      <c r="AN859" s="21">
        <v>1</v>
      </c>
      <c r="AO859" s="21">
        <v>1</v>
      </c>
      <c r="AP859" s="21">
        <v>1</v>
      </c>
      <c r="AQ859" s="21">
        <v>0</v>
      </c>
      <c r="AR859" s="21">
        <v>1</v>
      </c>
      <c r="AS859" s="21">
        <v>1</v>
      </c>
      <c r="AT859" s="21">
        <v>1</v>
      </c>
      <c r="AU859" s="21">
        <v>0</v>
      </c>
      <c r="AV859" s="21">
        <v>0</v>
      </c>
      <c r="AW859" s="21">
        <v>1</v>
      </c>
      <c r="AX859" s="21">
        <v>0</v>
      </c>
      <c r="AY859" s="21">
        <v>1</v>
      </c>
      <c r="AZ859" s="21">
        <v>0</v>
      </c>
      <c r="BA859" s="21">
        <v>0</v>
      </c>
      <c r="BB859" s="21">
        <v>1</v>
      </c>
      <c r="BC859" s="21">
        <v>0</v>
      </c>
      <c r="BD859" s="21">
        <v>1</v>
      </c>
      <c r="BE859" s="21">
        <v>1</v>
      </c>
      <c r="BF859" s="21">
        <v>0</v>
      </c>
      <c r="BG859" s="21">
        <v>1</v>
      </c>
      <c r="BH859" s="21">
        <v>0</v>
      </c>
      <c r="BI859" s="21">
        <v>1</v>
      </c>
      <c r="BJ859" s="21">
        <v>0</v>
      </c>
      <c r="BK859" s="21">
        <v>0</v>
      </c>
      <c r="BL859" s="21">
        <v>0</v>
      </c>
      <c r="BM859" s="21">
        <v>0</v>
      </c>
      <c r="BN859" s="21">
        <v>0</v>
      </c>
      <c r="BO859" s="21">
        <v>0</v>
      </c>
      <c r="BP859" s="21">
        <v>0</v>
      </c>
      <c r="BQ859" s="21">
        <v>0</v>
      </c>
      <c r="BR859" s="21">
        <v>1</v>
      </c>
      <c r="BS859" s="21">
        <v>1</v>
      </c>
    </row>
    <row r="860" spans="1:71">
      <c r="A860" s="20" t="s">
        <v>4921</v>
      </c>
      <c r="B860">
        <v>49</v>
      </c>
      <c r="C860">
        <v>331</v>
      </c>
      <c r="D860" s="21">
        <v>2007</v>
      </c>
      <c r="E860" s="23">
        <v>-0.62</v>
      </c>
      <c r="F860">
        <f t="shared" si="56"/>
        <v>9.281437125748504E-2</v>
      </c>
      <c r="G860">
        <v>-6.68</v>
      </c>
      <c r="H860" s="27">
        <v>0</v>
      </c>
      <c r="I860" s="21">
        <v>1</v>
      </c>
      <c r="J860" s="21">
        <v>912</v>
      </c>
      <c r="K860" s="21">
        <v>1</v>
      </c>
      <c r="L860" s="21">
        <v>0</v>
      </c>
      <c r="M860" s="21">
        <v>0</v>
      </c>
      <c r="N860" s="21">
        <v>0</v>
      </c>
      <c r="O860" s="21">
        <v>0</v>
      </c>
      <c r="P860">
        <v>0</v>
      </c>
      <c r="Q860" s="21">
        <v>0</v>
      </c>
      <c r="R860" s="21">
        <v>0</v>
      </c>
      <c r="S860" s="21">
        <v>0</v>
      </c>
      <c r="T860" s="21">
        <v>0</v>
      </c>
      <c r="U860" s="21">
        <v>2002</v>
      </c>
      <c r="V860" s="21">
        <v>2002</v>
      </c>
      <c r="W860">
        <f t="shared" si="55"/>
        <v>2002</v>
      </c>
      <c r="X860" s="21">
        <v>1</v>
      </c>
      <c r="Y860" s="21">
        <v>0</v>
      </c>
      <c r="Z860" s="21">
        <v>1</v>
      </c>
      <c r="AA860" s="21">
        <v>0</v>
      </c>
      <c r="AB860" s="21">
        <v>0</v>
      </c>
      <c r="AC860" s="21">
        <v>0</v>
      </c>
      <c r="AD860" s="21">
        <v>0</v>
      </c>
      <c r="AE860" s="21">
        <v>0</v>
      </c>
      <c r="AF860" s="21">
        <v>1</v>
      </c>
      <c r="AG860" s="21">
        <v>1</v>
      </c>
      <c r="AH860" s="21">
        <v>1</v>
      </c>
      <c r="AI860" s="21">
        <v>1</v>
      </c>
      <c r="AJ860" s="21">
        <v>1</v>
      </c>
      <c r="AK860" s="21">
        <v>1</v>
      </c>
      <c r="AL860" s="21">
        <v>1</v>
      </c>
      <c r="AM860" s="21">
        <v>1</v>
      </c>
      <c r="AN860" s="21">
        <v>1</v>
      </c>
      <c r="AO860" s="21">
        <v>1</v>
      </c>
      <c r="AP860" s="21">
        <v>1</v>
      </c>
      <c r="AQ860" s="21">
        <v>0</v>
      </c>
      <c r="AR860" s="21">
        <v>1</v>
      </c>
      <c r="AS860" s="21">
        <v>1</v>
      </c>
      <c r="AT860" s="21">
        <v>1</v>
      </c>
      <c r="AU860" s="21">
        <v>0</v>
      </c>
      <c r="AV860" s="21">
        <v>0</v>
      </c>
      <c r="AW860" s="21">
        <v>1</v>
      </c>
      <c r="AX860" s="21">
        <v>0</v>
      </c>
      <c r="AY860" s="21">
        <v>1</v>
      </c>
      <c r="AZ860" s="21">
        <v>0</v>
      </c>
      <c r="BA860" s="21">
        <v>0</v>
      </c>
      <c r="BB860" s="21">
        <v>1</v>
      </c>
      <c r="BC860" s="21">
        <v>0</v>
      </c>
      <c r="BD860" s="21">
        <v>1</v>
      </c>
      <c r="BE860" s="21">
        <v>1</v>
      </c>
      <c r="BF860" s="21">
        <v>0</v>
      </c>
      <c r="BG860" s="21">
        <v>1</v>
      </c>
      <c r="BH860" s="21">
        <v>0</v>
      </c>
      <c r="BI860" s="21">
        <v>1</v>
      </c>
      <c r="BJ860" s="21">
        <v>0</v>
      </c>
      <c r="BK860" s="21">
        <v>0</v>
      </c>
      <c r="BL860" s="21">
        <v>0</v>
      </c>
      <c r="BM860" s="21">
        <v>0</v>
      </c>
      <c r="BN860" s="21">
        <v>0</v>
      </c>
      <c r="BO860" s="21">
        <v>0</v>
      </c>
      <c r="BP860" s="21">
        <v>0</v>
      </c>
      <c r="BQ860" s="21">
        <v>0</v>
      </c>
      <c r="BR860" s="21">
        <v>1</v>
      </c>
      <c r="BS860" s="21">
        <v>1</v>
      </c>
    </row>
    <row r="861" spans="1:71">
      <c r="A861" s="20" t="s">
        <v>4921</v>
      </c>
      <c r="B861">
        <v>49</v>
      </c>
      <c r="C861">
        <v>332</v>
      </c>
      <c r="D861" s="21">
        <v>2007</v>
      </c>
      <c r="E861" s="23">
        <v>-0.74</v>
      </c>
      <c r="F861">
        <f t="shared" si="56"/>
        <v>7.1359691417550636E-2</v>
      </c>
      <c r="G861">
        <v>-10.37</v>
      </c>
      <c r="H861" s="27">
        <v>0</v>
      </c>
      <c r="I861" s="21">
        <v>1</v>
      </c>
      <c r="J861" s="21">
        <v>912</v>
      </c>
      <c r="K861" s="21">
        <v>1</v>
      </c>
      <c r="L861" s="21">
        <v>0</v>
      </c>
      <c r="M861" s="21">
        <v>0</v>
      </c>
      <c r="N861" s="21">
        <v>0</v>
      </c>
      <c r="O861" s="21">
        <v>0</v>
      </c>
      <c r="P861">
        <v>0</v>
      </c>
      <c r="Q861" s="21">
        <v>1</v>
      </c>
      <c r="R861" s="21">
        <v>0</v>
      </c>
      <c r="S861" s="21">
        <v>0</v>
      </c>
      <c r="T861" s="21">
        <v>0</v>
      </c>
      <c r="U861" s="21">
        <v>2002</v>
      </c>
      <c r="V861" s="21">
        <v>2002</v>
      </c>
      <c r="W861">
        <f t="shared" si="55"/>
        <v>2002</v>
      </c>
      <c r="X861" s="21">
        <v>1</v>
      </c>
      <c r="Y861" s="21">
        <v>0</v>
      </c>
      <c r="Z861" s="21">
        <v>1</v>
      </c>
      <c r="AA861" s="21">
        <v>0</v>
      </c>
      <c r="AB861" s="21">
        <v>0</v>
      </c>
      <c r="AC861" s="21">
        <v>0</v>
      </c>
      <c r="AD861" s="21">
        <v>0</v>
      </c>
      <c r="AE861" s="21">
        <v>0</v>
      </c>
      <c r="AF861" s="21">
        <v>1</v>
      </c>
      <c r="AG861" s="21">
        <v>1</v>
      </c>
      <c r="AH861" s="21">
        <v>1</v>
      </c>
      <c r="AI861" s="21">
        <v>1</v>
      </c>
      <c r="AJ861" s="21">
        <v>1</v>
      </c>
      <c r="AK861" s="21">
        <v>1</v>
      </c>
      <c r="AL861" s="21">
        <v>1</v>
      </c>
      <c r="AM861" s="21">
        <v>1</v>
      </c>
      <c r="AN861" s="21">
        <v>1</v>
      </c>
      <c r="AO861" s="21">
        <v>1</v>
      </c>
      <c r="AP861" s="21">
        <v>1</v>
      </c>
      <c r="AQ861" s="21">
        <v>0</v>
      </c>
      <c r="AR861" s="21">
        <v>1</v>
      </c>
      <c r="AS861" s="21">
        <v>1</v>
      </c>
      <c r="AT861" s="21">
        <v>1</v>
      </c>
      <c r="AU861" s="21">
        <v>0</v>
      </c>
      <c r="AV861" s="21">
        <v>0</v>
      </c>
      <c r="AW861" s="21">
        <v>1</v>
      </c>
      <c r="AX861" s="21">
        <v>0</v>
      </c>
      <c r="AY861" s="21">
        <v>1</v>
      </c>
      <c r="AZ861" s="21">
        <v>0</v>
      </c>
      <c r="BA861" s="21">
        <v>0</v>
      </c>
      <c r="BB861" s="21">
        <v>1</v>
      </c>
      <c r="BC861" s="21">
        <v>0</v>
      </c>
      <c r="BD861" s="21">
        <v>1</v>
      </c>
      <c r="BE861" s="21">
        <v>1</v>
      </c>
      <c r="BF861" s="21">
        <v>0</v>
      </c>
      <c r="BG861" s="21">
        <v>1</v>
      </c>
      <c r="BH861" s="21">
        <v>0</v>
      </c>
      <c r="BI861" s="21">
        <v>1</v>
      </c>
      <c r="BJ861" s="21">
        <v>0</v>
      </c>
      <c r="BK861" s="21">
        <v>0</v>
      </c>
      <c r="BL861" s="21">
        <v>0</v>
      </c>
      <c r="BM861" s="21">
        <v>0</v>
      </c>
      <c r="BN861" s="21">
        <v>0</v>
      </c>
      <c r="BO861" s="21">
        <v>0</v>
      </c>
      <c r="BP861" s="21">
        <v>0</v>
      </c>
      <c r="BQ861" s="21">
        <v>0</v>
      </c>
      <c r="BR861" s="21">
        <v>0</v>
      </c>
      <c r="BS861" s="21">
        <v>1</v>
      </c>
    </row>
    <row r="862" spans="1:71">
      <c r="A862" s="20" t="s">
        <v>4921</v>
      </c>
      <c r="B862">
        <v>49</v>
      </c>
      <c r="C862">
        <v>333</v>
      </c>
      <c r="D862" s="21">
        <v>2007</v>
      </c>
      <c r="E862" s="23">
        <v>-0.79</v>
      </c>
      <c r="F862">
        <f t="shared" si="56"/>
        <v>6.997342781222321E-2</v>
      </c>
      <c r="G862">
        <v>-11.29</v>
      </c>
      <c r="H862" s="27">
        <v>0</v>
      </c>
      <c r="I862" s="21">
        <v>1</v>
      </c>
      <c r="J862" s="21">
        <v>912</v>
      </c>
      <c r="K862" s="21">
        <v>1</v>
      </c>
      <c r="L862" s="21">
        <v>0</v>
      </c>
      <c r="M862" s="21">
        <v>0</v>
      </c>
      <c r="N862" s="21">
        <v>0</v>
      </c>
      <c r="O862" s="21">
        <v>0</v>
      </c>
      <c r="P862">
        <v>0</v>
      </c>
      <c r="Q862" s="21">
        <v>1</v>
      </c>
      <c r="R862" s="21">
        <v>0</v>
      </c>
      <c r="S862" s="21">
        <v>0</v>
      </c>
      <c r="T862" s="21">
        <v>0</v>
      </c>
      <c r="U862" s="21">
        <v>2002</v>
      </c>
      <c r="V862" s="21">
        <v>2002</v>
      </c>
      <c r="W862">
        <f t="shared" si="55"/>
        <v>2002</v>
      </c>
      <c r="X862" s="21">
        <v>1</v>
      </c>
      <c r="Y862" s="21">
        <v>0</v>
      </c>
      <c r="Z862" s="21">
        <v>1</v>
      </c>
      <c r="AA862" s="21">
        <v>0</v>
      </c>
      <c r="AB862" s="21">
        <v>0</v>
      </c>
      <c r="AC862" s="21">
        <v>0</v>
      </c>
      <c r="AD862" s="21">
        <v>0</v>
      </c>
      <c r="AE862" s="21">
        <v>0</v>
      </c>
      <c r="AF862" s="21">
        <v>1</v>
      </c>
      <c r="AG862" s="21">
        <v>1</v>
      </c>
      <c r="AH862" s="21">
        <v>1</v>
      </c>
      <c r="AI862" s="21">
        <v>1</v>
      </c>
      <c r="AJ862" s="21">
        <v>1</v>
      </c>
      <c r="AK862" s="21">
        <v>1</v>
      </c>
      <c r="AL862" s="21">
        <v>1</v>
      </c>
      <c r="AM862" s="21">
        <v>1</v>
      </c>
      <c r="AN862" s="21">
        <v>1</v>
      </c>
      <c r="AO862" s="21">
        <v>1</v>
      </c>
      <c r="AP862" s="21">
        <v>1</v>
      </c>
      <c r="AQ862" s="21">
        <v>0</v>
      </c>
      <c r="AR862" s="21">
        <v>1</v>
      </c>
      <c r="AS862" s="21">
        <v>1</v>
      </c>
      <c r="AT862" s="21">
        <v>1</v>
      </c>
      <c r="AU862" s="21">
        <v>0</v>
      </c>
      <c r="AV862" s="21">
        <v>0</v>
      </c>
      <c r="AW862" s="21">
        <v>1</v>
      </c>
      <c r="AX862" s="21">
        <v>0</v>
      </c>
      <c r="AY862" s="21">
        <v>1</v>
      </c>
      <c r="AZ862" s="21">
        <v>0</v>
      </c>
      <c r="BA862" s="21">
        <v>0</v>
      </c>
      <c r="BB862" s="21">
        <v>1</v>
      </c>
      <c r="BC862" s="21">
        <v>0</v>
      </c>
      <c r="BD862" s="21">
        <v>1</v>
      </c>
      <c r="BE862" s="21">
        <v>1</v>
      </c>
      <c r="BF862" s="21">
        <v>0</v>
      </c>
      <c r="BG862" s="21">
        <v>1</v>
      </c>
      <c r="BH862" s="21">
        <v>0</v>
      </c>
      <c r="BI862" s="21">
        <v>1</v>
      </c>
      <c r="BJ862" s="21">
        <v>0</v>
      </c>
      <c r="BK862" s="21">
        <v>0</v>
      </c>
      <c r="BL862" s="21">
        <v>0</v>
      </c>
      <c r="BM862" s="21">
        <v>0</v>
      </c>
      <c r="BN862" s="21">
        <v>0</v>
      </c>
      <c r="BO862" s="21">
        <v>0</v>
      </c>
      <c r="BP862" s="21">
        <v>0</v>
      </c>
      <c r="BQ862" s="21">
        <v>0</v>
      </c>
      <c r="BR862" s="21">
        <v>0</v>
      </c>
      <c r="BS862" s="21">
        <v>1</v>
      </c>
    </row>
    <row r="863" spans="1:71">
      <c r="A863" s="20" t="s">
        <v>4921</v>
      </c>
      <c r="B863">
        <v>49</v>
      </c>
      <c r="C863">
        <v>334</v>
      </c>
      <c r="D863" s="21">
        <v>2007</v>
      </c>
      <c r="E863" s="23">
        <v>-0.86</v>
      </c>
      <c r="F863">
        <f t="shared" si="56"/>
        <v>8.2454458293384464E-2</v>
      </c>
      <c r="G863">
        <v>-10.43</v>
      </c>
      <c r="H863" s="27">
        <v>0</v>
      </c>
      <c r="I863" s="21">
        <v>1</v>
      </c>
      <c r="J863" s="21">
        <v>735</v>
      </c>
      <c r="K863" s="21">
        <v>1</v>
      </c>
      <c r="L863" s="21">
        <v>0</v>
      </c>
      <c r="M863" s="21">
        <v>0</v>
      </c>
      <c r="N863" s="21">
        <v>0</v>
      </c>
      <c r="O863" s="21">
        <v>0</v>
      </c>
      <c r="P863">
        <v>0</v>
      </c>
      <c r="Q863" s="21">
        <v>1</v>
      </c>
      <c r="R863" s="21">
        <v>0</v>
      </c>
      <c r="S863" s="21">
        <v>0</v>
      </c>
      <c r="T863" s="21">
        <v>0</v>
      </c>
      <c r="U863" s="21">
        <v>2002</v>
      </c>
      <c r="V863" s="21">
        <v>2002</v>
      </c>
      <c r="W863">
        <f t="shared" si="55"/>
        <v>2002</v>
      </c>
      <c r="X863" s="21">
        <v>1</v>
      </c>
      <c r="Y863" s="21">
        <v>0</v>
      </c>
      <c r="Z863" s="21">
        <v>1</v>
      </c>
      <c r="AA863" s="21">
        <v>0</v>
      </c>
      <c r="AB863" s="21">
        <v>0</v>
      </c>
      <c r="AC863" s="21">
        <v>0</v>
      </c>
      <c r="AD863" s="21">
        <v>0</v>
      </c>
      <c r="AE863" s="21">
        <v>0</v>
      </c>
      <c r="AF863" s="21">
        <v>1</v>
      </c>
      <c r="AG863" s="21">
        <v>1</v>
      </c>
      <c r="AH863" s="21">
        <v>1</v>
      </c>
      <c r="AI863" s="21">
        <v>1</v>
      </c>
      <c r="AJ863" s="21">
        <v>1</v>
      </c>
      <c r="AK863" s="21">
        <v>1</v>
      </c>
      <c r="AL863" s="21">
        <v>1</v>
      </c>
      <c r="AM863" s="21">
        <v>1</v>
      </c>
      <c r="AN863" s="21">
        <v>1</v>
      </c>
      <c r="AO863" s="21">
        <v>1</v>
      </c>
      <c r="AP863" s="21">
        <v>1</v>
      </c>
      <c r="AQ863" s="21">
        <v>0</v>
      </c>
      <c r="AR863" s="21">
        <v>1</v>
      </c>
      <c r="AS863" s="21">
        <v>1</v>
      </c>
      <c r="AT863" s="21">
        <v>1</v>
      </c>
      <c r="AU863" s="21">
        <v>0</v>
      </c>
      <c r="AV863" s="21">
        <v>0</v>
      </c>
      <c r="AW863" s="21">
        <v>1</v>
      </c>
      <c r="AX863" s="21">
        <v>0</v>
      </c>
      <c r="AY863" s="21">
        <v>1</v>
      </c>
      <c r="AZ863" s="21">
        <v>0</v>
      </c>
      <c r="BA863" s="21">
        <v>0</v>
      </c>
      <c r="BB863" s="21">
        <v>1</v>
      </c>
      <c r="BC863" s="21">
        <v>0</v>
      </c>
      <c r="BD863" s="21">
        <v>1</v>
      </c>
      <c r="BE863" s="21">
        <v>1</v>
      </c>
      <c r="BF863" s="21">
        <v>0</v>
      </c>
      <c r="BG863" s="21">
        <v>1</v>
      </c>
      <c r="BH863" s="21">
        <v>0</v>
      </c>
      <c r="BI863" s="21">
        <v>1</v>
      </c>
      <c r="BJ863" s="21">
        <v>0</v>
      </c>
      <c r="BK863" s="21">
        <v>0</v>
      </c>
      <c r="BL863" s="21">
        <v>0</v>
      </c>
      <c r="BM863" s="21">
        <v>0</v>
      </c>
      <c r="BN863" s="21">
        <v>0</v>
      </c>
      <c r="BO863" s="21">
        <v>0</v>
      </c>
      <c r="BP863" s="21">
        <v>0</v>
      </c>
      <c r="BQ863" s="21">
        <v>0</v>
      </c>
      <c r="BR863" s="21">
        <v>0</v>
      </c>
      <c r="BS863" s="21">
        <v>1</v>
      </c>
    </row>
    <row r="864" spans="1:71">
      <c r="A864" s="20" t="s">
        <v>4921</v>
      </c>
      <c r="B864">
        <v>49</v>
      </c>
      <c r="C864">
        <v>335</v>
      </c>
      <c r="D864" s="21">
        <v>2007</v>
      </c>
      <c r="E864" s="23">
        <v>-0.56000000000000005</v>
      </c>
      <c r="F864">
        <f t="shared" si="56"/>
        <v>9.540034071550256E-2</v>
      </c>
      <c r="G864">
        <v>-5.87</v>
      </c>
      <c r="H864" s="27">
        <v>0</v>
      </c>
      <c r="I864" s="21">
        <v>1</v>
      </c>
      <c r="J864" s="21">
        <v>912</v>
      </c>
      <c r="K864" s="21">
        <v>1</v>
      </c>
      <c r="L864" s="21">
        <v>0</v>
      </c>
      <c r="M864" s="21">
        <v>0</v>
      </c>
      <c r="N864" s="21">
        <v>0</v>
      </c>
      <c r="O864" s="21">
        <v>0</v>
      </c>
      <c r="P864">
        <v>0</v>
      </c>
      <c r="Q864" s="21">
        <v>0</v>
      </c>
      <c r="R864" s="21">
        <v>0</v>
      </c>
      <c r="S864" s="21">
        <v>0</v>
      </c>
      <c r="T864" s="21">
        <v>0</v>
      </c>
      <c r="U864" s="21">
        <v>2002</v>
      </c>
      <c r="V864" s="21">
        <v>2002</v>
      </c>
      <c r="W864">
        <f t="shared" si="55"/>
        <v>2002</v>
      </c>
      <c r="X864" s="21">
        <v>1</v>
      </c>
      <c r="Y864" s="21">
        <v>0</v>
      </c>
      <c r="Z864" s="21">
        <v>1</v>
      </c>
      <c r="AA864" s="21">
        <v>0</v>
      </c>
      <c r="AB864" s="21">
        <v>0</v>
      </c>
      <c r="AC864" s="21">
        <v>0</v>
      </c>
      <c r="AD864" s="21">
        <v>0</v>
      </c>
      <c r="AE864" s="21">
        <v>0</v>
      </c>
      <c r="AF864" s="21">
        <v>1</v>
      </c>
      <c r="AG864" s="21">
        <v>1</v>
      </c>
      <c r="AH864" s="21">
        <v>1</v>
      </c>
      <c r="AI864" s="21">
        <v>1</v>
      </c>
      <c r="AJ864" s="21">
        <v>1</v>
      </c>
      <c r="AK864" s="21">
        <v>1</v>
      </c>
      <c r="AL864" s="21">
        <v>1</v>
      </c>
      <c r="AM864" s="21">
        <v>1</v>
      </c>
      <c r="AN864" s="21">
        <v>1</v>
      </c>
      <c r="AO864" s="21">
        <v>1</v>
      </c>
      <c r="AP864" s="21">
        <v>1</v>
      </c>
      <c r="AQ864" s="21">
        <v>0</v>
      </c>
      <c r="AR864" s="21">
        <v>1</v>
      </c>
      <c r="AS864" s="21">
        <v>1</v>
      </c>
      <c r="AT864" s="21">
        <v>1</v>
      </c>
      <c r="AU864" s="21">
        <v>0</v>
      </c>
      <c r="AV864" s="21">
        <v>0</v>
      </c>
      <c r="AW864" s="21">
        <v>1</v>
      </c>
      <c r="AX864" s="21">
        <v>0</v>
      </c>
      <c r="AY864" s="21">
        <v>1</v>
      </c>
      <c r="AZ864" s="21">
        <v>0</v>
      </c>
      <c r="BA864" s="21">
        <v>0</v>
      </c>
      <c r="BB864" s="21">
        <v>1</v>
      </c>
      <c r="BC864" s="21">
        <v>0</v>
      </c>
      <c r="BD864" s="21">
        <v>1</v>
      </c>
      <c r="BE864" s="21">
        <v>1</v>
      </c>
      <c r="BF864" s="21">
        <v>0</v>
      </c>
      <c r="BG864" s="21">
        <v>1</v>
      </c>
      <c r="BH864" s="21">
        <v>0</v>
      </c>
      <c r="BI864" s="21">
        <v>1</v>
      </c>
      <c r="BJ864" s="21">
        <v>0</v>
      </c>
      <c r="BK864" s="21">
        <v>0</v>
      </c>
      <c r="BL864" s="21">
        <v>0</v>
      </c>
      <c r="BM864" s="21">
        <v>0</v>
      </c>
      <c r="BN864" s="21">
        <v>0</v>
      </c>
      <c r="BO864" s="21">
        <v>0</v>
      </c>
      <c r="BP864" s="21">
        <v>0</v>
      </c>
      <c r="BQ864" s="21">
        <v>0</v>
      </c>
      <c r="BR864" s="21">
        <v>1</v>
      </c>
      <c r="BS864" s="21">
        <v>1</v>
      </c>
    </row>
    <row r="865" spans="1:71">
      <c r="A865" s="20" t="s">
        <v>4921</v>
      </c>
      <c r="B865">
        <v>49</v>
      </c>
      <c r="C865">
        <v>336</v>
      </c>
      <c r="D865" s="21">
        <v>2007</v>
      </c>
      <c r="E865" s="23">
        <v>-0.62</v>
      </c>
      <c r="F865">
        <f t="shared" si="56"/>
        <v>9.4946401225114857E-2</v>
      </c>
      <c r="G865">
        <v>-6.53</v>
      </c>
      <c r="H865" s="27">
        <v>0</v>
      </c>
      <c r="I865" s="21">
        <v>1</v>
      </c>
      <c r="J865" s="21">
        <v>912</v>
      </c>
      <c r="K865" s="21">
        <v>1</v>
      </c>
      <c r="L865" s="21">
        <v>0</v>
      </c>
      <c r="M865" s="21">
        <v>0</v>
      </c>
      <c r="N865" s="21">
        <v>0</v>
      </c>
      <c r="O865" s="21">
        <v>0</v>
      </c>
      <c r="P865">
        <v>0</v>
      </c>
      <c r="Q865" s="21">
        <v>0</v>
      </c>
      <c r="R865" s="21">
        <v>0</v>
      </c>
      <c r="S865" s="21">
        <v>0</v>
      </c>
      <c r="T865" s="21">
        <v>0</v>
      </c>
      <c r="U865" s="21">
        <v>2002</v>
      </c>
      <c r="V865" s="21">
        <v>2002</v>
      </c>
      <c r="W865">
        <f t="shared" si="55"/>
        <v>2002</v>
      </c>
      <c r="X865" s="21">
        <v>1</v>
      </c>
      <c r="Y865" s="21">
        <v>0</v>
      </c>
      <c r="Z865" s="21">
        <v>1</v>
      </c>
      <c r="AA865" s="21">
        <v>0</v>
      </c>
      <c r="AB865" s="21">
        <v>0</v>
      </c>
      <c r="AC865" s="21">
        <v>0</v>
      </c>
      <c r="AD865" s="21">
        <v>0</v>
      </c>
      <c r="AE865" s="21">
        <v>0</v>
      </c>
      <c r="AF865" s="21">
        <v>1</v>
      </c>
      <c r="AG865" s="21">
        <v>1</v>
      </c>
      <c r="AH865" s="21">
        <v>1</v>
      </c>
      <c r="AI865" s="21">
        <v>1</v>
      </c>
      <c r="AJ865" s="21">
        <v>1</v>
      </c>
      <c r="AK865" s="21">
        <v>1</v>
      </c>
      <c r="AL865" s="21">
        <v>1</v>
      </c>
      <c r="AM865" s="21">
        <v>1</v>
      </c>
      <c r="AN865" s="21">
        <v>1</v>
      </c>
      <c r="AO865" s="21">
        <v>1</v>
      </c>
      <c r="AP865" s="21">
        <v>1</v>
      </c>
      <c r="AQ865" s="21">
        <v>0</v>
      </c>
      <c r="AR865" s="21">
        <v>1</v>
      </c>
      <c r="AS865" s="21">
        <v>1</v>
      </c>
      <c r="AT865" s="21">
        <v>1</v>
      </c>
      <c r="AU865" s="21">
        <v>0</v>
      </c>
      <c r="AV865" s="21">
        <v>0</v>
      </c>
      <c r="AW865" s="21">
        <v>1</v>
      </c>
      <c r="AX865" s="21">
        <v>0</v>
      </c>
      <c r="AY865" s="21">
        <v>1</v>
      </c>
      <c r="AZ865" s="21">
        <v>0</v>
      </c>
      <c r="BA865" s="21">
        <v>0</v>
      </c>
      <c r="BB865" s="21">
        <v>1</v>
      </c>
      <c r="BC865" s="21">
        <v>0</v>
      </c>
      <c r="BD865" s="21">
        <v>1</v>
      </c>
      <c r="BE865" s="21">
        <v>1</v>
      </c>
      <c r="BF865" s="21">
        <v>0</v>
      </c>
      <c r="BG865" s="21">
        <v>1</v>
      </c>
      <c r="BH865" s="21">
        <v>0</v>
      </c>
      <c r="BI865" s="21">
        <v>1</v>
      </c>
      <c r="BJ865" s="21">
        <v>0</v>
      </c>
      <c r="BK865" s="21">
        <v>0</v>
      </c>
      <c r="BL865" s="21">
        <v>0</v>
      </c>
      <c r="BM865" s="21">
        <v>0</v>
      </c>
      <c r="BN865" s="21">
        <v>0</v>
      </c>
      <c r="BO865" s="21">
        <v>0</v>
      </c>
      <c r="BP865" s="21">
        <v>0</v>
      </c>
      <c r="BQ865" s="21">
        <v>0</v>
      </c>
      <c r="BR865" s="21">
        <v>1</v>
      </c>
      <c r="BS865" s="21">
        <v>1</v>
      </c>
    </row>
    <row r="866" spans="1:71">
      <c r="A866" s="20" t="s">
        <v>4921</v>
      </c>
      <c r="B866">
        <v>49</v>
      </c>
      <c r="C866">
        <v>337</v>
      </c>
      <c r="D866" s="21">
        <v>2007</v>
      </c>
      <c r="E866" s="23">
        <v>-0.72</v>
      </c>
      <c r="F866">
        <f t="shared" si="56"/>
        <v>7.010710808179163E-2</v>
      </c>
      <c r="G866">
        <v>-10.27</v>
      </c>
      <c r="H866" s="27">
        <v>0</v>
      </c>
      <c r="I866" s="21">
        <v>1</v>
      </c>
      <c r="J866" s="21">
        <v>912</v>
      </c>
      <c r="K866" s="21">
        <v>1</v>
      </c>
      <c r="L866" s="21">
        <v>0</v>
      </c>
      <c r="M866" s="21">
        <v>0</v>
      </c>
      <c r="N866" s="21">
        <v>0</v>
      </c>
      <c r="O866" s="21">
        <v>0</v>
      </c>
      <c r="P866">
        <v>0</v>
      </c>
      <c r="Q866" s="21">
        <v>1</v>
      </c>
      <c r="R866" s="21">
        <v>0</v>
      </c>
      <c r="S866" s="21">
        <v>0</v>
      </c>
      <c r="T866" s="21">
        <v>0</v>
      </c>
      <c r="U866" s="21">
        <v>2002</v>
      </c>
      <c r="V866" s="21">
        <v>2002</v>
      </c>
      <c r="W866">
        <f t="shared" si="55"/>
        <v>2002</v>
      </c>
      <c r="X866" s="21">
        <v>1</v>
      </c>
      <c r="Y866" s="21">
        <v>0</v>
      </c>
      <c r="Z866" s="21">
        <v>1</v>
      </c>
      <c r="AA866" s="21">
        <v>0</v>
      </c>
      <c r="AB866" s="21">
        <v>0</v>
      </c>
      <c r="AC866" s="21">
        <v>0</v>
      </c>
      <c r="AD866" s="21">
        <v>0</v>
      </c>
      <c r="AE866" s="21">
        <v>0</v>
      </c>
      <c r="AF866" s="21">
        <v>1</v>
      </c>
      <c r="AG866" s="21">
        <v>1</v>
      </c>
      <c r="AH866" s="21">
        <v>1</v>
      </c>
      <c r="AI866" s="21">
        <v>1</v>
      </c>
      <c r="AJ866" s="21">
        <v>1</v>
      </c>
      <c r="AK866" s="21">
        <v>1</v>
      </c>
      <c r="AL866" s="21">
        <v>1</v>
      </c>
      <c r="AM866" s="21">
        <v>1</v>
      </c>
      <c r="AN866" s="21">
        <v>1</v>
      </c>
      <c r="AO866" s="21">
        <v>1</v>
      </c>
      <c r="AP866" s="21">
        <v>1</v>
      </c>
      <c r="AQ866" s="21">
        <v>0</v>
      </c>
      <c r="AR866" s="21">
        <v>1</v>
      </c>
      <c r="AS866" s="21">
        <v>1</v>
      </c>
      <c r="AT866" s="21">
        <v>1</v>
      </c>
      <c r="AU866" s="21">
        <v>0</v>
      </c>
      <c r="AV866" s="21">
        <v>0</v>
      </c>
      <c r="AW866" s="21">
        <v>1</v>
      </c>
      <c r="AX866" s="21">
        <v>0</v>
      </c>
      <c r="AY866" s="21">
        <v>1</v>
      </c>
      <c r="AZ866" s="21">
        <v>0</v>
      </c>
      <c r="BA866" s="21">
        <v>0</v>
      </c>
      <c r="BB866" s="21">
        <v>1</v>
      </c>
      <c r="BC866" s="21">
        <v>0</v>
      </c>
      <c r="BD866" s="21">
        <v>1</v>
      </c>
      <c r="BE866" s="21">
        <v>1</v>
      </c>
      <c r="BF866" s="21">
        <v>0</v>
      </c>
      <c r="BG866" s="21">
        <v>1</v>
      </c>
      <c r="BH866" s="21">
        <v>0</v>
      </c>
      <c r="BI866" s="21">
        <v>1</v>
      </c>
      <c r="BJ866" s="21">
        <v>0</v>
      </c>
      <c r="BK866" s="21">
        <v>0</v>
      </c>
      <c r="BL866" s="21">
        <v>0</v>
      </c>
      <c r="BM866" s="21">
        <v>0</v>
      </c>
      <c r="BN866" s="21">
        <v>0</v>
      </c>
      <c r="BO866" s="21">
        <v>0</v>
      </c>
      <c r="BP866" s="21">
        <v>0</v>
      </c>
      <c r="BQ866" s="21">
        <v>0</v>
      </c>
      <c r="BR866" s="21">
        <v>0</v>
      </c>
      <c r="BS866" s="21">
        <v>1</v>
      </c>
    </row>
    <row r="867" spans="1:71">
      <c r="A867" s="20" t="s">
        <v>4921</v>
      </c>
      <c r="B867">
        <v>49</v>
      </c>
      <c r="C867">
        <v>338</v>
      </c>
      <c r="D867" s="21">
        <v>2007</v>
      </c>
      <c r="E867" s="23">
        <v>-0.75</v>
      </c>
      <c r="F867">
        <f t="shared" si="56"/>
        <v>7.0555032925682021E-2</v>
      </c>
      <c r="G867">
        <v>-10.63</v>
      </c>
      <c r="H867" s="27">
        <v>0</v>
      </c>
      <c r="I867" s="21">
        <v>1</v>
      </c>
      <c r="J867" s="21">
        <v>912</v>
      </c>
      <c r="K867" s="21">
        <v>1</v>
      </c>
      <c r="L867" s="21">
        <v>0</v>
      </c>
      <c r="M867" s="21">
        <v>0</v>
      </c>
      <c r="N867" s="21">
        <v>0</v>
      </c>
      <c r="O867" s="21">
        <v>0</v>
      </c>
      <c r="P867">
        <v>0</v>
      </c>
      <c r="Q867" s="21">
        <v>1</v>
      </c>
      <c r="R867" s="21">
        <v>0</v>
      </c>
      <c r="S867" s="21">
        <v>0</v>
      </c>
      <c r="T867" s="21">
        <v>0</v>
      </c>
      <c r="U867" s="21">
        <v>2002</v>
      </c>
      <c r="V867" s="21">
        <v>2002</v>
      </c>
      <c r="W867">
        <f t="shared" si="55"/>
        <v>2002</v>
      </c>
      <c r="X867" s="21">
        <v>1</v>
      </c>
      <c r="Y867" s="21">
        <v>0</v>
      </c>
      <c r="Z867" s="21">
        <v>1</v>
      </c>
      <c r="AA867" s="21">
        <v>0</v>
      </c>
      <c r="AB867" s="21">
        <v>0</v>
      </c>
      <c r="AC867" s="21">
        <v>0</v>
      </c>
      <c r="AD867" s="21">
        <v>0</v>
      </c>
      <c r="AE867" s="21">
        <v>0</v>
      </c>
      <c r="AF867" s="21">
        <v>1</v>
      </c>
      <c r="AG867" s="21">
        <v>1</v>
      </c>
      <c r="AH867" s="21">
        <v>1</v>
      </c>
      <c r="AI867" s="21">
        <v>1</v>
      </c>
      <c r="AJ867" s="21">
        <v>1</v>
      </c>
      <c r="AK867" s="21">
        <v>1</v>
      </c>
      <c r="AL867" s="21">
        <v>1</v>
      </c>
      <c r="AM867" s="21">
        <v>1</v>
      </c>
      <c r="AN867" s="21">
        <v>1</v>
      </c>
      <c r="AO867" s="21">
        <v>1</v>
      </c>
      <c r="AP867" s="21">
        <v>1</v>
      </c>
      <c r="AQ867" s="21">
        <v>0</v>
      </c>
      <c r="AR867" s="21">
        <v>1</v>
      </c>
      <c r="AS867" s="21">
        <v>1</v>
      </c>
      <c r="AT867" s="21">
        <v>1</v>
      </c>
      <c r="AU867" s="21">
        <v>0</v>
      </c>
      <c r="AV867" s="21">
        <v>0</v>
      </c>
      <c r="AW867" s="21">
        <v>1</v>
      </c>
      <c r="AX867" s="21">
        <v>0</v>
      </c>
      <c r="AY867" s="21">
        <v>1</v>
      </c>
      <c r="AZ867" s="21">
        <v>0</v>
      </c>
      <c r="BA867" s="21">
        <v>0</v>
      </c>
      <c r="BB867" s="21">
        <v>1</v>
      </c>
      <c r="BC867" s="21">
        <v>0</v>
      </c>
      <c r="BD867" s="21">
        <v>1</v>
      </c>
      <c r="BE867" s="21">
        <v>1</v>
      </c>
      <c r="BF867" s="21">
        <v>0</v>
      </c>
      <c r="BG867" s="21">
        <v>1</v>
      </c>
      <c r="BH867" s="21">
        <v>0</v>
      </c>
      <c r="BI867" s="21">
        <v>1</v>
      </c>
      <c r="BJ867" s="21">
        <v>0</v>
      </c>
      <c r="BK867" s="21">
        <v>0</v>
      </c>
      <c r="BL867" s="21">
        <v>0</v>
      </c>
      <c r="BM867" s="21">
        <v>0</v>
      </c>
      <c r="BN867" s="21">
        <v>0</v>
      </c>
      <c r="BO867" s="21">
        <v>0</v>
      </c>
      <c r="BP867" s="21">
        <v>0</v>
      </c>
      <c r="BQ867" s="21">
        <v>0</v>
      </c>
      <c r="BR867" s="21">
        <v>0</v>
      </c>
      <c r="BS867" s="21">
        <v>1</v>
      </c>
    </row>
    <row r="868" spans="1:71">
      <c r="A868" s="45" t="s">
        <v>4869</v>
      </c>
      <c r="B868">
        <v>5</v>
      </c>
      <c r="C868">
        <v>39</v>
      </c>
      <c r="D868">
        <v>2004</v>
      </c>
      <c r="E868" s="14">
        <v>-0.98</v>
      </c>
      <c r="F868" s="14">
        <f t="shared" si="56"/>
        <v>6.9454287739192058E-2</v>
      </c>
      <c r="G868" s="14">
        <v>-14.11</v>
      </c>
      <c r="H868" s="27">
        <v>0</v>
      </c>
      <c r="I868">
        <v>1</v>
      </c>
      <c r="J868">
        <v>5474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1</v>
      </c>
      <c r="U868">
        <v>1985</v>
      </c>
      <c r="V868">
        <v>1998</v>
      </c>
      <c r="W868">
        <f t="shared" si="55"/>
        <v>1992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0</v>
      </c>
      <c r="AO868">
        <v>0</v>
      </c>
      <c r="AP868">
        <v>1</v>
      </c>
      <c r="AQ868">
        <v>0</v>
      </c>
      <c r="AR868">
        <v>1</v>
      </c>
      <c r="AS868">
        <v>0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0</v>
      </c>
      <c r="BD868">
        <v>1</v>
      </c>
      <c r="BE868">
        <v>1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0</v>
      </c>
      <c r="BL868">
        <v>0</v>
      </c>
      <c r="BM868">
        <v>0</v>
      </c>
      <c r="BN868">
        <v>1</v>
      </c>
      <c r="BO868">
        <v>0</v>
      </c>
      <c r="BP868">
        <v>0</v>
      </c>
      <c r="BQ868">
        <v>0</v>
      </c>
      <c r="BR868">
        <v>1</v>
      </c>
      <c r="BS868">
        <v>0</v>
      </c>
    </row>
    <row r="869" spans="1:71">
      <c r="A869" s="45" t="s">
        <v>4869</v>
      </c>
      <c r="B869">
        <v>5</v>
      </c>
      <c r="C869">
        <v>40</v>
      </c>
      <c r="D869">
        <v>2004</v>
      </c>
      <c r="E869" s="14">
        <v>-0.98</v>
      </c>
      <c r="F869" s="14">
        <f t="shared" si="56"/>
        <v>7.9416531604538085E-2</v>
      </c>
      <c r="G869" s="14">
        <v>-12.34</v>
      </c>
      <c r="H869" s="27">
        <v>0</v>
      </c>
      <c r="I869">
        <v>1</v>
      </c>
      <c r="J869">
        <v>5474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1</v>
      </c>
      <c r="U869">
        <v>1985</v>
      </c>
      <c r="V869">
        <v>1998</v>
      </c>
      <c r="W869">
        <f t="shared" si="55"/>
        <v>1992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0</v>
      </c>
      <c r="AO869">
        <v>0</v>
      </c>
      <c r="AP869">
        <v>1</v>
      </c>
      <c r="AQ869">
        <v>0</v>
      </c>
      <c r="AR869">
        <v>1</v>
      </c>
      <c r="AS869">
        <v>0</v>
      </c>
      <c r="AT869">
        <v>1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0</v>
      </c>
      <c r="BD869">
        <v>1</v>
      </c>
      <c r="BE869">
        <v>1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0</v>
      </c>
      <c r="BL869">
        <v>0</v>
      </c>
      <c r="BM869">
        <v>0</v>
      </c>
      <c r="BN869">
        <v>1</v>
      </c>
      <c r="BO869">
        <v>0</v>
      </c>
      <c r="BP869">
        <v>0</v>
      </c>
      <c r="BQ869">
        <v>0</v>
      </c>
      <c r="BR869">
        <v>1</v>
      </c>
      <c r="BS869">
        <v>0</v>
      </c>
    </row>
    <row r="870" spans="1:71">
      <c r="A870" s="45" t="s">
        <v>4869</v>
      </c>
      <c r="B870">
        <v>5</v>
      </c>
      <c r="C870">
        <v>41</v>
      </c>
      <c r="D870">
        <v>2004</v>
      </c>
      <c r="E870" s="14">
        <v>-0.94</v>
      </c>
      <c r="F870" s="14">
        <f t="shared" si="56"/>
        <v>6.2583222370173094E-2</v>
      </c>
      <c r="G870" s="14">
        <v>-15.02</v>
      </c>
      <c r="H870" s="27">
        <v>0</v>
      </c>
      <c r="I870">
        <v>1</v>
      </c>
      <c r="J870">
        <v>5474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1</v>
      </c>
      <c r="U870">
        <v>1985</v>
      </c>
      <c r="V870">
        <v>1998</v>
      </c>
      <c r="W870">
        <f t="shared" si="55"/>
        <v>1992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1</v>
      </c>
      <c r="AO870">
        <v>1</v>
      </c>
      <c r="AP870">
        <v>0</v>
      </c>
      <c r="AQ870">
        <v>0</v>
      </c>
      <c r="AR870">
        <v>1</v>
      </c>
      <c r="AS870">
        <v>0</v>
      </c>
      <c r="AT870">
        <v>1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0</v>
      </c>
      <c r="BD870">
        <v>1</v>
      </c>
      <c r="BE870">
        <v>1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0</v>
      </c>
      <c r="BL870">
        <v>0</v>
      </c>
      <c r="BM870">
        <v>0</v>
      </c>
      <c r="BN870">
        <v>1</v>
      </c>
      <c r="BO870">
        <v>0</v>
      </c>
      <c r="BP870">
        <v>0</v>
      </c>
      <c r="BQ870">
        <v>0</v>
      </c>
      <c r="BR870">
        <v>1</v>
      </c>
      <c r="BS870">
        <v>0</v>
      </c>
    </row>
    <row r="871" spans="1:71">
      <c r="A871" s="45" t="s">
        <v>4869</v>
      </c>
      <c r="B871">
        <v>5</v>
      </c>
      <c r="C871">
        <v>42</v>
      </c>
      <c r="D871">
        <v>2004</v>
      </c>
      <c r="E871" s="14">
        <v>-0.92</v>
      </c>
      <c r="F871" s="14">
        <f t="shared" si="56"/>
        <v>0.10599078341013826</v>
      </c>
      <c r="G871" s="14">
        <v>-8.68</v>
      </c>
      <c r="H871" s="27">
        <v>0</v>
      </c>
      <c r="I871">
        <v>1</v>
      </c>
      <c r="J871">
        <v>5474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1</v>
      </c>
      <c r="U871">
        <v>1985</v>
      </c>
      <c r="V871">
        <v>1998</v>
      </c>
      <c r="W871">
        <f t="shared" si="55"/>
        <v>1992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1</v>
      </c>
      <c r="AP871">
        <v>0</v>
      </c>
      <c r="AQ871">
        <v>0</v>
      </c>
      <c r="AR871">
        <v>1</v>
      </c>
      <c r="AS871">
        <v>0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0</v>
      </c>
      <c r="BD871">
        <v>1</v>
      </c>
      <c r="BE871">
        <v>1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0</v>
      </c>
      <c r="BL871">
        <v>0</v>
      </c>
      <c r="BM871">
        <v>0</v>
      </c>
      <c r="BN871">
        <v>1</v>
      </c>
      <c r="BO871">
        <v>0</v>
      </c>
      <c r="BP871">
        <v>0</v>
      </c>
      <c r="BQ871">
        <v>0</v>
      </c>
      <c r="BR871">
        <v>1</v>
      </c>
      <c r="BS871">
        <v>0</v>
      </c>
    </row>
    <row r="872" spans="1:71">
      <c r="A872" s="20" t="s">
        <v>4838</v>
      </c>
      <c r="B872">
        <v>68</v>
      </c>
      <c r="C872">
        <v>452</v>
      </c>
      <c r="D872">
        <v>1973</v>
      </c>
      <c r="E872">
        <v>-2.2440000000000002</v>
      </c>
      <c r="F872">
        <v>0.109</v>
      </c>
      <c r="G872">
        <f>E872/F872</f>
        <v>-20.587155963302756</v>
      </c>
      <c r="H872" s="27">
        <v>0</v>
      </c>
      <c r="I872">
        <v>1</v>
      </c>
      <c r="J872">
        <v>189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1970</v>
      </c>
      <c r="V872">
        <v>1970</v>
      </c>
      <c r="W872">
        <f t="shared" si="55"/>
        <v>1970</v>
      </c>
      <c r="X872">
        <v>1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0</v>
      </c>
      <c r="AK872">
        <v>0</v>
      </c>
      <c r="AL872">
        <v>0</v>
      </c>
      <c r="AM872">
        <v>1</v>
      </c>
      <c r="AN872" s="21">
        <v>1</v>
      </c>
      <c r="AO872" s="21">
        <v>1</v>
      </c>
      <c r="AP872" s="21">
        <v>1</v>
      </c>
      <c r="AQ872">
        <v>1</v>
      </c>
      <c r="AR872">
        <v>0</v>
      </c>
      <c r="AS872">
        <v>1</v>
      </c>
      <c r="AT872">
        <v>1</v>
      </c>
      <c r="AU872">
        <v>1</v>
      </c>
      <c r="AV872">
        <v>0</v>
      </c>
      <c r="AW872">
        <v>1</v>
      </c>
      <c r="AX872">
        <v>0</v>
      </c>
      <c r="AY872">
        <v>1</v>
      </c>
      <c r="AZ872" s="21">
        <v>1</v>
      </c>
      <c r="BA872" s="21">
        <v>1</v>
      </c>
      <c r="BB872" s="21">
        <v>1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 s="21">
        <v>0</v>
      </c>
      <c r="BS872" s="21">
        <v>0</v>
      </c>
    </row>
    <row r="873" spans="1:71">
      <c r="A873" s="20"/>
    </row>
  </sheetData>
  <autoFilter ref="A1:BS1" xr:uid="{EB62FE7C-24C5-4237-9D8F-D254F28CA29D}">
    <sortState xmlns:xlrd2="http://schemas.microsoft.com/office/spreadsheetml/2017/richdata2" ref="A2:BS872">
      <sortCondition descending="1" ref="D1:D872"/>
    </sortState>
  </autoFilter>
  <phoneticPr fontId="1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Graaff, T. de (Thomas)</dc:creator>
  <cp:keywords/>
  <dc:description/>
  <cp:lastModifiedBy>Graaff, T. de (Thomas)</cp:lastModifiedBy>
  <cp:revision/>
  <dcterms:created xsi:type="dcterms:W3CDTF">2015-06-05T18:17:20Z</dcterms:created>
  <dcterms:modified xsi:type="dcterms:W3CDTF">2026-04-10T13:13:45Z</dcterms:modified>
  <cp:category/>
  <cp:contentStatus/>
</cp:coreProperties>
</file>